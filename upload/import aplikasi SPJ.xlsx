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kolah\Permintaan BPK\"/>
    </mc:Choice>
  </mc:AlternateContent>
  <xr:revisionPtr revIDLastSave="0" documentId="13_ncr:1_{07B91F38-DCE2-484B-8090-FCC3DC24A49B}" xr6:coauthVersionLast="47" xr6:coauthVersionMax="47" xr10:uidLastSave="{00000000-0000-0000-0000-000000000000}"/>
  <bookViews>
    <workbookView xWindow="-110" yWindow="-110" windowWidth="19420" windowHeight="11500" xr2:uid="{957D12CA-2753-443E-AAAF-A9863688BBC5}"/>
  </bookViews>
  <sheets>
    <sheet name="Master" sheetId="1" r:id="rId1"/>
  </sheets>
  <externalReferences>
    <externalReference r:id="rId2"/>
  </externalReferences>
  <definedNames>
    <definedName name="_xlnm._FilterDatabase" localSheetId="0" hidden="1">Master!$A$2:$AI$1200</definedName>
    <definedName name="_xlnm.Database">'[1]Master Januari-Desemebr 2024'!$A$1:$AG$498</definedName>
    <definedName name="kriteria">'[1]Master Januari-Desemebr 2024'!$C:$C</definedName>
    <definedName name="Kriteriaatk2024">Master!$A$2:$A$79816</definedName>
    <definedName name="Masteratk2024">Master!$A$1:$AH$79816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426" i="1" l="1"/>
  <c r="Y426" i="1"/>
  <c r="Z426" i="1" s="1"/>
  <c r="W426" i="1"/>
  <c r="V426" i="1"/>
  <c r="T426" i="1"/>
  <c r="Q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C426" i="1"/>
  <c r="B426" i="1"/>
  <c r="A426" i="1"/>
  <c r="AH425" i="1"/>
  <c r="Y425" i="1"/>
  <c r="Z425" i="1" s="1"/>
  <c r="W425" i="1"/>
  <c r="V425" i="1"/>
  <c r="T425" i="1"/>
  <c r="O425" i="1"/>
  <c r="N425" i="1"/>
  <c r="M425" i="1"/>
  <c r="L425" i="1"/>
  <c r="K425" i="1"/>
  <c r="Q425" i="1" s="1"/>
  <c r="J425" i="1"/>
  <c r="I425" i="1"/>
  <c r="G425" i="1"/>
  <c r="H425" i="1" s="1"/>
  <c r="F425" i="1"/>
  <c r="E425" i="1"/>
  <c r="D425" i="1"/>
  <c r="C425" i="1"/>
  <c r="B425" i="1"/>
  <c r="A425" i="1"/>
  <c r="AH424" i="1"/>
  <c r="Y424" i="1"/>
  <c r="Z424" i="1" s="1"/>
  <c r="W424" i="1"/>
  <c r="V424" i="1"/>
  <c r="T424" i="1"/>
  <c r="O424" i="1"/>
  <c r="N424" i="1"/>
  <c r="M424" i="1"/>
  <c r="L424" i="1"/>
  <c r="K424" i="1"/>
  <c r="Q424" i="1" s="1"/>
  <c r="J424" i="1"/>
  <c r="I424" i="1"/>
  <c r="H424" i="1"/>
  <c r="G424" i="1"/>
  <c r="F424" i="1"/>
  <c r="E424" i="1"/>
  <c r="D424" i="1"/>
  <c r="C424" i="1"/>
  <c r="B424" i="1"/>
  <c r="A424" i="1"/>
  <c r="AH423" i="1"/>
  <c r="Y423" i="1"/>
  <c r="Z423" i="1" s="1"/>
  <c r="W423" i="1"/>
  <c r="V423" i="1"/>
  <c r="T423" i="1"/>
  <c r="Q423" i="1"/>
  <c r="O423" i="1"/>
  <c r="N423" i="1"/>
  <c r="M423" i="1"/>
  <c r="L423" i="1"/>
  <c r="K423" i="1"/>
  <c r="J423" i="1"/>
  <c r="I423" i="1"/>
  <c r="G423" i="1"/>
  <c r="H423" i="1" s="1"/>
  <c r="F423" i="1"/>
  <c r="E423" i="1"/>
  <c r="D423" i="1"/>
  <c r="C423" i="1"/>
  <c r="B423" i="1"/>
  <c r="A423" i="1"/>
  <c r="AH422" i="1"/>
  <c r="Y422" i="1"/>
  <c r="Z422" i="1" s="1"/>
  <c r="W422" i="1"/>
  <c r="V422" i="1"/>
  <c r="T422" i="1"/>
  <c r="Q422" i="1"/>
  <c r="O422" i="1"/>
  <c r="N422" i="1"/>
  <c r="M422" i="1"/>
  <c r="L422" i="1"/>
  <c r="K422" i="1"/>
  <c r="J422" i="1"/>
  <c r="I422" i="1"/>
  <c r="G422" i="1"/>
  <c r="H422" i="1" s="1"/>
  <c r="F422" i="1"/>
  <c r="E422" i="1"/>
  <c r="D422" i="1"/>
  <c r="C422" i="1"/>
  <c r="B422" i="1"/>
  <c r="A422" i="1"/>
  <c r="AH421" i="1"/>
  <c r="Y421" i="1"/>
  <c r="Z421" i="1" s="1"/>
  <c r="W421" i="1"/>
  <c r="V421" i="1"/>
  <c r="T421" i="1"/>
  <c r="Q421" i="1"/>
  <c r="O421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B421" i="1"/>
  <c r="A421" i="1"/>
  <c r="AH420" i="1"/>
  <c r="Y420" i="1"/>
  <c r="Z420" i="1" s="1"/>
  <c r="W420" i="1"/>
  <c r="V420" i="1"/>
  <c r="T420" i="1"/>
  <c r="Q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B420" i="1"/>
  <c r="A420" i="1"/>
  <c r="AH419" i="1"/>
  <c r="Y419" i="1"/>
  <c r="Z419" i="1" s="1"/>
  <c r="W419" i="1"/>
  <c r="V419" i="1"/>
  <c r="T419" i="1"/>
  <c r="O419" i="1"/>
  <c r="N419" i="1"/>
  <c r="M419" i="1"/>
  <c r="L419" i="1"/>
  <c r="K419" i="1"/>
  <c r="Q419" i="1" s="1"/>
  <c r="J419" i="1"/>
  <c r="I419" i="1"/>
  <c r="H419" i="1"/>
  <c r="G419" i="1"/>
  <c r="F419" i="1"/>
  <c r="E419" i="1"/>
  <c r="D419" i="1"/>
  <c r="C419" i="1"/>
  <c r="B419" i="1"/>
  <c r="A419" i="1"/>
  <c r="AH418" i="1"/>
  <c r="Y418" i="1"/>
  <c r="Z418" i="1" s="1"/>
  <c r="W418" i="1"/>
  <c r="V418" i="1"/>
  <c r="T418" i="1"/>
  <c r="O418" i="1"/>
  <c r="N418" i="1"/>
  <c r="M418" i="1"/>
  <c r="L418" i="1"/>
  <c r="K418" i="1"/>
  <c r="Q418" i="1" s="1"/>
  <c r="J418" i="1"/>
  <c r="I418" i="1"/>
  <c r="G418" i="1"/>
  <c r="H418" i="1" s="1"/>
  <c r="F418" i="1"/>
  <c r="E418" i="1"/>
  <c r="D418" i="1"/>
  <c r="C418" i="1"/>
  <c r="B418" i="1"/>
  <c r="A418" i="1"/>
  <c r="AH417" i="1"/>
  <c r="Y417" i="1"/>
  <c r="Z417" i="1" s="1"/>
  <c r="W417" i="1"/>
  <c r="V417" i="1"/>
  <c r="T417" i="1"/>
  <c r="Q417" i="1"/>
  <c r="O417" i="1"/>
  <c r="N417" i="1"/>
  <c r="M417" i="1"/>
  <c r="L417" i="1"/>
  <c r="K417" i="1"/>
  <c r="J417" i="1"/>
  <c r="I417" i="1"/>
  <c r="G417" i="1"/>
  <c r="H417" i="1" s="1"/>
  <c r="F417" i="1"/>
  <c r="E417" i="1"/>
  <c r="D417" i="1"/>
  <c r="C417" i="1"/>
  <c r="B417" i="1"/>
  <c r="A417" i="1"/>
  <c r="AH416" i="1"/>
  <c r="Y416" i="1"/>
  <c r="Z416" i="1" s="1"/>
  <c r="W416" i="1"/>
  <c r="V416" i="1"/>
  <c r="T416" i="1"/>
  <c r="Q416" i="1"/>
  <c r="O416" i="1"/>
  <c r="N416" i="1"/>
  <c r="M416" i="1"/>
  <c r="L416" i="1"/>
  <c r="K416" i="1"/>
  <c r="J416" i="1"/>
  <c r="I416" i="1"/>
  <c r="G416" i="1"/>
  <c r="H416" i="1" s="1"/>
  <c r="F416" i="1"/>
  <c r="E416" i="1"/>
  <c r="D416" i="1"/>
  <c r="C416" i="1"/>
  <c r="B416" i="1"/>
  <c r="A416" i="1"/>
  <c r="AH415" i="1"/>
  <c r="Y415" i="1"/>
  <c r="Z415" i="1" s="1"/>
  <c r="W415" i="1"/>
  <c r="V415" i="1"/>
  <c r="T415" i="1"/>
  <c r="O415" i="1"/>
  <c r="N415" i="1"/>
  <c r="M415" i="1"/>
  <c r="L415" i="1"/>
  <c r="K415" i="1"/>
  <c r="Q415" i="1" s="1"/>
  <c r="J415" i="1"/>
  <c r="I415" i="1"/>
  <c r="H415" i="1"/>
  <c r="G415" i="1"/>
  <c r="F415" i="1"/>
  <c r="E415" i="1"/>
  <c r="D415" i="1"/>
  <c r="C415" i="1"/>
  <c r="B415" i="1"/>
  <c r="A415" i="1"/>
  <c r="AH414" i="1"/>
  <c r="Y414" i="1"/>
  <c r="Z414" i="1" s="1"/>
  <c r="W414" i="1"/>
  <c r="V414" i="1"/>
  <c r="T414" i="1"/>
  <c r="O414" i="1"/>
  <c r="N414" i="1"/>
  <c r="M414" i="1"/>
  <c r="L414" i="1"/>
  <c r="K414" i="1"/>
  <c r="Q414" i="1" s="1"/>
  <c r="J414" i="1"/>
  <c r="I414" i="1"/>
  <c r="H414" i="1"/>
  <c r="G414" i="1"/>
  <c r="F414" i="1"/>
  <c r="E414" i="1"/>
  <c r="D414" i="1"/>
  <c r="C414" i="1"/>
  <c r="B414" i="1"/>
  <c r="A414" i="1"/>
  <c r="AH413" i="1"/>
  <c r="Y413" i="1"/>
  <c r="Z413" i="1" s="1"/>
  <c r="W413" i="1"/>
  <c r="V413" i="1"/>
  <c r="T413" i="1"/>
  <c r="O413" i="1"/>
  <c r="N413" i="1"/>
  <c r="M413" i="1"/>
  <c r="L413" i="1"/>
  <c r="K413" i="1"/>
  <c r="Q413" i="1" s="1"/>
  <c r="J413" i="1"/>
  <c r="I413" i="1"/>
  <c r="G413" i="1"/>
  <c r="H413" i="1" s="1"/>
  <c r="F413" i="1"/>
  <c r="E413" i="1"/>
  <c r="D413" i="1"/>
  <c r="C413" i="1"/>
  <c r="B413" i="1"/>
  <c r="A413" i="1"/>
  <c r="AH412" i="1"/>
  <c r="Y412" i="1"/>
  <c r="Z412" i="1" s="1"/>
  <c r="W412" i="1"/>
  <c r="V412" i="1"/>
  <c r="T412" i="1"/>
  <c r="O412" i="1"/>
  <c r="N412" i="1"/>
  <c r="M412" i="1"/>
  <c r="L412" i="1"/>
  <c r="K412" i="1"/>
  <c r="Q412" i="1" s="1"/>
  <c r="J412" i="1"/>
  <c r="I412" i="1"/>
  <c r="G412" i="1"/>
  <c r="H412" i="1" s="1"/>
  <c r="F412" i="1"/>
  <c r="E412" i="1"/>
  <c r="D412" i="1"/>
  <c r="C412" i="1"/>
  <c r="B412" i="1"/>
  <c r="A412" i="1"/>
  <c r="AH411" i="1"/>
  <c r="Y411" i="1"/>
  <c r="Z411" i="1" s="1"/>
  <c r="W411" i="1"/>
  <c r="V411" i="1"/>
  <c r="T411" i="1"/>
  <c r="Q411" i="1"/>
  <c r="O411" i="1"/>
  <c r="N411" i="1"/>
  <c r="M411" i="1"/>
  <c r="L411" i="1"/>
  <c r="K411" i="1"/>
  <c r="J411" i="1"/>
  <c r="I411" i="1"/>
  <c r="G411" i="1"/>
  <c r="H411" i="1" s="1"/>
  <c r="F411" i="1"/>
  <c r="E411" i="1"/>
  <c r="D411" i="1"/>
  <c r="C411" i="1"/>
  <c r="B411" i="1"/>
  <c r="A411" i="1"/>
  <c r="AH410" i="1"/>
  <c r="Y410" i="1"/>
  <c r="Z410" i="1" s="1"/>
  <c r="W410" i="1"/>
  <c r="V410" i="1"/>
  <c r="T410" i="1"/>
  <c r="Q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A410" i="1"/>
  <c r="AH409" i="1"/>
  <c r="Y409" i="1"/>
  <c r="Z409" i="1" s="1"/>
  <c r="W409" i="1"/>
  <c r="V409" i="1"/>
  <c r="T409" i="1"/>
  <c r="O409" i="1"/>
  <c r="N409" i="1"/>
  <c r="M409" i="1"/>
  <c r="L409" i="1"/>
  <c r="K409" i="1"/>
  <c r="Q409" i="1" s="1"/>
  <c r="J409" i="1"/>
  <c r="I409" i="1"/>
  <c r="H409" i="1"/>
  <c r="G409" i="1"/>
  <c r="F409" i="1"/>
  <c r="E409" i="1"/>
  <c r="D409" i="1"/>
  <c r="C409" i="1"/>
  <c r="B409" i="1"/>
  <c r="A409" i="1"/>
  <c r="AH408" i="1"/>
  <c r="Y408" i="1"/>
  <c r="Z408" i="1" s="1"/>
  <c r="W408" i="1"/>
  <c r="V408" i="1"/>
  <c r="T408" i="1"/>
  <c r="O408" i="1"/>
  <c r="N408" i="1"/>
  <c r="M408" i="1"/>
  <c r="L408" i="1"/>
  <c r="K408" i="1"/>
  <c r="Q408" i="1" s="1"/>
  <c r="J408" i="1"/>
  <c r="I408" i="1"/>
  <c r="H408" i="1"/>
  <c r="G408" i="1"/>
  <c r="F408" i="1"/>
  <c r="E408" i="1"/>
  <c r="D408" i="1"/>
  <c r="C408" i="1"/>
  <c r="B408" i="1"/>
  <c r="A408" i="1"/>
  <c r="AH407" i="1"/>
  <c r="Y407" i="1"/>
  <c r="Z407" i="1" s="1"/>
  <c r="W407" i="1"/>
  <c r="V407" i="1"/>
  <c r="T407" i="1"/>
  <c r="O407" i="1"/>
  <c r="N407" i="1"/>
  <c r="M407" i="1"/>
  <c r="L407" i="1"/>
  <c r="K407" i="1"/>
  <c r="Q407" i="1" s="1"/>
  <c r="J407" i="1"/>
  <c r="I407" i="1"/>
  <c r="G407" i="1"/>
  <c r="H407" i="1" s="1"/>
  <c r="F407" i="1"/>
  <c r="E407" i="1"/>
  <c r="D407" i="1"/>
  <c r="C407" i="1"/>
  <c r="B407" i="1"/>
  <c r="A407" i="1"/>
  <c r="AH406" i="1"/>
  <c r="Y406" i="1"/>
  <c r="Z406" i="1" s="1"/>
  <c r="W406" i="1"/>
  <c r="V406" i="1"/>
  <c r="T406" i="1"/>
  <c r="O406" i="1"/>
  <c r="N406" i="1"/>
  <c r="M406" i="1"/>
  <c r="L406" i="1"/>
  <c r="K406" i="1"/>
  <c r="Q406" i="1" s="1"/>
  <c r="J406" i="1"/>
  <c r="I406" i="1"/>
  <c r="G406" i="1"/>
  <c r="H406" i="1" s="1"/>
  <c r="F406" i="1"/>
  <c r="E406" i="1"/>
  <c r="D406" i="1"/>
  <c r="C406" i="1"/>
  <c r="B406" i="1"/>
  <c r="A406" i="1"/>
  <c r="AH405" i="1"/>
  <c r="Y405" i="1"/>
  <c r="Z405" i="1" s="1"/>
  <c r="W405" i="1"/>
  <c r="V405" i="1"/>
  <c r="T405" i="1"/>
  <c r="O405" i="1"/>
  <c r="N405" i="1"/>
  <c r="M405" i="1"/>
  <c r="L405" i="1"/>
  <c r="J405" i="1"/>
  <c r="K405" i="1" s="1"/>
  <c r="Q405" i="1" s="1"/>
  <c r="I405" i="1"/>
  <c r="H405" i="1"/>
  <c r="G405" i="1"/>
  <c r="F405" i="1"/>
  <c r="E405" i="1"/>
  <c r="D405" i="1"/>
  <c r="C405" i="1"/>
  <c r="B405" i="1"/>
  <c r="A405" i="1"/>
  <c r="AH404" i="1"/>
  <c r="Y404" i="1"/>
  <c r="Z404" i="1" s="1"/>
  <c r="W404" i="1"/>
  <c r="V404" i="1"/>
  <c r="T404" i="1"/>
  <c r="Q404" i="1"/>
  <c r="O404" i="1"/>
  <c r="N404" i="1"/>
  <c r="M404" i="1"/>
  <c r="L404" i="1"/>
  <c r="K404" i="1"/>
  <c r="J404" i="1"/>
  <c r="I404" i="1"/>
  <c r="G404" i="1"/>
  <c r="H404" i="1" s="1"/>
  <c r="F404" i="1"/>
  <c r="E404" i="1"/>
  <c r="D404" i="1"/>
  <c r="C404" i="1"/>
  <c r="B404" i="1"/>
  <c r="A404" i="1"/>
  <c r="AH403" i="1"/>
  <c r="Y403" i="1"/>
  <c r="Z403" i="1" s="1"/>
  <c r="W403" i="1"/>
  <c r="V403" i="1"/>
  <c r="T403" i="1"/>
  <c r="O403" i="1"/>
  <c r="N403" i="1"/>
  <c r="M403" i="1"/>
  <c r="L403" i="1"/>
  <c r="K403" i="1"/>
  <c r="Q403" i="1" s="1"/>
  <c r="J403" i="1"/>
  <c r="I403" i="1"/>
  <c r="H403" i="1"/>
  <c r="G403" i="1"/>
  <c r="F403" i="1"/>
  <c r="E403" i="1"/>
  <c r="D403" i="1"/>
  <c r="C403" i="1"/>
  <c r="B403" i="1"/>
  <c r="A403" i="1"/>
  <c r="AH402" i="1"/>
  <c r="Y402" i="1"/>
  <c r="Z402" i="1" s="1"/>
  <c r="W402" i="1"/>
  <c r="V402" i="1"/>
  <c r="T402" i="1"/>
  <c r="O402" i="1"/>
  <c r="N402" i="1"/>
  <c r="M402" i="1"/>
  <c r="L402" i="1"/>
  <c r="K402" i="1"/>
  <c r="Q402" i="1" s="1"/>
  <c r="J402" i="1"/>
  <c r="I402" i="1"/>
  <c r="H402" i="1"/>
  <c r="G402" i="1"/>
  <c r="F402" i="1"/>
  <c r="E402" i="1"/>
  <c r="D402" i="1"/>
  <c r="C402" i="1"/>
  <c r="B402" i="1"/>
  <c r="A402" i="1"/>
  <c r="AH401" i="1"/>
  <c r="Y401" i="1"/>
  <c r="Z401" i="1" s="1"/>
  <c r="W401" i="1"/>
  <c r="V401" i="1"/>
  <c r="T401" i="1"/>
  <c r="O401" i="1"/>
  <c r="N401" i="1"/>
  <c r="M401" i="1"/>
  <c r="L401" i="1"/>
  <c r="K401" i="1"/>
  <c r="Q401" i="1" s="1"/>
  <c r="J401" i="1"/>
  <c r="I401" i="1"/>
  <c r="H401" i="1"/>
  <c r="G401" i="1"/>
  <c r="F401" i="1"/>
  <c r="E401" i="1"/>
  <c r="D401" i="1"/>
  <c r="C401" i="1"/>
  <c r="B401" i="1"/>
  <c r="A401" i="1"/>
  <c r="AH400" i="1"/>
  <c r="Y400" i="1"/>
  <c r="Z400" i="1" s="1"/>
  <c r="W400" i="1"/>
  <c r="V400" i="1"/>
  <c r="T400" i="1"/>
  <c r="O400" i="1"/>
  <c r="N400" i="1"/>
  <c r="M400" i="1"/>
  <c r="L400" i="1"/>
  <c r="J400" i="1"/>
  <c r="K400" i="1" s="1"/>
  <c r="Q400" i="1" s="1"/>
  <c r="I400" i="1"/>
  <c r="H400" i="1"/>
  <c r="G400" i="1"/>
  <c r="F400" i="1"/>
  <c r="E400" i="1"/>
  <c r="D400" i="1"/>
  <c r="C400" i="1"/>
  <c r="B400" i="1"/>
  <c r="A400" i="1"/>
  <c r="AH399" i="1"/>
  <c r="Y399" i="1"/>
  <c r="Z399" i="1" s="1"/>
  <c r="W399" i="1"/>
  <c r="V399" i="1"/>
  <c r="T399" i="1"/>
  <c r="Q399" i="1"/>
  <c r="O399" i="1"/>
  <c r="N399" i="1"/>
  <c r="M399" i="1"/>
  <c r="L399" i="1"/>
  <c r="K399" i="1"/>
  <c r="J399" i="1"/>
  <c r="I399" i="1"/>
  <c r="G399" i="1"/>
  <c r="H399" i="1" s="1"/>
  <c r="F399" i="1"/>
  <c r="E399" i="1"/>
  <c r="D399" i="1"/>
  <c r="C399" i="1"/>
  <c r="B399" i="1"/>
  <c r="A399" i="1"/>
  <c r="AH398" i="1"/>
  <c r="Y398" i="1"/>
  <c r="Z398" i="1" s="1"/>
  <c r="W398" i="1"/>
  <c r="V398" i="1"/>
  <c r="T398" i="1"/>
  <c r="Q398" i="1"/>
  <c r="O398" i="1"/>
  <c r="N398" i="1"/>
  <c r="M398" i="1"/>
  <c r="L398" i="1"/>
  <c r="K398" i="1"/>
  <c r="J398" i="1"/>
  <c r="I398" i="1"/>
  <c r="G398" i="1"/>
  <c r="H398" i="1" s="1"/>
  <c r="F398" i="1"/>
  <c r="E398" i="1"/>
  <c r="D398" i="1"/>
  <c r="C398" i="1"/>
  <c r="B398" i="1"/>
  <c r="A398" i="1"/>
  <c r="AH397" i="1"/>
  <c r="Y397" i="1"/>
  <c r="Z397" i="1" s="1"/>
  <c r="W397" i="1"/>
  <c r="V397" i="1"/>
  <c r="T397" i="1"/>
  <c r="Q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B397" i="1"/>
  <c r="A397" i="1"/>
  <c r="AH396" i="1"/>
  <c r="Y396" i="1"/>
  <c r="Z396" i="1" s="1"/>
  <c r="W396" i="1"/>
  <c r="V396" i="1"/>
  <c r="T396" i="1"/>
  <c r="O396" i="1"/>
  <c r="N396" i="1"/>
  <c r="M396" i="1"/>
  <c r="L396" i="1"/>
  <c r="K396" i="1"/>
  <c r="Q396" i="1" s="1"/>
  <c r="J396" i="1"/>
  <c r="I396" i="1"/>
  <c r="H396" i="1"/>
  <c r="G396" i="1"/>
  <c r="F396" i="1"/>
  <c r="E396" i="1"/>
  <c r="D396" i="1"/>
  <c r="C396" i="1"/>
  <c r="B396" i="1"/>
  <c r="A396" i="1"/>
  <c r="AH395" i="1"/>
  <c r="Y395" i="1"/>
  <c r="Z395" i="1" s="1"/>
  <c r="W395" i="1"/>
  <c r="V395" i="1"/>
  <c r="T395" i="1"/>
  <c r="O395" i="1"/>
  <c r="N395" i="1"/>
  <c r="M395" i="1"/>
  <c r="L395" i="1"/>
  <c r="K395" i="1"/>
  <c r="Q395" i="1" s="1"/>
  <c r="J395" i="1"/>
  <c r="I395" i="1"/>
  <c r="H395" i="1"/>
  <c r="G395" i="1"/>
  <c r="F395" i="1"/>
  <c r="E395" i="1"/>
  <c r="D395" i="1"/>
  <c r="C395" i="1"/>
  <c r="B395" i="1"/>
  <c r="A395" i="1"/>
  <c r="AH394" i="1"/>
  <c r="Y394" i="1"/>
  <c r="Z394" i="1" s="1"/>
  <c r="W394" i="1"/>
  <c r="V394" i="1"/>
  <c r="T394" i="1"/>
  <c r="O394" i="1"/>
  <c r="N394" i="1"/>
  <c r="M394" i="1"/>
  <c r="L394" i="1"/>
  <c r="K394" i="1"/>
  <c r="Q394" i="1" s="1"/>
  <c r="J394" i="1"/>
  <c r="I394" i="1"/>
  <c r="G394" i="1"/>
  <c r="H394" i="1" s="1"/>
  <c r="F394" i="1"/>
  <c r="E394" i="1"/>
  <c r="D394" i="1"/>
  <c r="C394" i="1"/>
  <c r="B394" i="1"/>
  <c r="A394" i="1"/>
  <c r="AH393" i="1"/>
  <c r="Y393" i="1"/>
  <c r="Z393" i="1" s="1"/>
  <c r="W393" i="1"/>
  <c r="V393" i="1"/>
  <c r="T393" i="1"/>
  <c r="Q393" i="1"/>
  <c r="O393" i="1"/>
  <c r="N393" i="1"/>
  <c r="M393" i="1"/>
  <c r="L393" i="1"/>
  <c r="K393" i="1"/>
  <c r="J393" i="1"/>
  <c r="I393" i="1"/>
  <c r="G393" i="1"/>
  <c r="H393" i="1" s="1"/>
  <c r="F393" i="1"/>
  <c r="E393" i="1"/>
  <c r="D393" i="1"/>
  <c r="C393" i="1"/>
  <c r="B393" i="1"/>
  <c r="A393" i="1"/>
  <c r="AH392" i="1"/>
  <c r="Y392" i="1"/>
  <c r="Z392" i="1" s="1"/>
  <c r="W392" i="1"/>
  <c r="V392" i="1"/>
  <c r="T392" i="1"/>
  <c r="Q392" i="1"/>
  <c r="O392" i="1"/>
  <c r="N392" i="1"/>
  <c r="M392" i="1"/>
  <c r="L392" i="1"/>
  <c r="K392" i="1"/>
  <c r="J392" i="1"/>
  <c r="I392" i="1"/>
  <c r="G392" i="1"/>
  <c r="H392" i="1" s="1"/>
  <c r="F392" i="1"/>
  <c r="E392" i="1"/>
  <c r="D392" i="1"/>
  <c r="C392" i="1"/>
  <c r="B392" i="1"/>
  <c r="A392" i="1"/>
  <c r="AH391" i="1"/>
  <c r="Y391" i="1"/>
  <c r="Z391" i="1" s="1"/>
  <c r="W391" i="1"/>
  <c r="V391" i="1"/>
  <c r="T391" i="1"/>
  <c r="O391" i="1"/>
  <c r="N391" i="1"/>
  <c r="M391" i="1"/>
  <c r="L391" i="1"/>
  <c r="K391" i="1"/>
  <c r="Q391" i="1" s="1"/>
  <c r="J391" i="1"/>
  <c r="I391" i="1"/>
  <c r="H391" i="1"/>
  <c r="G391" i="1"/>
  <c r="F391" i="1"/>
  <c r="E391" i="1"/>
  <c r="D391" i="1"/>
  <c r="C391" i="1"/>
  <c r="B391" i="1"/>
  <c r="A391" i="1"/>
  <c r="AH390" i="1"/>
  <c r="Y390" i="1"/>
  <c r="Z390" i="1" s="1"/>
  <c r="W390" i="1"/>
  <c r="V390" i="1"/>
  <c r="T390" i="1"/>
  <c r="O390" i="1"/>
  <c r="N390" i="1"/>
  <c r="M390" i="1"/>
  <c r="L390" i="1"/>
  <c r="K390" i="1"/>
  <c r="Q390" i="1" s="1"/>
  <c r="J390" i="1"/>
  <c r="I390" i="1"/>
  <c r="G390" i="1"/>
  <c r="H390" i="1" s="1"/>
  <c r="F390" i="1"/>
  <c r="E390" i="1"/>
  <c r="D390" i="1"/>
  <c r="C390" i="1"/>
  <c r="B390" i="1"/>
  <c r="A390" i="1"/>
  <c r="AH389" i="1"/>
  <c r="Y389" i="1"/>
  <c r="Z389" i="1" s="1"/>
  <c r="W389" i="1"/>
  <c r="V389" i="1"/>
  <c r="T389" i="1"/>
  <c r="O389" i="1"/>
  <c r="N389" i="1"/>
  <c r="M389" i="1"/>
  <c r="L389" i="1"/>
  <c r="K389" i="1"/>
  <c r="Q389" i="1" s="1"/>
  <c r="J389" i="1"/>
  <c r="I389" i="1"/>
  <c r="G389" i="1"/>
  <c r="H389" i="1" s="1"/>
  <c r="F389" i="1"/>
  <c r="E389" i="1"/>
  <c r="D389" i="1"/>
  <c r="C389" i="1"/>
  <c r="B389" i="1"/>
  <c r="A389" i="1"/>
  <c r="AH388" i="1"/>
  <c r="Y388" i="1"/>
  <c r="Z388" i="1" s="1"/>
  <c r="W388" i="1"/>
  <c r="V388" i="1"/>
  <c r="T388" i="1"/>
  <c r="O388" i="1"/>
  <c r="N388" i="1"/>
  <c r="M388" i="1"/>
  <c r="L388" i="1"/>
  <c r="K388" i="1"/>
  <c r="Q388" i="1" s="1"/>
  <c r="J388" i="1"/>
  <c r="I388" i="1"/>
  <c r="G388" i="1"/>
  <c r="H388" i="1" s="1"/>
  <c r="F388" i="1"/>
  <c r="E388" i="1"/>
  <c r="D388" i="1"/>
  <c r="C388" i="1"/>
  <c r="B388" i="1"/>
  <c r="A388" i="1"/>
  <c r="AH387" i="1"/>
  <c r="Y387" i="1"/>
  <c r="Z387" i="1" s="1"/>
  <c r="W387" i="1"/>
  <c r="V387" i="1"/>
  <c r="T387" i="1"/>
  <c r="Q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B387" i="1"/>
  <c r="A387" i="1"/>
  <c r="AH386" i="1"/>
  <c r="Y386" i="1"/>
  <c r="Z386" i="1" s="1"/>
  <c r="W386" i="1"/>
  <c r="V386" i="1"/>
  <c r="T386" i="1"/>
  <c r="Q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B386" i="1"/>
  <c r="A386" i="1"/>
  <c r="AH385" i="1"/>
  <c r="Y385" i="1"/>
  <c r="Z385" i="1" s="1"/>
  <c r="W385" i="1"/>
  <c r="V385" i="1"/>
  <c r="T385" i="1"/>
  <c r="O385" i="1"/>
  <c r="N385" i="1"/>
  <c r="M385" i="1"/>
  <c r="L385" i="1"/>
  <c r="K385" i="1"/>
  <c r="Q385" i="1" s="1"/>
  <c r="J385" i="1"/>
  <c r="I385" i="1"/>
  <c r="H385" i="1"/>
  <c r="G385" i="1"/>
  <c r="F385" i="1"/>
  <c r="E385" i="1"/>
  <c r="D385" i="1"/>
  <c r="C385" i="1"/>
  <c r="B385" i="1"/>
  <c r="A385" i="1"/>
  <c r="AH384" i="1"/>
  <c r="Y384" i="1"/>
  <c r="Z384" i="1" s="1"/>
  <c r="W384" i="1"/>
  <c r="V384" i="1"/>
  <c r="T384" i="1"/>
  <c r="Q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384" i="1"/>
  <c r="A384" i="1"/>
  <c r="AH383" i="1"/>
  <c r="Y383" i="1"/>
  <c r="Z383" i="1" s="1"/>
  <c r="W383" i="1"/>
  <c r="V383" i="1"/>
  <c r="T383" i="1"/>
  <c r="O383" i="1"/>
  <c r="N383" i="1"/>
  <c r="M383" i="1"/>
  <c r="L383" i="1"/>
  <c r="K383" i="1"/>
  <c r="Q383" i="1" s="1"/>
  <c r="J383" i="1"/>
  <c r="I383" i="1"/>
  <c r="G383" i="1"/>
  <c r="H383" i="1" s="1"/>
  <c r="F383" i="1"/>
  <c r="E383" i="1"/>
  <c r="D383" i="1"/>
  <c r="C383" i="1"/>
  <c r="B383" i="1"/>
  <c r="A383" i="1"/>
  <c r="AH382" i="1"/>
  <c r="Y382" i="1"/>
  <c r="Z382" i="1" s="1"/>
  <c r="W382" i="1"/>
  <c r="V382" i="1"/>
  <c r="T382" i="1"/>
  <c r="O382" i="1"/>
  <c r="N382" i="1"/>
  <c r="M382" i="1"/>
  <c r="L382" i="1"/>
  <c r="K382" i="1"/>
  <c r="Q382" i="1" s="1"/>
  <c r="J382" i="1"/>
  <c r="I382" i="1"/>
  <c r="H382" i="1"/>
  <c r="G382" i="1"/>
  <c r="F382" i="1"/>
  <c r="E382" i="1"/>
  <c r="D382" i="1"/>
  <c r="C382" i="1"/>
  <c r="B382" i="1"/>
  <c r="A382" i="1"/>
  <c r="AH381" i="1"/>
  <c r="Y381" i="1"/>
  <c r="Z381" i="1" s="1"/>
  <c r="W381" i="1"/>
  <c r="V381" i="1"/>
  <c r="T381" i="1"/>
  <c r="Q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B381" i="1"/>
  <c r="A381" i="1"/>
  <c r="AH380" i="1"/>
  <c r="Y380" i="1"/>
  <c r="Z380" i="1" s="1"/>
  <c r="W380" i="1"/>
  <c r="V380" i="1"/>
  <c r="T380" i="1"/>
  <c r="Q380" i="1"/>
  <c r="O380" i="1"/>
  <c r="N380" i="1"/>
  <c r="M380" i="1"/>
  <c r="L380" i="1"/>
  <c r="K380" i="1"/>
  <c r="J380" i="1"/>
  <c r="I380" i="1"/>
  <c r="G380" i="1"/>
  <c r="H380" i="1" s="1"/>
  <c r="F380" i="1"/>
  <c r="E380" i="1"/>
  <c r="D380" i="1"/>
  <c r="C380" i="1"/>
  <c r="B380" i="1"/>
  <c r="A380" i="1"/>
  <c r="AH379" i="1"/>
  <c r="Y379" i="1"/>
  <c r="Z379" i="1" s="1"/>
  <c r="W379" i="1"/>
  <c r="V379" i="1"/>
  <c r="T379" i="1"/>
  <c r="Q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B379" i="1"/>
  <c r="A379" i="1"/>
  <c r="AH378" i="1"/>
  <c r="Y378" i="1"/>
  <c r="Z378" i="1" s="1"/>
  <c r="W378" i="1"/>
  <c r="V378" i="1"/>
  <c r="T378" i="1"/>
  <c r="Q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B378" i="1"/>
  <c r="A378" i="1"/>
  <c r="AH377" i="1"/>
  <c r="Y377" i="1"/>
  <c r="Z377" i="1" s="1"/>
  <c r="W377" i="1"/>
  <c r="V377" i="1"/>
  <c r="T377" i="1"/>
  <c r="O377" i="1"/>
  <c r="N377" i="1"/>
  <c r="M377" i="1"/>
  <c r="L377" i="1"/>
  <c r="K377" i="1"/>
  <c r="Q377" i="1" s="1"/>
  <c r="J377" i="1"/>
  <c r="I377" i="1"/>
  <c r="H377" i="1"/>
  <c r="G377" i="1"/>
  <c r="F377" i="1"/>
  <c r="E377" i="1"/>
  <c r="D377" i="1"/>
  <c r="C377" i="1"/>
  <c r="B377" i="1"/>
  <c r="A377" i="1"/>
  <c r="AH376" i="1"/>
  <c r="Y376" i="1"/>
  <c r="Z376" i="1" s="1"/>
  <c r="W376" i="1"/>
  <c r="V376" i="1"/>
  <c r="T376" i="1"/>
  <c r="O376" i="1"/>
  <c r="N376" i="1"/>
  <c r="M376" i="1"/>
  <c r="L376" i="1"/>
  <c r="K376" i="1"/>
  <c r="Q376" i="1" s="1"/>
  <c r="J376" i="1"/>
  <c r="I376" i="1"/>
  <c r="G376" i="1"/>
  <c r="H376" i="1" s="1"/>
  <c r="F376" i="1"/>
  <c r="E376" i="1"/>
  <c r="D376" i="1"/>
  <c r="C376" i="1"/>
  <c r="B376" i="1"/>
  <c r="A376" i="1"/>
  <c r="AH375" i="1"/>
  <c r="Y375" i="1"/>
  <c r="Z375" i="1" s="1"/>
  <c r="W375" i="1"/>
  <c r="V375" i="1"/>
  <c r="T375" i="1"/>
  <c r="Q375" i="1"/>
  <c r="O375" i="1"/>
  <c r="N375" i="1"/>
  <c r="M375" i="1"/>
  <c r="L375" i="1"/>
  <c r="K375" i="1"/>
  <c r="J375" i="1"/>
  <c r="I375" i="1"/>
  <c r="G375" i="1"/>
  <c r="H375" i="1" s="1"/>
  <c r="F375" i="1"/>
  <c r="E375" i="1"/>
  <c r="D375" i="1"/>
  <c r="C375" i="1"/>
  <c r="B375" i="1"/>
  <c r="A375" i="1"/>
  <c r="AH374" i="1"/>
  <c r="Y374" i="1"/>
  <c r="Z374" i="1" s="1"/>
  <c r="W374" i="1"/>
  <c r="V374" i="1"/>
  <c r="T374" i="1"/>
  <c r="Q374" i="1"/>
  <c r="O374" i="1"/>
  <c r="N374" i="1"/>
  <c r="M374" i="1"/>
  <c r="L374" i="1"/>
  <c r="K374" i="1"/>
  <c r="J374" i="1"/>
  <c r="I374" i="1"/>
  <c r="G374" i="1"/>
  <c r="H374" i="1" s="1"/>
  <c r="F374" i="1"/>
  <c r="E374" i="1"/>
  <c r="D374" i="1"/>
  <c r="C374" i="1"/>
  <c r="B374" i="1"/>
  <c r="A374" i="1"/>
  <c r="AH373" i="1"/>
  <c r="Y373" i="1"/>
  <c r="Z373" i="1" s="1"/>
  <c r="W373" i="1"/>
  <c r="V373" i="1"/>
  <c r="T373" i="1"/>
  <c r="Q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A373" i="1"/>
  <c r="AH372" i="1"/>
  <c r="Y372" i="1"/>
  <c r="Z372" i="1" s="1"/>
  <c r="W372" i="1"/>
  <c r="V372" i="1"/>
  <c r="T372" i="1"/>
  <c r="O372" i="1"/>
  <c r="N372" i="1"/>
  <c r="M372" i="1"/>
  <c r="L372" i="1"/>
  <c r="K372" i="1"/>
  <c r="Q372" i="1" s="1"/>
  <c r="J372" i="1"/>
  <c r="I372" i="1"/>
  <c r="H372" i="1"/>
  <c r="G372" i="1"/>
  <c r="F372" i="1"/>
  <c r="E372" i="1"/>
  <c r="D372" i="1"/>
  <c r="C372" i="1"/>
  <c r="B372" i="1"/>
  <c r="A372" i="1"/>
  <c r="AH371" i="1"/>
  <c r="Y371" i="1"/>
  <c r="Z371" i="1" s="1"/>
  <c r="W371" i="1"/>
  <c r="V371" i="1"/>
  <c r="T371" i="1"/>
  <c r="O371" i="1"/>
  <c r="N371" i="1"/>
  <c r="M371" i="1"/>
  <c r="L371" i="1"/>
  <c r="K371" i="1"/>
  <c r="Q371" i="1" s="1"/>
  <c r="J371" i="1"/>
  <c r="I371" i="1"/>
  <c r="G371" i="1"/>
  <c r="H371" i="1" s="1"/>
  <c r="F371" i="1"/>
  <c r="E371" i="1"/>
  <c r="D371" i="1"/>
  <c r="C371" i="1"/>
  <c r="B371" i="1"/>
  <c r="A371" i="1"/>
  <c r="AH370" i="1"/>
  <c r="Y370" i="1"/>
  <c r="Z370" i="1" s="1"/>
  <c r="W370" i="1"/>
  <c r="V370" i="1"/>
  <c r="T370" i="1"/>
  <c r="O370" i="1"/>
  <c r="N370" i="1"/>
  <c r="M370" i="1"/>
  <c r="L370" i="1"/>
  <c r="K370" i="1"/>
  <c r="Q370" i="1" s="1"/>
  <c r="J370" i="1"/>
  <c r="I370" i="1"/>
  <c r="G370" i="1"/>
  <c r="H370" i="1" s="1"/>
  <c r="F370" i="1"/>
  <c r="E370" i="1"/>
  <c r="D370" i="1"/>
  <c r="C370" i="1"/>
  <c r="B370" i="1"/>
  <c r="A370" i="1"/>
  <c r="AH369" i="1"/>
  <c r="Y369" i="1"/>
  <c r="Z369" i="1" s="1"/>
  <c r="W369" i="1"/>
  <c r="V369" i="1"/>
  <c r="T369" i="1"/>
  <c r="Q369" i="1"/>
  <c r="O369" i="1"/>
  <c r="N369" i="1"/>
  <c r="M369" i="1"/>
  <c r="L369" i="1"/>
  <c r="K369" i="1"/>
  <c r="J369" i="1"/>
  <c r="I369" i="1"/>
  <c r="G369" i="1"/>
  <c r="H369" i="1" s="1"/>
  <c r="F369" i="1"/>
  <c r="E369" i="1"/>
  <c r="D369" i="1"/>
  <c r="C369" i="1"/>
  <c r="B369" i="1"/>
  <c r="A369" i="1"/>
  <c r="AH368" i="1"/>
  <c r="Y368" i="1"/>
  <c r="Z368" i="1" s="1"/>
  <c r="W368" i="1"/>
  <c r="V368" i="1"/>
  <c r="T368" i="1"/>
  <c r="Q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B368" i="1"/>
  <c r="A368" i="1"/>
  <c r="AH367" i="1"/>
  <c r="Y367" i="1"/>
  <c r="Z367" i="1" s="1"/>
  <c r="W367" i="1"/>
  <c r="V367" i="1"/>
  <c r="T367" i="1"/>
  <c r="O367" i="1"/>
  <c r="N367" i="1"/>
  <c r="M367" i="1"/>
  <c r="L367" i="1"/>
  <c r="K367" i="1"/>
  <c r="Q367" i="1" s="1"/>
  <c r="J367" i="1"/>
  <c r="I367" i="1"/>
  <c r="H367" i="1"/>
  <c r="G367" i="1"/>
  <c r="F367" i="1"/>
  <c r="E367" i="1"/>
  <c r="D367" i="1"/>
  <c r="C367" i="1"/>
  <c r="B367" i="1"/>
  <c r="A367" i="1"/>
  <c r="AH366" i="1"/>
  <c r="Y366" i="1"/>
  <c r="Z366" i="1" s="1"/>
  <c r="W366" i="1"/>
  <c r="V366" i="1"/>
  <c r="T366" i="1"/>
  <c r="O366" i="1"/>
  <c r="N366" i="1"/>
  <c r="M366" i="1"/>
  <c r="L366" i="1"/>
  <c r="K366" i="1"/>
  <c r="Q366" i="1" s="1"/>
  <c r="J366" i="1"/>
  <c r="I366" i="1"/>
  <c r="G366" i="1"/>
  <c r="H366" i="1" s="1"/>
  <c r="F366" i="1"/>
  <c r="E366" i="1"/>
  <c r="D366" i="1"/>
  <c r="C366" i="1"/>
  <c r="B366" i="1"/>
  <c r="A366" i="1"/>
  <c r="AH365" i="1"/>
  <c r="Y365" i="1"/>
  <c r="Z365" i="1" s="1"/>
  <c r="W365" i="1"/>
  <c r="V365" i="1"/>
  <c r="T365" i="1"/>
  <c r="O365" i="1"/>
  <c r="N365" i="1"/>
  <c r="M365" i="1"/>
  <c r="L365" i="1"/>
  <c r="K365" i="1"/>
  <c r="Q365" i="1" s="1"/>
  <c r="J365" i="1"/>
  <c r="I365" i="1"/>
  <c r="G365" i="1"/>
  <c r="H365" i="1" s="1"/>
  <c r="F365" i="1"/>
  <c r="E365" i="1"/>
  <c r="D365" i="1"/>
  <c r="C365" i="1"/>
  <c r="B365" i="1"/>
  <c r="A365" i="1"/>
  <c r="AH364" i="1"/>
  <c r="Y364" i="1"/>
  <c r="Z364" i="1" s="1"/>
  <c r="W364" i="1"/>
  <c r="V364" i="1"/>
  <c r="T364" i="1"/>
  <c r="Q364" i="1"/>
  <c r="O364" i="1"/>
  <c r="N364" i="1"/>
  <c r="M364" i="1"/>
  <c r="L364" i="1"/>
  <c r="K364" i="1"/>
  <c r="J364" i="1"/>
  <c r="I364" i="1"/>
  <c r="G364" i="1"/>
  <c r="H364" i="1" s="1"/>
  <c r="F364" i="1"/>
  <c r="E364" i="1"/>
  <c r="D364" i="1"/>
  <c r="C364" i="1"/>
  <c r="B364" i="1"/>
  <c r="A364" i="1"/>
  <c r="AH363" i="1"/>
  <c r="Y363" i="1"/>
  <c r="Z363" i="1" s="1"/>
  <c r="W363" i="1"/>
  <c r="V363" i="1"/>
  <c r="T363" i="1"/>
  <c r="Q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B363" i="1"/>
  <c r="A363" i="1"/>
  <c r="AH362" i="1"/>
  <c r="Y362" i="1"/>
  <c r="Z362" i="1" s="1"/>
  <c r="W362" i="1"/>
  <c r="V362" i="1"/>
  <c r="T362" i="1"/>
  <c r="O362" i="1"/>
  <c r="N362" i="1"/>
  <c r="M362" i="1"/>
  <c r="L362" i="1"/>
  <c r="K362" i="1"/>
  <c r="Q362" i="1" s="1"/>
  <c r="J362" i="1"/>
  <c r="I362" i="1"/>
  <c r="H362" i="1"/>
  <c r="G362" i="1"/>
  <c r="F362" i="1"/>
  <c r="E362" i="1"/>
  <c r="D362" i="1"/>
  <c r="C362" i="1"/>
  <c r="B362" i="1"/>
  <c r="A362" i="1"/>
  <c r="AH361" i="1"/>
  <c r="Y361" i="1"/>
  <c r="Z361" i="1" s="1"/>
  <c r="W361" i="1"/>
  <c r="V361" i="1"/>
  <c r="T361" i="1"/>
  <c r="O361" i="1"/>
  <c r="N361" i="1"/>
  <c r="M361" i="1"/>
  <c r="L361" i="1"/>
  <c r="K361" i="1"/>
  <c r="Q361" i="1" s="1"/>
  <c r="J361" i="1"/>
  <c r="I361" i="1"/>
  <c r="G361" i="1"/>
  <c r="H361" i="1" s="1"/>
  <c r="F361" i="1"/>
  <c r="E361" i="1"/>
  <c r="D361" i="1"/>
  <c r="C361" i="1"/>
  <c r="B361" i="1"/>
  <c r="A361" i="1"/>
  <c r="AH360" i="1"/>
  <c r="Y360" i="1"/>
  <c r="Z360" i="1" s="1"/>
  <c r="W360" i="1"/>
  <c r="V360" i="1"/>
  <c r="T360" i="1"/>
  <c r="Q360" i="1"/>
  <c r="O360" i="1"/>
  <c r="N360" i="1"/>
  <c r="M360" i="1"/>
  <c r="L360" i="1"/>
  <c r="K360" i="1"/>
  <c r="J360" i="1"/>
  <c r="I360" i="1"/>
  <c r="G360" i="1"/>
  <c r="H360" i="1" s="1"/>
  <c r="F360" i="1"/>
  <c r="E360" i="1"/>
  <c r="D360" i="1"/>
  <c r="C360" i="1"/>
  <c r="B360" i="1"/>
  <c r="A360" i="1"/>
  <c r="AH359" i="1"/>
  <c r="Y359" i="1"/>
  <c r="Z359" i="1" s="1"/>
  <c r="W359" i="1"/>
  <c r="V359" i="1"/>
  <c r="T359" i="1"/>
  <c r="O359" i="1"/>
  <c r="N359" i="1"/>
  <c r="M359" i="1"/>
  <c r="L359" i="1"/>
  <c r="K359" i="1"/>
  <c r="Q359" i="1" s="1"/>
  <c r="J359" i="1"/>
  <c r="I359" i="1"/>
  <c r="G359" i="1"/>
  <c r="H359" i="1" s="1"/>
  <c r="F359" i="1"/>
  <c r="E359" i="1"/>
  <c r="D359" i="1"/>
  <c r="C359" i="1"/>
  <c r="B359" i="1"/>
  <c r="A359" i="1"/>
  <c r="AH358" i="1"/>
  <c r="Y358" i="1"/>
  <c r="Z358" i="1" s="1"/>
  <c r="W358" i="1"/>
  <c r="V358" i="1"/>
  <c r="T358" i="1"/>
  <c r="O358" i="1"/>
  <c r="N358" i="1"/>
  <c r="M358" i="1"/>
  <c r="L358" i="1"/>
  <c r="K358" i="1"/>
  <c r="Q358" i="1" s="1"/>
  <c r="J358" i="1"/>
  <c r="I358" i="1"/>
  <c r="H358" i="1"/>
  <c r="G358" i="1"/>
  <c r="F358" i="1"/>
  <c r="E358" i="1"/>
  <c r="D358" i="1"/>
  <c r="C358" i="1"/>
  <c r="B358" i="1"/>
  <c r="A358" i="1"/>
  <c r="AH357" i="1"/>
  <c r="Y357" i="1"/>
  <c r="Z357" i="1" s="1"/>
  <c r="W357" i="1"/>
  <c r="V357" i="1"/>
  <c r="T357" i="1"/>
  <c r="Q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B357" i="1"/>
  <c r="A357" i="1"/>
  <c r="AH356" i="1"/>
  <c r="Y356" i="1"/>
  <c r="Z356" i="1" s="1"/>
  <c r="W356" i="1"/>
  <c r="V356" i="1"/>
  <c r="T356" i="1"/>
  <c r="O356" i="1"/>
  <c r="N356" i="1"/>
  <c r="M356" i="1"/>
  <c r="L356" i="1"/>
  <c r="K356" i="1"/>
  <c r="Q356" i="1" s="1"/>
  <c r="J356" i="1"/>
  <c r="I356" i="1"/>
  <c r="G356" i="1"/>
  <c r="H356" i="1" s="1"/>
  <c r="F356" i="1"/>
  <c r="E356" i="1"/>
  <c r="D356" i="1"/>
  <c r="C356" i="1"/>
  <c r="B356" i="1"/>
  <c r="A356" i="1"/>
  <c r="AH355" i="1"/>
  <c r="Y355" i="1"/>
  <c r="Z355" i="1" s="1"/>
  <c r="W355" i="1"/>
  <c r="V355" i="1"/>
  <c r="T355" i="1"/>
  <c r="Q355" i="1"/>
  <c r="O355" i="1"/>
  <c r="N355" i="1"/>
  <c r="M355" i="1"/>
  <c r="L355" i="1"/>
  <c r="K355" i="1"/>
  <c r="J355" i="1"/>
  <c r="I355" i="1"/>
  <c r="G355" i="1"/>
  <c r="H355" i="1" s="1"/>
  <c r="F355" i="1"/>
  <c r="E355" i="1"/>
  <c r="D355" i="1"/>
  <c r="C355" i="1"/>
  <c r="B355" i="1"/>
  <c r="A355" i="1"/>
  <c r="AH354" i="1"/>
  <c r="Y354" i="1"/>
  <c r="Z354" i="1" s="1"/>
  <c r="W354" i="1"/>
  <c r="V354" i="1"/>
  <c r="T354" i="1"/>
  <c r="Q354" i="1"/>
  <c r="O354" i="1"/>
  <c r="N354" i="1"/>
  <c r="M354" i="1"/>
  <c r="L354" i="1"/>
  <c r="K354" i="1"/>
  <c r="J354" i="1"/>
  <c r="I354" i="1"/>
  <c r="G354" i="1"/>
  <c r="H354" i="1" s="1"/>
  <c r="F354" i="1"/>
  <c r="E354" i="1"/>
  <c r="D354" i="1"/>
  <c r="C354" i="1"/>
  <c r="B354" i="1"/>
  <c r="A354" i="1"/>
  <c r="AH353" i="1"/>
  <c r="Y353" i="1"/>
  <c r="Z353" i="1" s="1"/>
  <c r="W353" i="1"/>
  <c r="V353" i="1"/>
  <c r="T353" i="1"/>
  <c r="O353" i="1"/>
  <c r="N353" i="1"/>
  <c r="M353" i="1"/>
  <c r="L353" i="1"/>
  <c r="K353" i="1"/>
  <c r="Q353" i="1" s="1"/>
  <c r="J353" i="1"/>
  <c r="I353" i="1"/>
  <c r="H353" i="1"/>
  <c r="G353" i="1"/>
  <c r="F353" i="1"/>
  <c r="E353" i="1"/>
  <c r="D353" i="1"/>
  <c r="C353" i="1"/>
  <c r="B353" i="1"/>
  <c r="A353" i="1"/>
  <c r="AH352" i="1"/>
  <c r="Y352" i="1"/>
  <c r="Z352" i="1" s="1"/>
  <c r="W352" i="1"/>
  <c r="V352" i="1"/>
  <c r="T352" i="1"/>
  <c r="O352" i="1"/>
  <c r="N352" i="1"/>
  <c r="M352" i="1"/>
  <c r="L352" i="1"/>
  <c r="K352" i="1"/>
  <c r="Q352" i="1" s="1"/>
  <c r="J352" i="1"/>
  <c r="I352" i="1"/>
  <c r="G352" i="1"/>
  <c r="H352" i="1" s="1"/>
  <c r="F352" i="1"/>
  <c r="E352" i="1"/>
  <c r="D352" i="1"/>
  <c r="C352" i="1"/>
  <c r="B352" i="1"/>
  <c r="A352" i="1"/>
  <c r="AH351" i="1"/>
  <c r="Y351" i="1"/>
  <c r="Z351" i="1" s="1"/>
  <c r="W351" i="1"/>
  <c r="V351" i="1"/>
  <c r="T351" i="1"/>
  <c r="Q351" i="1"/>
  <c r="O351" i="1"/>
  <c r="N351" i="1"/>
  <c r="M351" i="1"/>
  <c r="L351" i="1"/>
  <c r="K351" i="1"/>
  <c r="J351" i="1"/>
  <c r="I351" i="1"/>
  <c r="G351" i="1"/>
  <c r="H351" i="1" s="1"/>
  <c r="F351" i="1"/>
  <c r="E351" i="1"/>
  <c r="D351" i="1"/>
  <c r="C351" i="1"/>
  <c r="B351" i="1"/>
  <c r="A351" i="1"/>
  <c r="AH350" i="1"/>
  <c r="Y350" i="1"/>
  <c r="Z350" i="1" s="1"/>
  <c r="W350" i="1"/>
  <c r="V350" i="1"/>
  <c r="T350" i="1"/>
  <c r="Q350" i="1"/>
  <c r="O350" i="1"/>
  <c r="N350" i="1"/>
  <c r="M350" i="1"/>
  <c r="L350" i="1"/>
  <c r="K350" i="1"/>
  <c r="J350" i="1"/>
  <c r="I350" i="1"/>
  <c r="G350" i="1"/>
  <c r="H350" i="1" s="1"/>
  <c r="F350" i="1"/>
  <c r="E350" i="1"/>
  <c r="D350" i="1"/>
  <c r="C350" i="1"/>
  <c r="B350" i="1"/>
  <c r="A350" i="1"/>
  <c r="AH349" i="1"/>
  <c r="Y349" i="1"/>
  <c r="Z349" i="1" s="1"/>
  <c r="W349" i="1"/>
  <c r="V349" i="1"/>
  <c r="T349" i="1"/>
  <c r="Q349" i="1"/>
  <c r="O349" i="1"/>
  <c r="N349" i="1"/>
  <c r="M349" i="1"/>
  <c r="L349" i="1"/>
  <c r="K349" i="1"/>
  <c r="J349" i="1"/>
  <c r="I349" i="1"/>
  <c r="G349" i="1"/>
  <c r="H349" i="1" s="1"/>
  <c r="F349" i="1"/>
  <c r="E349" i="1"/>
  <c r="D349" i="1"/>
  <c r="C349" i="1"/>
  <c r="B349" i="1"/>
  <c r="A349" i="1"/>
  <c r="AH348" i="1"/>
  <c r="Y348" i="1"/>
  <c r="Z348" i="1" s="1"/>
  <c r="W348" i="1"/>
  <c r="V348" i="1"/>
  <c r="T348" i="1"/>
  <c r="O348" i="1"/>
  <c r="N348" i="1"/>
  <c r="M348" i="1"/>
  <c r="L348" i="1"/>
  <c r="K348" i="1"/>
  <c r="Q348" i="1" s="1"/>
  <c r="J348" i="1"/>
  <c r="I348" i="1"/>
  <c r="H348" i="1"/>
  <c r="G348" i="1"/>
  <c r="F348" i="1"/>
  <c r="E348" i="1"/>
  <c r="D348" i="1"/>
  <c r="C348" i="1"/>
  <c r="B348" i="1"/>
  <c r="A348" i="1"/>
  <c r="AH347" i="1"/>
  <c r="Y347" i="1"/>
  <c r="Z347" i="1" s="1"/>
  <c r="W347" i="1"/>
  <c r="V347" i="1"/>
  <c r="T347" i="1"/>
  <c r="O347" i="1"/>
  <c r="N347" i="1"/>
  <c r="M347" i="1"/>
  <c r="L347" i="1"/>
  <c r="K347" i="1"/>
  <c r="Q347" i="1" s="1"/>
  <c r="J347" i="1"/>
  <c r="I347" i="1"/>
  <c r="G347" i="1"/>
  <c r="H347" i="1" s="1"/>
  <c r="F347" i="1"/>
  <c r="E347" i="1"/>
  <c r="D347" i="1"/>
  <c r="C347" i="1"/>
  <c r="B347" i="1"/>
  <c r="A347" i="1"/>
  <c r="AH346" i="1"/>
  <c r="Y346" i="1"/>
  <c r="Z346" i="1" s="1"/>
  <c r="W346" i="1"/>
  <c r="V346" i="1"/>
  <c r="T346" i="1"/>
  <c r="Q346" i="1"/>
  <c r="O346" i="1"/>
  <c r="N346" i="1"/>
  <c r="M346" i="1"/>
  <c r="L346" i="1"/>
  <c r="K346" i="1"/>
  <c r="J346" i="1"/>
  <c r="I346" i="1"/>
  <c r="G346" i="1"/>
  <c r="H346" i="1" s="1"/>
  <c r="F346" i="1"/>
  <c r="E346" i="1"/>
  <c r="D346" i="1"/>
  <c r="C346" i="1"/>
  <c r="B346" i="1"/>
  <c r="A346" i="1"/>
  <c r="AH345" i="1"/>
  <c r="Y345" i="1"/>
  <c r="Z345" i="1" s="1"/>
  <c r="W345" i="1"/>
  <c r="V345" i="1"/>
  <c r="T345" i="1"/>
  <c r="Q345" i="1"/>
  <c r="O345" i="1"/>
  <c r="N345" i="1"/>
  <c r="M345" i="1"/>
  <c r="L345" i="1"/>
  <c r="K345" i="1"/>
  <c r="J345" i="1"/>
  <c r="I345" i="1"/>
  <c r="G345" i="1"/>
  <c r="H345" i="1" s="1"/>
  <c r="F345" i="1"/>
  <c r="E345" i="1"/>
  <c r="D345" i="1"/>
  <c r="C345" i="1"/>
  <c r="B345" i="1"/>
  <c r="A345" i="1"/>
  <c r="AH344" i="1"/>
  <c r="Y344" i="1"/>
  <c r="Z344" i="1" s="1"/>
  <c r="W344" i="1"/>
  <c r="V344" i="1"/>
  <c r="T344" i="1"/>
  <c r="O344" i="1"/>
  <c r="N344" i="1"/>
  <c r="M344" i="1"/>
  <c r="L344" i="1"/>
  <c r="K344" i="1"/>
  <c r="Q344" i="1" s="1"/>
  <c r="J344" i="1"/>
  <c r="I344" i="1"/>
  <c r="G344" i="1"/>
  <c r="H344" i="1" s="1"/>
  <c r="F344" i="1"/>
  <c r="E344" i="1"/>
  <c r="D344" i="1"/>
  <c r="C344" i="1"/>
  <c r="B344" i="1"/>
  <c r="A344" i="1"/>
  <c r="AH343" i="1"/>
  <c r="Y343" i="1"/>
  <c r="Z343" i="1" s="1"/>
  <c r="W343" i="1"/>
  <c r="V343" i="1"/>
  <c r="T343" i="1"/>
  <c r="O343" i="1"/>
  <c r="N343" i="1"/>
  <c r="M343" i="1"/>
  <c r="L343" i="1"/>
  <c r="K343" i="1"/>
  <c r="Q343" i="1" s="1"/>
  <c r="J343" i="1"/>
  <c r="I343" i="1"/>
  <c r="G343" i="1"/>
  <c r="H343" i="1" s="1"/>
  <c r="F343" i="1"/>
  <c r="E343" i="1"/>
  <c r="D343" i="1"/>
  <c r="C343" i="1"/>
  <c r="B343" i="1"/>
  <c r="A343" i="1"/>
  <c r="AH342" i="1"/>
  <c r="Y342" i="1"/>
  <c r="Z342" i="1" s="1"/>
  <c r="W342" i="1"/>
  <c r="V342" i="1"/>
  <c r="T342" i="1"/>
  <c r="O342" i="1"/>
  <c r="N342" i="1"/>
  <c r="M342" i="1"/>
  <c r="L342" i="1"/>
  <c r="K342" i="1"/>
  <c r="Q342" i="1" s="1"/>
  <c r="J342" i="1"/>
  <c r="I342" i="1"/>
  <c r="H342" i="1"/>
  <c r="G342" i="1"/>
  <c r="F342" i="1"/>
  <c r="E342" i="1"/>
  <c r="D342" i="1"/>
  <c r="C342" i="1"/>
  <c r="B342" i="1"/>
  <c r="A342" i="1"/>
  <c r="AH341" i="1"/>
  <c r="Y341" i="1"/>
  <c r="Z341" i="1" s="1"/>
  <c r="W341" i="1"/>
  <c r="V341" i="1"/>
  <c r="T341" i="1"/>
  <c r="O341" i="1"/>
  <c r="N341" i="1"/>
  <c r="M341" i="1"/>
  <c r="L341" i="1"/>
  <c r="K341" i="1"/>
  <c r="Q341" i="1" s="1"/>
  <c r="J341" i="1"/>
  <c r="I341" i="1"/>
  <c r="G341" i="1"/>
  <c r="H341" i="1" s="1"/>
  <c r="F341" i="1"/>
  <c r="E341" i="1"/>
  <c r="D341" i="1"/>
  <c r="C341" i="1"/>
  <c r="B341" i="1"/>
  <c r="A341" i="1"/>
  <c r="AH340" i="1"/>
  <c r="Y340" i="1"/>
  <c r="Z340" i="1" s="1"/>
  <c r="W340" i="1"/>
  <c r="V340" i="1"/>
  <c r="T340" i="1"/>
  <c r="Q340" i="1"/>
  <c r="O340" i="1"/>
  <c r="N340" i="1"/>
  <c r="M340" i="1"/>
  <c r="L340" i="1"/>
  <c r="K340" i="1"/>
  <c r="J340" i="1"/>
  <c r="I340" i="1"/>
  <c r="G340" i="1"/>
  <c r="H340" i="1" s="1"/>
  <c r="F340" i="1"/>
  <c r="E340" i="1"/>
  <c r="D340" i="1"/>
  <c r="C340" i="1"/>
  <c r="B340" i="1"/>
  <c r="A340" i="1"/>
  <c r="AH339" i="1"/>
  <c r="Y339" i="1"/>
  <c r="Z339" i="1" s="1"/>
  <c r="W339" i="1"/>
  <c r="V339" i="1"/>
  <c r="T339" i="1"/>
  <c r="Q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A339" i="1"/>
  <c r="AH338" i="1"/>
  <c r="Y338" i="1"/>
  <c r="Z338" i="1" s="1"/>
  <c r="W338" i="1"/>
  <c r="V338" i="1"/>
  <c r="T338" i="1"/>
  <c r="O338" i="1"/>
  <c r="N338" i="1"/>
  <c r="M338" i="1"/>
  <c r="L338" i="1"/>
  <c r="K338" i="1"/>
  <c r="Q338" i="1" s="1"/>
  <c r="J338" i="1"/>
  <c r="I338" i="1"/>
  <c r="H338" i="1"/>
  <c r="G338" i="1"/>
  <c r="F338" i="1"/>
  <c r="E338" i="1"/>
  <c r="D338" i="1"/>
  <c r="C338" i="1"/>
  <c r="B338" i="1"/>
  <c r="A338" i="1"/>
  <c r="AH337" i="1"/>
  <c r="Y337" i="1"/>
  <c r="Z337" i="1" s="1"/>
  <c r="W337" i="1"/>
  <c r="V337" i="1"/>
  <c r="T337" i="1"/>
  <c r="O337" i="1"/>
  <c r="N337" i="1"/>
  <c r="M337" i="1"/>
  <c r="L337" i="1"/>
  <c r="K337" i="1"/>
  <c r="Q337" i="1" s="1"/>
  <c r="J337" i="1"/>
  <c r="I337" i="1"/>
  <c r="H337" i="1"/>
  <c r="G337" i="1"/>
  <c r="F337" i="1"/>
  <c r="E337" i="1"/>
  <c r="D337" i="1"/>
  <c r="C337" i="1"/>
  <c r="B337" i="1"/>
  <c r="A337" i="1"/>
  <c r="AH336" i="1"/>
  <c r="Y336" i="1"/>
  <c r="Z336" i="1" s="1"/>
  <c r="W336" i="1"/>
  <c r="V336" i="1"/>
  <c r="T336" i="1"/>
  <c r="Q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A336" i="1"/>
  <c r="AH335" i="1"/>
  <c r="Y335" i="1"/>
  <c r="Z335" i="1" s="1"/>
  <c r="W335" i="1"/>
  <c r="V335" i="1"/>
  <c r="T335" i="1"/>
  <c r="O335" i="1"/>
  <c r="N335" i="1"/>
  <c r="M335" i="1"/>
  <c r="L335" i="1"/>
  <c r="K335" i="1"/>
  <c r="Q335" i="1" s="1"/>
  <c r="J335" i="1"/>
  <c r="I335" i="1"/>
  <c r="G335" i="1"/>
  <c r="H335" i="1" s="1"/>
  <c r="F335" i="1"/>
  <c r="E335" i="1"/>
  <c r="D335" i="1"/>
  <c r="C335" i="1"/>
  <c r="B335" i="1"/>
  <c r="A335" i="1"/>
  <c r="AH334" i="1"/>
  <c r="Y334" i="1"/>
  <c r="Z334" i="1" s="1"/>
  <c r="W334" i="1"/>
  <c r="V334" i="1"/>
  <c r="T334" i="1"/>
  <c r="O334" i="1"/>
  <c r="N334" i="1"/>
  <c r="M334" i="1"/>
  <c r="L334" i="1"/>
  <c r="K334" i="1"/>
  <c r="Q334" i="1" s="1"/>
  <c r="J334" i="1"/>
  <c r="I334" i="1"/>
  <c r="H334" i="1"/>
  <c r="G334" i="1"/>
  <c r="F334" i="1"/>
  <c r="E334" i="1"/>
  <c r="D334" i="1"/>
  <c r="C334" i="1"/>
  <c r="B334" i="1"/>
  <c r="A334" i="1"/>
  <c r="AH333" i="1"/>
  <c r="Y333" i="1"/>
  <c r="Z333" i="1" s="1"/>
  <c r="W333" i="1"/>
  <c r="V333" i="1"/>
  <c r="T333" i="1"/>
  <c r="Q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A333" i="1"/>
  <c r="AH332" i="1"/>
  <c r="Y332" i="1"/>
  <c r="Z332" i="1" s="1"/>
  <c r="W332" i="1"/>
  <c r="V332" i="1"/>
  <c r="T332" i="1"/>
  <c r="O332" i="1"/>
  <c r="N332" i="1"/>
  <c r="M332" i="1"/>
  <c r="L332" i="1"/>
  <c r="K332" i="1"/>
  <c r="Q332" i="1" s="1"/>
  <c r="J332" i="1"/>
  <c r="I332" i="1"/>
  <c r="H332" i="1"/>
  <c r="G332" i="1"/>
  <c r="F332" i="1"/>
  <c r="E332" i="1"/>
  <c r="D332" i="1"/>
  <c r="C332" i="1"/>
  <c r="B332" i="1"/>
  <c r="A332" i="1"/>
  <c r="AH331" i="1"/>
  <c r="Y331" i="1"/>
  <c r="Z331" i="1" s="1"/>
  <c r="W331" i="1"/>
  <c r="V331" i="1"/>
  <c r="T331" i="1"/>
  <c r="Q331" i="1"/>
  <c r="O331" i="1"/>
  <c r="N331" i="1"/>
  <c r="M331" i="1"/>
  <c r="L331" i="1"/>
  <c r="K331" i="1"/>
  <c r="J331" i="1"/>
  <c r="I331" i="1"/>
  <c r="G331" i="1"/>
  <c r="H331" i="1" s="1"/>
  <c r="F331" i="1"/>
  <c r="E331" i="1"/>
  <c r="D331" i="1"/>
  <c r="C331" i="1"/>
  <c r="B331" i="1"/>
  <c r="A331" i="1"/>
  <c r="AH330" i="1"/>
  <c r="Y330" i="1"/>
  <c r="Z330" i="1" s="1"/>
  <c r="W330" i="1"/>
  <c r="V330" i="1"/>
  <c r="T330" i="1"/>
  <c r="Q330" i="1"/>
  <c r="O330" i="1"/>
  <c r="N330" i="1"/>
  <c r="M330" i="1"/>
  <c r="L330" i="1"/>
  <c r="K330" i="1"/>
  <c r="J330" i="1"/>
  <c r="I330" i="1"/>
  <c r="G330" i="1"/>
  <c r="H330" i="1" s="1"/>
  <c r="F330" i="1"/>
  <c r="E330" i="1"/>
  <c r="D330" i="1"/>
  <c r="C330" i="1"/>
  <c r="B330" i="1"/>
  <c r="A330" i="1"/>
  <c r="AH329" i="1"/>
  <c r="Y329" i="1"/>
  <c r="Z329" i="1" s="1"/>
  <c r="W329" i="1"/>
  <c r="V329" i="1"/>
  <c r="T329" i="1"/>
  <c r="O329" i="1"/>
  <c r="N329" i="1"/>
  <c r="M329" i="1"/>
  <c r="L329" i="1"/>
  <c r="K329" i="1"/>
  <c r="Q329" i="1" s="1"/>
  <c r="J329" i="1"/>
  <c r="I329" i="1"/>
  <c r="H329" i="1"/>
  <c r="G329" i="1"/>
  <c r="F329" i="1"/>
  <c r="E329" i="1"/>
  <c r="D329" i="1"/>
  <c r="C329" i="1"/>
  <c r="B329" i="1"/>
  <c r="A329" i="1"/>
  <c r="AH328" i="1"/>
  <c r="Y328" i="1"/>
  <c r="Z328" i="1" s="1"/>
  <c r="W328" i="1"/>
  <c r="V328" i="1"/>
  <c r="T328" i="1"/>
  <c r="O328" i="1"/>
  <c r="N328" i="1"/>
  <c r="M328" i="1"/>
  <c r="L328" i="1"/>
  <c r="K328" i="1"/>
  <c r="Q328" i="1" s="1"/>
  <c r="J328" i="1"/>
  <c r="I328" i="1"/>
  <c r="H328" i="1"/>
  <c r="G328" i="1"/>
  <c r="F328" i="1"/>
  <c r="E328" i="1"/>
  <c r="D328" i="1"/>
  <c r="C328" i="1"/>
  <c r="B328" i="1"/>
  <c r="A328" i="1"/>
  <c r="AH327" i="1"/>
  <c r="Y327" i="1"/>
  <c r="Z327" i="1" s="1"/>
  <c r="W327" i="1"/>
  <c r="V327" i="1"/>
  <c r="T327" i="1"/>
  <c r="Q327" i="1"/>
  <c r="O327" i="1"/>
  <c r="N327" i="1"/>
  <c r="M327" i="1"/>
  <c r="L327" i="1"/>
  <c r="K327" i="1"/>
  <c r="J327" i="1"/>
  <c r="I327" i="1"/>
  <c r="G327" i="1"/>
  <c r="H327" i="1" s="1"/>
  <c r="F327" i="1"/>
  <c r="E327" i="1"/>
  <c r="D327" i="1"/>
  <c r="C327" i="1"/>
  <c r="B327" i="1"/>
  <c r="A327" i="1"/>
  <c r="AH326" i="1"/>
  <c r="Y326" i="1"/>
  <c r="Z326" i="1" s="1"/>
  <c r="W326" i="1"/>
  <c r="V326" i="1"/>
  <c r="T326" i="1"/>
  <c r="Q326" i="1"/>
  <c r="O326" i="1"/>
  <c r="N326" i="1"/>
  <c r="M326" i="1"/>
  <c r="L326" i="1"/>
  <c r="K326" i="1"/>
  <c r="J326" i="1"/>
  <c r="I326" i="1"/>
  <c r="G326" i="1"/>
  <c r="H326" i="1" s="1"/>
  <c r="F326" i="1"/>
  <c r="E326" i="1"/>
  <c r="D326" i="1"/>
  <c r="C326" i="1"/>
  <c r="B326" i="1"/>
  <c r="A326" i="1"/>
  <c r="AH325" i="1"/>
  <c r="Y325" i="1"/>
  <c r="Z325" i="1" s="1"/>
  <c r="W325" i="1"/>
  <c r="V325" i="1"/>
  <c r="T325" i="1"/>
  <c r="Q325" i="1"/>
  <c r="O325" i="1"/>
  <c r="N325" i="1"/>
  <c r="M325" i="1"/>
  <c r="L325" i="1"/>
  <c r="K325" i="1"/>
  <c r="J325" i="1"/>
  <c r="I325" i="1"/>
  <c r="G325" i="1"/>
  <c r="H325" i="1" s="1"/>
  <c r="F325" i="1"/>
  <c r="E325" i="1"/>
  <c r="D325" i="1"/>
  <c r="C325" i="1"/>
  <c r="B325" i="1"/>
  <c r="A325" i="1"/>
  <c r="AH324" i="1"/>
  <c r="Y324" i="1"/>
  <c r="Z324" i="1" s="1"/>
  <c r="W324" i="1"/>
  <c r="V324" i="1"/>
  <c r="T324" i="1"/>
  <c r="O324" i="1"/>
  <c r="N324" i="1"/>
  <c r="M324" i="1"/>
  <c r="L324" i="1"/>
  <c r="K324" i="1"/>
  <c r="Q324" i="1" s="1"/>
  <c r="J324" i="1"/>
  <c r="I324" i="1"/>
  <c r="H324" i="1"/>
  <c r="G324" i="1"/>
  <c r="F324" i="1"/>
  <c r="E324" i="1"/>
  <c r="D324" i="1"/>
  <c r="C324" i="1"/>
  <c r="B324" i="1"/>
  <c r="A324" i="1"/>
  <c r="AH323" i="1"/>
  <c r="Y323" i="1"/>
  <c r="Z323" i="1" s="1"/>
  <c r="W323" i="1"/>
  <c r="V323" i="1"/>
  <c r="T323" i="1"/>
  <c r="O323" i="1"/>
  <c r="N323" i="1"/>
  <c r="M323" i="1"/>
  <c r="L323" i="1"/>
  <c r="K323" i="1"/>
  <c r="Q323" i="1" s="1"/>
  <c r="J323" i="1"/>
  <c r="I323" i="1"/>
  <c r="G323" i="1"/>
  <c r="H323" i="1" s="1"/>
  <c r="F323" i="1"/>
  <c r="E323" i="1"/>
  <c r="D323" i="1"/>
  <c r="C323" i="1"/>
  <c r="B323" i="1"/>
  <c r="A323" i="1"/>
  <c r="AH322" i="1"/>
  <c r="Y322" i="1"/>
  <c r="Z322" i="1" s="1"/>
  <c r="W322" i="1"/>
  <c r="V322" i="1"/>
  <c r="T322" i="1"/>
  <c r="O322" i="1"/>
  <c r="N322" i="1"/>
  <c r="M322" i="1"/>
  <c r="L322" i="1"/>
  <c r="K322" i="1"/>
  <c r="Q322" i="1" s="1"/>
  <c r="J322" i="1"/>
  <c r="I322" i="1"/>
  <c r="G322" i="1"/>
  <c r="H322" i="1" s="1"/>
  <c r="F322" i="1"/>
  <c r="E322" i="1"/>
  <c r="D322" i="1"/>
  <c r="C322" i="1"/>
  <c r="B322" i="1"/>
  <c r="A322" i="1"/>
  <c r="AH321" i="1"/>
  <c r="Y321" i="1"/>
  <c r="Z321" i="1" s="1"/>
  <c r="W321" i="1"/>
  <c r="V321" i="1"/>
  <c r="T321" i="1"/>
  <c r="Q321" i="1"/>
  <c r="O321" i="1"/>
  <c r="N321" i="1"/>
  <c r="M321" i="1"/>
  <c r="L321" i="1"/>
  <c r="K321" i="1"/>
  <c r="J321" i="1"/>
  <c r="I321" i="1"/>
  <c r="G321" i="1"/>
  <c r="H321" i="1" s="1"/>
  <c r="F321" i="1"/>
  <c r="E321" i="1"/>
  <c r="D321" i="1"/>
  <c r="C321" i="1"/>
  <c r="B321" i="1"/>
  <c r="A321" i="1"/>
  <c r="AH320" i="1"/>
  <c r="Y320" i="1"/>
  <c r="Z320" i="1" s="1"/>
  <c r="W320" i="1"/>
  <c r="V320" i="1"/>
  <c r="T320" i="1"/>
  <c r="Q320" i="1"/>
  <c r="O320" i="1"/>
  <c r="N320" i="1"/>
  <c r="M320" i="1"/>
  <c r="L320" i="1"/>
  <c r="K320" i="1"/>
  <c r="J320" i="1"/>
  <c r="I320" i="1"/>
  <c r="G320" i="1"/>
  <c r="H320" i="1" s="1"/>
  <c r="F320" i="1"/>
  <c r="E320" i="1"/>
  <c r="D320" i="1"/>
  <c r="C320" i="1"/>
  <c r="B320" i="1"/>
  <c r="A320" i="1"/>
  <c r="AH319" i="1"/>
  <c r="Y319" i="1"/>
  <c r="Z319" i="1" s="1"/>
  <c r="W319" i="1"/>
  <c r="V319" i="1"/>
  <c r="T319" i="1"/>
  <c r="O319" i="1"/>
  <c r="N319" i="1"/>
  <c r="M319" i="1"/>
  <c r="L319" i="1"/>
  <c r="K319" i="1"/>
  <c r="Q319" i="1" s="1"/>
  <c r="J319" i="1"/>
  <c r="I319" i="1"/>
  <c r="H319" i="1"/>
  <c r="G319" i="1"/>
  <c r="F319" i="1"/>
  <c r="E319" i="1"/>
  <c r="D319" i="1"/>
  <c r="C319" i="1"/>
  <c r="B319" i="1"/>
  <c r="A319" i="1"/>
  <c r="AH318" i="1"/>
  <c r="Y318" i="1"/>
  <c r="Z318" i="1" s="1"/>
  <c r="W318" i="1"/>
  <c r="V318" i="1"/>
  <c r="T318" i="1"/>
  <c r="O318" i="1"/>
  <c r="N318" i="1"/>
  <c r="M318" i="1"/>
  <c r="L318" i="1"/>
  <c r="K318" i="1"/>
  <c r="Q318" i="1" s="1"/>
  <c r="J318" i="1"/>
  <c r="I318" i="1"/>
  <c r="H318" i="1"/>
  <c r="G318" i="1"/>
  <c r="F318" i="1"/>
  <c r="E318" i="1"/>
  <c r="D318" i="1"/>
  <c r="C318" i="1"/>
  <c r="B318" i="1"/>
  <c r="A318" i="1"/>
  <c r="AH317" i="1"/>
  <c r="Y317" i="1"/>
  <c r="Z317" i="1" s="1"/>
  <c r="W317" i="1"/>
  <c r="V317" i="1"/>
  <c r="T317" i="1"/>
  <c r="O317" i="1"/>
  <c r="N317" i="1"/>
  <c r="M317" i="1"/>
  <c r="L317" i="1"/>
  <c r="K317" i="1"/>
  <c r="Q317" i="1" s="1"/>
  <c r="J317" i="1"/>
  <c r="I317" i="1"/>
  <c r="H317" i="1"/>
  <c r="G317" i="1"/>
  <c r="F317" i="1"/>
  <c r="E317" i="1"/>
  <c r="D317" i="1"/>
  <c r="C317" i="1"/>
  <c r="B317" i="1"/>
  <c r="A317" i="1"/>
  <c r="AH316" i="1"/>
  <c r="Y316" i="1"/>
  <c r="Z316" i="1" s="1"/>
  <c r="W316" i="1"/>
  <c r="V316" i="1"/>
  <c r="T316" i="1"/>
  <c r="Q316" i="1"/>
  <c r="O316" i="1"/>
  <c r="N316" i="1"/>
  <c r="M316" i="1"/>
  <c r="L316" i="1"/>
  <c r="K316" i="1"/>
  <c r="J316" i="1"/>
  <c r="I316" i="1"/>
  <c r="G316" i="1"/>
  <c r="H316" i="1" s="1"/>
  <c r="F316" i="1"/>
  <c r="E316" i="1"/>
  <c r="D316" i="1"/>
  <c r="C316" i="1"/>
  <c r="B316" i="1"/>
  <c r="A316" i="1"/>
  <c r="AH315" i="1"/>
  <c r="Y315" i="1"/>
  <c r="Z315" i="1" s="1"/>
  <c r="W315" i="1"/>
  <c r="V315" i="1"/>
  <c r="T315" i="1"/>
  <c r="Q315" i="1"/>
  <c r="O315" i="1"/>
  <c r="N315" i="1"/>
  <c r="M315" i="1"/>
  <c r="L315" i="1"/>
  <c r="K315" i="1"/>
  <c r="J315" i="1"/>
  <c r="I315" i="1"/>
  <c r="G315" i="1"/>
  <c r="H315" i="1" s="1"/>
  <c r="F315" i="1"/>
  <c r="E315" i="1"/>
  <c r="D315" i="1"/>
  <c r="C315" i="1"/>
  <c r="B315" i="1"/>
  <c r="A315" i="1"/>
  <c r="AH314" i="1"/>
  <c r="Y314" i="1"/>
  <c r="Z314" i="1" s="1"/>
  <c r="W314" i="1"/>
  <c r="V314" i="1"/>
  <c r="T314" i="1"/>
  <c r="O314" i="1"/>
  <c r="N314" i="1"/>
  <c r="M314" i="1"/>
  <c r="L314" i="1"/>
  <c r="K314" i="1"/>
  <c r="Q314" i="1" s="1"/>
  <c r="J314" i="1"/>
  <c r="I314" i="1"/>
  <c r="H314" i="1"/>
  <c r="G314" i="1"/>
  <c r="F314" i="1"/>
  <c r="E314" i="1"/>
  <c r="D314" i="1"/>
  <c r="C314" i="1"/>
  <c r="B314" i="1"/>
  <c r="A314" i="1"/>
  <c r="AH313" i="1"/>
  <c r="Y313" i="1"/>
  <c r="Z313" i="1" s="1"/>
  <c r="W313" i="1"/>
  <c r="V313" i="1"/>
  <c r="T313" i="1"/>
  <c r="O313" i="1"/>
  <c r="N313" i="1"/>
  <c r="M313" i="1"/>
  <c r="L313" i="1"/>
  <c r="K313" i="1"/>
  <c r="Q313" i="1" s="1"/>
  <c r="J313" i="1"/>
  <c r="I313" i="1"/>
  <c r="G313" i="1"/>
  <c r="H313" i="1" s="1"/>
  <c r="F313" i="1"/>
  <c r="E313" i="1"/>
  <c r="D313" i="1"/>
  <c r="C313" i="1"/>
  <c r="B313" i="1"/>
  <c r="A313" i="1"/>
  <c r="AH312" i="1"/>
  <c r="Y312" i="1"/>
  <c r="Z312" i="1" s="1"/>
  <c r="W312" i="1"/>
  <c r="V312" i="1"/>
  <c r="T312" i="1"/>
  <c r="O312" i="1"/>
  <c r="N312" i="1"/>
  <c r="M312" i="1"/>
  <c r="L312" i="1"/>
  <c r="K312" i="1"/>
  <c r="Q312" i="1" s="1"/>
  <c r="J312" i="1"/>
  <c r="I312" i="1"/>
  <c r="G312" i="1"/>
  <c r="H312" i="1" s="1"/>
  <c r="F312" i="1"/>
  <c r="E312" i="1"/>
  <c r="D312" i="1"/>
  <c r="C312" i="1"/>
  <c r="B312" i="1"/>
  <c r="A312" i="1"/>
  <c r="AH311" i="1"/>
  <c r="Y311" i="1"/>
  <c r="Z311" i="1" s="1"/>
  <c r="W311" i="1"/>
  <c r="V311" i="1"/>
  <c r="T311" i="1"/>
  <c r="O311" i="1"/>
  <c r="N311" i="1"/>
  <c r="M311" i="1"/>
  <c r="L311" i="1"/>
  <c r="K311" i="1"/>
  <c r="Q311" i="1" s="1"/>
  <c r="J311" i="1"/>
  <c r="I311" i="1"/>
  <c r="G311" i="1"/>
  <c r="H311" i="1" s="1"/>
  <c r="F311" i="1"/>
  <c r="E311" i="1"/>
  <c r="D311" i="1"/>
  <c r="C311" i="1"/>
  <c r="B311" i="1"/>
  <c r="A311" i="1"/>
  <c r="AH310" i="1"/>
  <c r="Y310" i="1"/>
  <c r="Z310" i="1" s="1"/>
  <c r="W310" i="1"/>
  <c r="V310" i="1"/>
  <c r="T310" i="1"/>
  <c r="O310" i="1"/>
  <c r="N310" i="1"/>
  <c r="M310" i="1"/>
  <c r="L310" i="1"/>
  <c r="K310" i="1"/>
  <c r="Q310" i="1" s="1"/>
  <c r="J310" i="1"/>
  <c r="I310" i="1"/>
  <c r="G310" i="1"/>
  <c r="H310" i="1" s="1"/>
  <c r="F310" i="1"/>
  <c r="E310" i="1"/>
  <c r="D310" i="1"/>
  <c r="C310" i="1"/>
  <c r="B310" i="1"/>
  <c r="A310" i="1"/>
  <c r="AH309" i="1"/>
  <c r="Y309" i="1"/>
  <c r="Z309" i="1" s="1"/>
  <c r="W309" i="1"/>
  <c r="V309" i="1"/>
  <c r="T309" i="1"/>
  <c r="O309" i="1"/>
  <c r="N309" i="1"/>
  <c r="M309" i="1"/>
  <c r="L309" i="1"/>
  <c r="J309" i="1"/>
  <c r="K309" i="1" s="1"/>
  <c r="Q309" i="1" s="1"/>
  <c r="I309" i="1"/>
  <c r="H309" i="1"/>
  <c r="G309" i="1"/>
  <c r="F309" i="1"/>
  <c r="E309" i="1"/>
  <c r="D309" i="1"/>
  <c r="C309" i="1"/>
  <c r="B309" i="1"/>
  <c r="A309" i="1"/>
  <c r="AH308" i="1"/>
  <c r="Y308" i="1"/>
  <c r="Z308" i="1" s="1"/>
  <c r="W308" i="1"/>
  <c r="V308" i="1"/>
  <c r="T308" i="1"/>
  <c r="O308" i="1"/>
  <c r="N308" i="1"/>
  <c r="M308" i="1"/>
  <c r="L308" i="1"/>
  <c r="K308" i="1"/>
  <c r="Q308" i="1" s="1"/>
  <c r="J308" i="1"/>
  <c r="I308" i="1"/>
  <c r="G308" i="1"/>
  <c r="H308" i="1" s="1"/>
  <c r="F308" i="1"/>
  <c r="E308" i="1"/>
  <c r="D308" i="1"/>
  <c r="C308" i="1"/>
  <c r="B308" i="1"/>
  <c r="A308" i="1"/>
  <c r="AH307" i="1"/>
  <c r="Y307" i="1"/>
  <c r="Z307" i="1" s="1"/>
  <c r="W307" i="1"/>
  <c r="V307" i="1"/>
  <c r="T307" i="1"/>
  <c r="O307" i="1"/>
  <c r="N307" i="1"/>
  <c r="M307" i="1"/>
  <c r="L307" i="1"/>
  <c r="J307" i="1"/>
  <c r="K307" i="1" s="1"/>
  <c r="Q307" i="1" s="1"/>
  <c r="I307" i="1"/>
  <c r="H307" i="1"/>
  <c r="G307" i="1"/>
  <c r="F307" i="1"/>
  <c r="E307" i="1"/>
  <c r="D307" i="1"/>
  <c r="C307" i="1"/>
  <c r="B307" i="1"/>
  <c r="A307" i="1"/>
  <c r="AH306" i="1"/>
  <c r="Y306" i="1"/>
  <c r="Z306" i="1" s="1"/>
  <c r="W306" i="1"/>
  <c r="V306" i="1"/>
  <c r="T306" i="1"/>
  <c r="O306" i="1"/>
  <c r="N306" i="1"/>
  <c r="M306" i="1"/>
  <c r="L306" i="1"/>
  <c r="K306" i="1"/>
  <c r="Q306" i="1" s="1"/>
  <c r="J306" i="1"/>
  <c r="I306" i="1"/>
  <c r="G306" i="1"/>
  <c r="H306" i="1" s="1"/>
  <c r="F306" i="1"/>
  <c r="E306" i="1"/>
  <c r="D306" i="1"/>
  <c r="C306" i="1"/>
  <c r="B306" i="1"/>
  <c r="A306" i="1"/>
  <c r="AH305" i="1"/>
  <c r="Y305" i="1"/>
  <c r="Z305" i="1" s="1"/>
  <c r="W305" i="1"/>
  <c r="V305" i="1"/>
  <c r="T305" i="1"/>
  <c r="O305" i="1"/>
  <c r="N305" i="1"/>
  <c r="M305" i="1"/>
  <c r="L305" i="1"/>
  <c r="K305" i="1"/>
  <c r="Q305" i="1" s="1"/>
  <c r="J305" i="1"/>
  <c r="I305" i="1"/>
  <c r="H305" i="1"/>
  <c r="G305" i="1"/>
  <c r="F305" i="1"/>
  <c r="E305" i="1"/>
  <c r="D305" i="1"/>
  <c r="C305" i="1"/>
  <c r="B305" i="1"/>
  <c r="A305" i="1"/>
  <c r="AH304" i="1"/>
  <c r="Y304" i="1"/>
  <c r="Z304" i="1" s="1"/>
  <c r="W304" i="1"/>
  <c r="V304" i="1"/>
  <c r="T304" i="1"/>
  <c r="O304" i="1"/>
  <c r="N304" i="1"/>
  <c r="M304" i="1"/>
  <c r="L304" i="1"/>
  <c r="J304" i="1"/>
  <c r="K304" i="1" s="1"/>
  <c r="Q304" i="1" s="1"/>
  <c r="I304" i="1"/>
  <c r="H304" i="1"/>
  <c r="G304" i="1"/>
  <c r="F304" i="1"/>
  <c r="E304" i="1"/>
  <c r="D304" i="1"/>
  <c r="C304" i="1"/>
  <c r="B304" i="1"/>
  <c r="A304" i="1"/>
  <c r="AH303" i="1"/>
  <c r="Y303" i="1"/>
  <c r="Z303" i="1" s="1"/>
  <c r="W303" i="1"/>
  <c r="V303" i="1"/>
  <c r="T303" i="1"/>
  <c r="Q303" i="1"/>
  <c r="O303" i="1"/>
  <c r="N303" i="1"/>
  <c r="M303" i="1"/>
  <c r="L303" i="1"/>
  <c r="K303" i="1"/>
  <c r="J303" i="1"/>
  <c r="I303" i="1"/>
  <c r="G303" i="1"/>
  <c r="H303" i="1" s="1"/>
  <c r="F303" i="1"/>
  <c r="E303" i="1"/>
  <c r="D303" i="1"/>
  <c r="C303" i="1"/>
  <c r="B303" i="1"/>
  <c r="A303" i="1"/>
  <c r="AH302" i="1"/>
  <c r="Y302" i="1"/>
  <c r="Z302" i="1" s="1"/>
  <c r="W302" i="1"/>
  <c r="V302" i="1"/>
  <c r="T302" i="1"/>
  <c r="Q302" i="1"/>
  <c r="O302" i="1"/>
  <c r="N302" i="1"/>
  <c r="M302" i="1"/>
  <c r="L302" i="1"/>
  <c r="K302" i="1"/>
  <c r="J302" i="1"/>
  <c r="I302" i="1"/>
  <c r="G302" i="1"/>
  <c r="H302" i="1" s="1"/>
  <c r="F302" i="1"/>
  <c r="E302" i="1"/>
  <c r="D302" i="1"/>
  <c r="C302" i="1"/>
  <c r="B302" i="1"/>
  <c r="A302" i="1"/>
  <c r="AH301" i="1"/>
  <c r="Y301" i="1"/>
  <c r="Z301" i="1" s="1"/>
  <c r="W301" i="1"/>
  <c r="V301" i="1"/>
  <c r="T301" i="1"/>
  <c r="Q301" i="1"/>
  <c r="O301" i="1"/>
  <c r="N301" i="1"/>
  <c r="M301" i="1"/>
  <c r="L301" i="1"/>
  <c r="K301" i="1"/>
  <c r="J301" i="1"/>
  <c r="I301" i="1"/>
  <c r="G301" i="1"/>
  <c r="H301" i="1" s="1"/>
  <c r="F301" i="1"/>
  <c r="E301" i="1"/>
  <c r="D301" i="1"/>
  <c r="C301" i="1"/>
  <c r="B301" i="1"/>
  <c r="A301" i="1"/>
  <c r="AH300" i="1"/>
  <c r="Y300" i="1"/>
  <c r="Z300" i="1" s="1"/>
  <c r="W300" i="1"/>
  <c r="V300" i="1"/>
  <c r="T300" i="1"/>
  <c r="O300" i="1"/>
  <c r="N300" i="1"/>
  <c r="M300" i="1"/>
  <c r="L300" i="1"/>
  <c r="K300" i="1"/>
  <c r="Q300" i="1" s="1"/>
  <c r="J300" i="1"/>
  <c r="I300" i="1"/>
  <c r="H300" i="1"/>
  <c r="G300" i="1"/>
  <c r="F300" i="1"/>
  <c r="E300" i="1"/>
  <c r="D300" i="1"/>
  <c r="C300" i="1"/>
  <c r="B300" i="1"/>
  <c r="A300" i="1"/>
  <c r="AH299" i="1"/>
  <c r="Y299" i="1"/>
  <c r="Z299" i="1" s="1"/>
  <c r="W299" i="1"/>
  <c r="V299" i="1"/>
  <c r="T299" i="1"/>
  <c r="O299" i="1"/>
  <c r="N299" i="1"/>
  <c r="M299" i="1"/>
  <c r="L299" i="1"/>
  <c r="K299" i="1"/>
  <c r="Q299" i="1" s="1"/>
  <c r="J299" i="1"/>
  <c r="I299" i="1"/>
  <c r="H299" i="1"/>
  <c r="G299" i="1"/>
  <c r="F299" i="1"/>
  <c r="E299" i="1"/>
  <c r="D299" i="1"/>
  <c r="C299" i="1"/>
  <c r="B299" i="1"/>
  <c r="A299" i="1"/>
  <c r="AH298" i="1"/>
  <c r="Y298" i="1"/>
  <c r="Z298" i="1" s="1"/>
  <c r="W298" i="1"/>
  <c r="V298" i="1"/>
  <c r="T298" i="1"/>
  <c r="O298" i="1"/>
  <c r="N298" i="1"/>
  <c r="M298" i="1"/>
  <c r="L298" i="1"/>
  <c r="K298" i="1"/>
  <c r="Q298" i="1" s="1"/>
  <c r="J298" i="1"/>
  <c r="I298" i="1"/>
  <c r="G298" i="1"/>
  <c r="H298" i="1" s="1"/>
  <c r="F298" i="1"/>
  <c r="E298" i="1"/>
  <c r="D298" i="1"/>
  <c r="C298" i="1"/>
  <c r="B298" i="1"/>
  <c r="A298" i="1"/>
  <c r="AH297" i="1"/>
  <c r="Y297" i="1"/>
  <c r="Z297" i="1" s="1"/>
  <c r="W297" i="1"/>
  <c r="V297" i="1"/>
  <c r="T297" i="1"/>
  <c r="Q297" i="1"/>
  <c r="O297" i="1"/>
  <c r="N297" i="1"/>
  <c r="M297" i="1"/>
  <c r="L297" i="1"/>
  <c r="K297" i="1"/>
  <c r="J297" i="1"/>
  <c r="I297" i="1"/>
  <c r="G297" i="1"/>
  <c r="H297" i="1" s="1"/>
  <c r="F297" i="1"/>
  <c r="E297" i="1"/>
  <c r="D297" i="1"/>
  <c r="C297" i="1"/>
  <c r="B297" i="1"/>
  <c r="A297" i="1"/>
  <c r="AH296" i="1"/>
  <c r="Y296" i="1"/>
  <c r="Z296" i="1" s="1"/>
  <c r="W296" i="1"/>
  <c r="V296" i="1"/>
  <c r="T296" i="1"/>
  <c r="Q296" i="1"/>
  <c r="O296" i="1"/>
  <c r="N296" i="1"/>
  <c r="M296" i="1"/>
  <c r="L296" i="1"/>
  <c r="K296" i="1"/>
  <c r="J296" i="1"/>
  <c r="I296" i="1"/>
  <c r="G296" i="1"/>
  <c r="H296" i="1" s="1"/>
  <c r="F296" i="1"/>
  <c r="E296" i="1"/>
  <c r="D296" i="1"/>
  <c r="C296" i="1"/>
  <c r="B296" i="1"/>
  <c r="A296" i="1"/>
  <c r="AH295" i="1"/>
  <c r="Y295" i="1"/>
  <c r="Z295" i="1" s="1"/>
  <c r="W295" i="1"/>
  <c r="V295" i="1"/>
  <c r="T295" i="1"/>
  <c r="O295" i="1"/>
  <c r="N295" i="1"/>
  <c r="M295" i="1"/>
  <c r="L295" i="1"/>
  <c r="K295" i="1"/>
  <c r="Q295" i="1" s="1"/>
  <c r="J295" i="1"/>
  <c r="I295" i="1"/>
  <c r="G295" i="1"/>
  <c r="H295" i="1" s="1"/>
  <c r="F295" i="1"/>
  <c r="E295" i="1"/>
  <c r="D295" i="1"/>
  <c r="C295" i="1"/>
  <c r="B295" i="1"/>
  <c r="A295" i="1"/>
  <c r="AH294" i="1"/>
  <c r="Y294" i="1"/>
  <c r="Z294" i="1" s="1"/>
  <c r="W294" i="1"/>
  <c r="V294" i="1"/>
  <c r="T294" i="1"/>
  <c r="O294" i="1"/>
  <c r="N294" i="1"/>
  <c r="M294" i="1"/>
  <c r="L294" i="1"/>
  <c r="K294" i="1"/>
  <c r="Q294" i="1" s="1"/>
  <c r="J294" i="1"/>
  <c r="I294" i="1"/>
  <c r="H294" i="1"/>
  <c r="G294" i="1"/>
  <c r="F294" i="1"/>
  <c r="E294" i="1"/>
  <c r="D294" i="1"/>
  <c r="C294" i="1"/>
  <c r="B294" i="1"/>
  <c r="A294" i="1"/>
  <c r="AH293" i="1"/>
  <c r="Y293" i="1"/>
  <c r="Z293" i="1" s="1"/>
  <c r="W293" i="1"/>
  <c r="V293" i="1"/>
  <c r="T293" i="1"/>
  <c r="O293" i="1"/>
  <c r="N293" i="1"/>
  <c r="M293" i="1"/>
  <c r="L293" i="1"/>
  <c r="K293" i="1"/>
  <c r="Q293" i="1" s="1"/>
  <c r="J293" i="1"/>
  <c r="I293" i="1"/>
  <c r="H293" i="1"/>
  <c r="G293" i="1"/>
  <c r="F293" i="1"/>
  <c r="E293" i="1"/>
  <c r="D293" i="1"/>
  <c r="C293" i="1"/>
  <c r="B293" i="1"/>
  <c r="A293" i="1"/>
  <c r="AH292" i="1"/>
  <c r="Y292" i="1"/>
  <c r="Z292" i="1" s="1"/>
  <c r="W292" i="1"/>
  <c r="V292" i="1"/>
  <c r="T292" i="1"/>
  <c r="Q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A292" i="1"/>
  <c r="AH291" i="1"/>
  <c r="Y291" i="1"/>
  <c r="Z291" i="1" s="1"/>
  <c r="W291" i="1"/>
  <c r="V291" i="1"/>
  <c r="T291" i="1"/>
  <c r="Q291" i="1"/>
  <c r="O291" i="1"/>
  <c r="N291" i="1"/>
  <c r="M291" i="1"/>
  <c r="L291" i="1"/>
  <c r="K291" i="1"/>
  <c r="J291" i="1"/>
  <c r="I291" i="1"/>
  <c r="G291" i="1"/>
  <c r="H291" i="1" s="1"/>
  <c r="F291" i="1"/>
  <c r="E291" i="1"/>
  <c r="D291" i="1"/>
  <c r="C291" i="1"/>
  <c r="B291" i="1"/>
  <c r="A291" i="1"/>
  <c r="AH290" i="1"/>
  <c r="Y290" i="1"/>
  <c r="Z290" i="1" s="1"/>
  <c r="W290" i="1"/>
  <c r="V290" i="1"/>
  <c r="T290" i="1"/>
  <c r="O290" i="1"/>
  <c r="N290" i="1"/>
  <c r="M290" i="1"/>
  <c r="L290" i="1"/>
  <c r="K290" i="1"/>
  <c r="Q290" i="1" s="1"/>
  <c r="J290" i="1"/>
  <c r="I290" i="1"/>
  <c r="H290" i="1"/>
  <c r="G290" i="1"/>
  <c r="F290" i="1"/>
  <c r="E290" i="1"/>
  <c r="D290" i="1"/>
  <c r="C290" i="1"/>
  <c r="B290" i="1"/>
  <c r="A290" i="1"/>
  <c r="AH289" i="1"/>
  <c r="Y289" i="1"/>
  <c r="Z289" i="1" s="1"/>
  <c r="W289" i="1"/>
  <c r="V289" i="1"/>
  <c r="T289" i="1"/>
  <c r="O289" i="1"/>
  <c r="N289" i="1"/>
  <c r="M289" i="1"/>
  <c r="L289" i="1"/>
  <c r="K289" i="1"/>
  <c r="Q289" i="1" s="1"/>
  <c r="J289" i="1"/>
  <c r="I289" i="1"/>
  <c r="G289" i="1"/>
  <c r="H289" i="1" s="1"/>
  <c r="F289" i="1"/>
  <c r="E289" i="1"/>
  <c r="D289" i="1"/>
  <c r="C289" i="1"/>
  <c r="B289" i="1"/>
  <c r="A289" i="1"/>
  <c r="AH288" i="1"/>
  <c r="Y288" i="1"/>
  <c r="Z288" i="1" s="1"/>
  <c r="W288" i="1"/>
  <c r="V288" i="1"/>
  <c r="T288" i="1"/>
  <c r="O288" i="1"/>
  <c r="N288" i="1"/>
  <c r="M288" i="1"/>
  <c r="L288" i="1"/>
  <c r="K288" i="1"/>
  <c r="Q288" i="1" s="1"/>
  <c r="J288" i="1"/>
  <c r="I288" i="1"/>
  <c r="G288" i="1"/>
  <c r="H288" i="1" s="1"/>
  <c r="F288" i="1"/>
  <c r="E288" i="1"/>
  <c r="D288" i="1"/>
  <c r="C288" i="1"/>
  <c r="B288" i="1"/>
  <c r="A288" i="1"/>
  <c r="AH287" i="1"/>
  <c r="Y287" i="1"/>
  <c r="Z287" i="1" s="1"/>
  <c r="W287" i="1"/>
  <c r="V287" i="1"/>
  <c r="T287" i="1"/>
  <c r="O287" i="1"/>
  <c r="N287" i="1"/>
  <c r="M287" i="1"/>
  <c r="L287" i="1"/>
  <c r="K287" i="1"/>
  <c r="Q287" i="1" s="1"/>
  <c r="J287" i="1"/>
  <c r="I287" i="1"/>
  <c r="G287" i="1"/>
  <c r="H287" i="1" s="1"/>
  <c r="F287" i="1"/>
  <c r="E287" i="1"/>
  <c r="D287" i="1"/>
  <c r="C287" i="1"/>
  <c r="B287" i="1"/>
  <c r="A287" i="1"/>
  <c r="AH286" i="1"/>
  <c r="Y286" i="1"/>
  <c r="Z286" i="1" s="1"/>
  <c r="W286" i="1"/>
  <c r="V286" i="1"/>
  <c r="T286" i="1"/>
  <c r="Q286" i="1"/>
  <c r="O286" i="1"/>
  <c r="N286" i="1"/>
  <c r="M286" i="1"/>
  <c r="L286" i="1"/>
  <c r="K286" i="1"/>
  <c r="J286" i="1"/>
  <c r="I286" i="1"/>
  <c r="G286" i="1"/>
  <c r="H286" i="1" s="1"/>
  <c r="F286" i="1"/>
  <c r="E286" i="1"/>
  <c r="D286" i="1"/>
  <c r="C286" i="1"/>
  <c r="B286" i="1"/>
  <c r="A286" i="1"/>
  <c r="AH285" i="1"/>
  <c r="Y285" i="1"/>
  <c r="Z285" i="1" s="1"/>
  <c r="W285" i="1"/>
  <c r="V285" i="1"/>
  <c r="T285" i="1"/>
  <c r="Q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A285" i="1"/>
  <c r="AH284" i="1"/>
  <c r="Y284" i="1"/>
  <c r="Z284" i="1" s="1"/>
  <c r="W284" i="1"/>
  <c r="V284" i="1"/>
  <c r="T284" i="1"/>
  <c r="O284" i="1"/>
  <c r="N284" i="1"/>
  <c r="M284" i="1"/>
  <c r="L284" i="1"/>
  <c r="K284" i="1"/>
  <c r="Q284" i="1" s="1"/>
  <c r="J284" i="1"/>
  <c r="I284" i="1"/>
  <c r="G284" i="1"/>
  <c r="H284" i="1" s="1"/>
  <c r="F284" i="1"/>
  <c r="E284" i="1"/>
  <c r="D284" i="1"/>
  <c r="C284" i="1"/>
  <c r="B284" i="1"/>
  <c r="A284" i="1"/>
  <c r="AH283" i="1"/>
  <c r="Y283" i="1"/>
  <c r="Z283" i="1" s="1"/>
  <c r="W283" i="1"/>
  <c r="V283" i="1"/>
  <c r="T283" i="1"/>
  <c r="O283" i="1"/>
  <c r="N283" i="1"/>
  <c r="M283" i="1"/>
  <c r="L283" i="1"/>
  <c r="K283" i="1"/>
  <c r="Q283" i="1" s="1"/>
  <c r="J283" i="1"/>
  <c r="I283" i="1"/>
  <c r="G283" i="1"/>
  <c r="H283" i="1" s="1"/>
  <c r="F283" i="1"/>
  <c r="E283" i="1"/>
  <c r="D283" i="1"/>
  <c r="C283" i="1"/>
  <c r="B283" i="1"/>
  <c r="A283" i="1"/>
  <c r="AH282" i="1"/>
  <c r="Y282" i="1"/>
  <c r="Z282" i="1" s="1"/>
  <c r="W282" i="1"/>
  <c r="V282" i="1"/>
  <c r="T282" i="1"/>
  <c r="Q282" i="1"/>
  <c r="O282" i="1"/>
  <c r="N282" i="1"/>
  <c r="M282" i="1"/>
  <c r="L282" i="1"/>
  <c r="K282" i="1"/>
  <c r="J282" i="1"/>
  <c r="I282" i="1"/>
  <c r="G282" i="1"/>
  <c r="H282" i="1" s="1"/>
  <c r="F282" i="1"/>
  <c r="E282" i="1"/>
  <c r="D282" i="1"/>
  <c r="C282" i="1"/>
  <c r="B282" i="1"/>
  <c r="A282" i="1"/>
  <c r="AH281" i="1"/>
  <c r="Y281" i="1"/>
  <c r="Z281" i="1" s="1"/>
  <c r="W281" i="1"/>
  <c r="V281" i="1"/>
  <c r="T281" i="1"/>
  <c r="O281" i="1"/>
  <c r="N281" i="1"/>
  <c r="M281" i="1"/>
  <c r="L281" i="1"/>
  <c r="K281" i="1"/>
  <c r="Q281" i="1" s="1"/>
  <c r="J281" i="1"/>
  <c r="I281" i="1"/>
  <c r="H281" i="1"/>
  <c r="G281" i="1"/>
  <c r="F281" i="1"/>
  <c r="E281" i="1"/>
  <c r="D281" i="1"/>
  <c r="C281" i="1"/>
  <c r="B281" i="1"/>
  <c r="A281" i="1"/>
  <c r="AH280" i="1"/>
  <c r="Y280" i="1"/>
  <c r="Z280" i="1" s="1"/>
  <c r="W280" i="1"/>
  <c r="V280" i="1"/>
  <c r="T280" i="1"/>
  <c r="O280" i="1"/>
  <c r="N280" i="1"/>
  <c r="M280" i="1"/>
  <c r="L280" i="1"/>
  <c r="K280" i="1"/>
  <c r="Q280" i="1" s="1"/>
  <c r="J280" i="1"/>
  <c r="I280" i="1"/>
  <c r="H280" i="1"/>
  <c r="G280" i="1"/>
  <c r="F280" i="1"/>
  <c r="E280" i="1"/>
  <c r="D280" i="1"/>
  <c r="C280" i="1"/>
  <c r="B280" i="1"/>
  <c r="A280" i="1"/>
  <c r="AH279" i="1"/>
  <c r="Y279" i="1"/>
  <c r="Z279" i="1" s="1"/>
  <c r="W279" i="1"/>
  <c r="V279" i="1"/>
  <c r="T279" i="1"/>
  <c r="Q279" i="1"/>
  <c r="O279" i="1"/>
  <c r="N279" i="1"/>
  <c r="M279" i="1"/>
  <c r="L279" i="1"/>
  <c r="K279" i="1"/>
  <c r="J279" i="1"/>
  <c r="I279" i="1"/>
  <c r="G279" i="1"/>
  <c r="H279" i="1" s="1"/>
  <c r="F279" i="1"/>
  <c r="E279" i="1"/>
  <c r="D279" i="1"/>
  <c r="C279" i="1"/>
  <c r="B279" i="1"/>
  <c r="A279" i="1"/>
  <c r="AH278" i="1"/>
  <c r="Y278" i="1"/>
  <c r="Z278" i="1" s="1"/>
  <c r="W278" i="1"/>
  <c r="V278" i="1"/>
  <c r="T278" i="1"/>
  <c r="Q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A278" i="1"/>
  <c r="AH277" i="1"/>
  <c r="Y277" i="1"/>
  <c r="Z277" i="1" s="1"/>
  <c r="W277" i="1"/>
  <c r="V277" i="1"/>
  <c r="T277" i="1"/>
  <c r="Q277" i="1"/>
  <c r="O277" i="1"/>
  <c r="N277" i="1"/>
  <c r="M277" i="1"/>
  <c r="L277" i="1"/>
  <c r="K277" i="1"/>
  <c r="J277" i="1"/>
  <c r="I277" i="1"/>
  <c r="G277" i="1"/>
  <c r="H277" i="1" s="1"/>
  <c r="F277" i="1"/>
  <c r="E277" i="1"/>
  <c r="D277" i="1"/>
  <c r="C277" i="1"/>
  <c r="B277" i="1"/>
  <c r="A277" i="1"/>
  <c r="AH276" i="1"/>
  <c r="Y276" i="1"/>
  <c r="Z276" i="1" s="1"/>
  <c r="W276" i="1"/>
  <c r="V276" i="1"/>
  <c r="T276" i="1"/>
  <c r="Q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A276" i="1"/>
  <c r="AH275" i="1"/>
  <c r="Y275" i="1"/>
  <c r="Z275" i="1" s="1"/>
  <c r="W275" i="1"/>
  <c r="V275" i="1"/>
  <c r="T275" i="1"/>
  <c r="O275" i="1"/>
  <c r="N275" i="1"/>
  <c r="M275" i="1"/>
  <c r="L275" i="1"/>
  <c r="K275" i="1"/>
  <c r="Q275" i="1" s="1"/>
  <c r="J275" i="1"/>
  <c r="I275" i="1"/>
  <c r="H275" i="1"/>
  <c r="G275" i="1"/>
  <c r="F275" i="1"/>
  <c r="E275" i="1"/>
  <c r="D275" i="1"/>
  <c r="C275" i="1"/>
  <c r="B275" i="1"/>
  <c r="A275" i="1"/>
  <c r="AH274" i="1"/>
  <c r="Y274" i="1"/>
  <c r="Z274" i="1" s="1"/>
  <c r="W274" i="1"/>
  <c r="V274" i="1"/>
  <c r="T274" i="1"/>
  <c r="O274" i="1"/>
  <c r="N274" i="1"/>
  <c r="M274" i="1"/>
  <c r="L274" i="1"/>
  <c r="K274" i="1"/>
  <c r="Q274" i="1" s="1"/>
  <c r="J274" i="1"/>
  <c r="I274" i="1"/>
  <c r="H274" i="1"/>
  <c r="G274" i="1"/>
  <c r="F274" i="1"/>
  <c r="E274" i="1"/>
  <c r="D274" i="1"/>
  <c r="C274" i="1"/>
  <c r="B274" i="1"/>
  <c r="A274" i="1"/>
  <c r="AH273" i="1"/>
  <c r="Y273" i="1"/>
  <c r="Z273" i="1" s="1"/>
  <c r="W273" i="1"/>
  <c r="V273" i="1"/>
  <c r="T273" i="1"/>
  <c r="Q273" i="1"/>
  <c r="O273" i="1"/>
  <c r="N273" i="1"/>
  <c r="M273" i="1"/>
  <c r="L273" i="1"/>
  <c r="K273" i="1"/>
  <c r="J273" i="1"/>
  <c r="I273" i="1"/>
  <c r="G273" i="1"/>
  <c r="H273" i="1" s="1"/>
  <c r="F273" i="1"/>
  <c r="E273" i="1"/>
  <c r="D273" i="1"/>
  <c r="C273" i="1"/>
  <c r="B273" i="1"/>
  <c r="A273" i="1"/>
  <c r="AH272" i="1"/>
  <c r="Y272" i="1"/>
  <c r="Z272" i="1" s="1"/>
  <c r="W272" i="1"/>
  <c r="V272" i="1"/>
  <c r="T272" i="1"/>
  <c r="Q272" i="1"/>
  <c r="O272" i="1"/>
  <c r="N272" i="1"/>
  <c r="M272" i="1"/>
  <c r="L272" i="1"/>
  <c r="K272" i="1"/>
  <c r="J272" i="1"/>
  <c r="I272" i="1"/>
  <c r="G272" i="1"/>
  <c r="H272" i="1" s="1"/>
  <c r="F272" i="1"/>
  <c r="E272" i="1"/>
  <c r="D272" i="1"/>
  <c r="C272" i="1"/>
  <c r="B272" i="1"/>
  <c r="A272" i="1"/>
  <c r="AH271" i="1"/>
  <c r="Y271" i="1"/>
  <c r="Z271" i="1" s="1"/>
  <c r="W271" i="1"/>
  <c r="V271" i="1"/>
  <c r="T271" i="1"/>
  <c r="Q271" i="1"/>
  <c r="O271" i="1"/>
  <c r="N271" i="1"/>
  <c r="M271" i="1"/>
  <c r="L271" i="1"/>
  <c r="K271" i="1"/>
  <c r="J271" i="1"/>
  <c r="I271" i="1"/>
  <c r="G271" i="1"/>
  <c r="H271" i="1" s="1"/>
  <c r="F271" i="1"/>
  <c r="E271" i="1"/>
  <c r="D271" i="1"/>
  <c r="C271" i="1"/>
  <c r="B271" i="1"/>
  <c r="A271" i="1"/>
  <c r="AH270" i="1"/>
  <c r="Y270" i="1"/>
  <c r="Z270" i="1" s="1"/>
  <c r="W270" i="1"/>
  <c r="V270" i="1"/>
  <c r="T270" i="1"/>
  <c r="O270" i="1"/>
  <c r="N270" i="1"/>
  <c r="M270" i="1"/>
  <c r="L270" i="1"/>
  <c r="K270" i="1"/>
  <c r="Q270" i="1" s="1"/>
  <c r="J270" i="1"/>
  <c r="I270" i="1"/>
  <c r="H270" i="1"/>
  <c r="G270" i="1"/>
  <c r="F270" i="1"/>
  <c r="E270" i="1"/>
  <c r="D270" i="1"/>
  <c r="C270" i="1"/>
  <c r="B270" i="1"/>
  <c r="A270" i="1"/>
  <c r="AH269" i="1"/>
  <c r="Y269" i="1"/>
  <c r="Z269" i="1" s="1"/>
  <c r="W269" i="1"/>
  <c r="V269" i="1"/>
  <c r="T269" i="1"/>
  <c r="O269" i="1"/>
  <c r="N269" i="1"/>
  <c r="M269" i="1"/>
  <c r="L269" i="1"/>
  <c r="K269" i="1"/>
  <c r="Q269" i="1" s="1"/>
  <c r="J269" i="1"/>
  <c r="I269" i="1"/>
  <c r="G269" i="1"/>
  <c r="H269" i="1" s="1"/>
  <c r="F269" i="1"/>
  <c r="E269" i="1"/>
  <c r="D269" i="1"/>
  <c r="C269" i="1"/>
  <c r="B269" i="1"/>
  <c r="A269" i="1"/>
  <c r="AH268" i="1"/>
  <c r="Y268" i="1"/>
  <c r="Z268" i="1" s="1"/>
  <c r="W268" i="1"/>
  <c r="V268" i="1"/>
  <c r="T268" i="1"/>
  <c r="Q268" i="1"/>
  <c r="O268" i="1"/>
  <c r="N268" i="1"/>
  <c r="M268" i="1"/>
  <c r="L268" i="1"/>
  <c r="K268" i="1"/>
  <c r="J268" i="1"/>
  <c r="I268" i="1"/>
  <c r="G268" i="1"/>
  <c r="H268" i="1" s="1"/>
  <c r="F268" i="1"/>
  <c r="E268" i="1"/>
  <c r="D268" i="1"/>
  <c r="C268" i="1"/>
  <c r="B268" i="1"/>
  <c r="A268" i="1"/>
  <c r="AH267" i="1"/>
  <c r="Y267" i="1"/>
  <c r="Z267" i="1" s="1"/>
  <c r="W267" i="1"/>
  <c r="V267" i="1"/>
  <c r="T267" i="1"/>
  <c r="Q267" i="1"/>
  <c r="O267" i="1"/>
  <c r="N267" i="1"/>
  <c r="M267" i="1"/>
  <c r="L267" i="1"/>
  <c r="K267" i="1"/>
  <c r="J267" i="1"/>
  <c r="I267" i="1"/>
  <c r="G267" i="1"/>
  <c r="H267" i="1" s="1"/>
  <c r="F267" i="1"/>
  <c r="E267" i="1"/>
  <c r="D267" i="1"/>
  <c r="C267" i="1"/>
  <c r="B267" i="1"/>
  <c r="A267" i="1"/>
  <c r="AH266" i="1"/>
  <c r="Y266" i="1"/>
  <c r="Z266" i="1" s="1"/>
  <c r="W266" i="1"/>
  <c r="V266" i="1"/>
  <c r="T266" i="1"/>
  <c r="O266" i="1"/>
  <c r="N266" i="1"/>
  <c r="M266" i="1"/>
  <c r="L266" i="1"/>
  <c r="K266" i="1"/>
  <c r="Q266" i="1" s="1"/>
  <c r="J266" i="1"/>
  <c r="I266" i="1"/>
  <c r="H266" i="1"/>
  <c r="G266" i="1"/>
  <c r="F266" i="1"/>
  <c r="E266" i="1"/>
  <c r="D266" i="1"/>
  <c r="C266" i="1"/>
  <c r="B266" i="1"/>
  <c r="A266" i="1"/>
  <c r="AH265" i="1"/>
  <c r="Y265" i="1"/>
  <c r="Z265" i="1" s="1"/>
  <c r="W265" i="1"/>
  <c r="V265" i="1"/>
  <c r="T265" i="1"/>
  <c r="O265" i="1"/>
  <c r="N265" i="1"/>
  <c r="M265" i="1"/>
  <c r="L265" i="1"/>
  <c r="K265" i="1"/>
  <c r="Q265" i="1" s="1"/>
  <c r="J265" i="1"/>
  <c r="I265" i="1"/>
  <c r="G265" i="1"/>
  <c r="H265" i="1" s="1"/>
  <c r="F265" i="1"/>
  <c r="E265" i="1"/>
  <c r="D265" i="1"/>
  <c r="C265" i="1"/>
  <c r="B265" i="1"/>
  <c r="A265" i="1"/>
  <c r="AH264" i="1"/>
  <c r="Y264" i="1"/>
  <c r="Z264" i="1" s="1"/>
  <c r="W264" i="1"/>
  <c r="V264" i="1"/>
  <c r="T264" i="1"/>
  <c r="O264" i="1"/>
  <c r="N264" i="1"/>
  <c r="M264" i="1"/>
  <c r="L264" i="1"/>
  <c r="K264" i="1"/>
  <c r="Q264" i="1" s="1"/>
  <c r="J264" i="1"/>
  <c r="I264" i="1"/>
  <c r="G264" i="1"/>
  <c r="H264" i="1" s="1"/>
  <c r="F264" i="1"/>
  <c r="E264" i="1"/>
  <c r="D264" i="1"/>
  <c r="C264" i="1"/>
  <c r="B264" i="1"/>
  <c r="A264" i="1"/>
  <c r="AH263" i="1"/>
  <c r="Y263" i="1"/>
  <c r="Z263" i="1" s="1"/>
  <c r="W263" i="1"/>
  <c r="V263" i="1"/>
  <c r="T263" i="1"/>
  <c r="O263" i="1"/>
  <c r="N263" i="1"/>
  <c r="M263" i="1"/>
  <c r="L263" i="1"/>
  <c r="K263" i="1"/>
  <c r="Q263" i="1" s="1"/>
  <c r="J263" i="1"/>
  <c r="I263" i="1"/>
  <c r="G263" i="1"/>
  <c r="H263" i="1" s="1"/>
  <c r="F263" i="1"/>
  <c r="E263" i="1"/>
  <c r="D263" i="1"/>
  <c r="C263" i="1"/>
  <c r="B263" i="1"/>
  <c r="A263" i="1"/>
  <c r="AH262" i="1"/>
  <c r="Y262" i="1"/>
  <c r="Z262" i="1" s="1"/>
  <c r="W262" i="1"/>
  <c r="V262" i="1"/>
  <c r="T262" i="1"/>
  <c r="Q262" i="1"/>
  <c r="O262" i="1"/>
  <c r="N262" i="1"/>
  <c r="M262" i="1"/>
  <c r="L262" i="1"/>
  <c r="K262" i="1"/>
  <c r="J262" i="1"/>
  <c r="I262" i="1"/>
  <c r="G262" i="1"/>
  <c r="H262" i="1" s="1"/>
  <c r="F262" i="1"/>
  <c r="E262" i="1"/>
  <c r="D262" i="1"/>
  <c r="C262" i="1"/>
  <c r="B262" i="1"/>
  <c r="A262" i="1"/>
  <c r="AH261" i="1"/>
  <c r="Y261" i="1"/>
  <c r="Z261" i="1" s="1"/>
  <c r="W261" i="1"/>
  <c r="V261" i="1"/>
  <c r="T261" i="1"/>
  <c r="Q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A261" i="1"/>
  <c r="AH260" i="1"/>
  <c r="Y260" i="1"/>
  <c r="Z260" i="1" s="1"/>
  <c r="W260" i="1"/>
  <c r="V260" i="1"/>
  <c r="T260" i="1"/>
  <c r="O260" i="1"/>
  <c r="N260" i="1"/>
  <c r="M260" i="1"/>
  <c r="L260" i="1"/>
  <c r="K260" i="1"/>
  <c r="Q260" i="1" s="1"/>
  <c r="J260" i="1"/>
  <c r="I260" i="1"/>
  <c r="G260" i="1"/>
  <c r="H260" i="1" s="1"/>
  <c r="F260" i="1"/>
  <c r="E260" i="1"/>
  <c r="D260" i="1"/>
  <c r="C260" i="1"/>
  <c r="B260" i="1"/>
  <c r="A260" i="1"/>
  <c r="AH259" i="1"/>
  <c r="Y259" i="1"/>
  <c r="Z259" i="1" s="1"/>
  <c r="W259" i="1"/>
  <c r="V259" i="1"/>
  <c r="T259" i="1"/>
  <c r="O259" i="1"/>
  <c r="N259" i="1"/>
  <c r="M259" i="1"/>
  <c r="L259" i="1"/>
  <c r="K259" i="1"/>
  <c r="Q259" i="1" s="1"/>
  <c r="J259" i="1"/>
  <c r="I259" i="1"/>
  <c r="H259" i="1"/>
  <c r="G259" i="1"/>
  <c r="F259" i="1"/>
  <c r="E259" i="1"/>
  <c r="D259" i="1"/>
  <c r="C259" i="1"/>
  <c r="B259" i="1"/>
  <c r="A259" i="1"/>
  <c r="AH258" i="1"/>
  <c r="Y258" i="1"/>
  <c r="Z258" i="1" s="1"/>
  <c r="W258" i="1"/>
  <c r="V258" i="1"/>
  <c r="T258" i="1"/>
  <c r="Q258" i="1"/>
  <c r="O258" i="1"/>
  <c r="N258" i="1"/>
  <c r="M258" i="1"/>
  <c r="L258" i="1"/>
  <c r="K258" i="1"/>
  <c r="J258" i="1"/>
  <c r="I258" i="1"/>
  <c r="G258" i="1"/>
  <c r="H258" i="1" s="1"/>
  <c r="F258" i="1"/>
  <c r="E258" i="1"/>
  <c r="D258" i="1"/>
  <c r="C258" i="1"/>
  <c r="B258" i="1"/>
  <c r="A258" i="1"/>
  <c r="AH257" i="1"/>
  <c r="Y257" i="1"/>
  <c r="Z257" i="1" s="1"/>
  <c r="W257" i="1"/>
  <c r="V257" i="1"/>
  <c r="T257" i="1"/>
  <c r="O257" i="1"/>
  <c r="N257" i="1"/>
  <c r="M257" i="1"/>
  <c r="L257" i="1"/>
  <c r="K257" i="1"/>
  <c r="Q257" i="1" s="1"/>
  <c r="J257" i="1"/>
  <c r="I257" i="1"/>
  <c r="G257" i="1"/>
  <c r="H257" i="1" s="1"/>
  <c r="F257" i="1"/>
  <c r="E257" i="1"/>
  <c r="D257" i="1"/>
  <c r="C257" i="1"/>
  <c r="B257" i="1"/>
  <c r="A257" i="1"/>
  <c r="AH256" i="1"/>
  <c r="Y256" i="1"/>
  <c r="Z256" i="1" s="1"/>
  <c r="W256" i="1"/>
  <c r="V256" i="1"/>
  <c r="T256" i="1"/>
  <c r="O256" i="1"/>
  <c r="N256" i="1"/>
  <c r="M256" i="1"/>
  <c r="L256" i="1"/>
  <c r="K256" i="1"/>
  <c r="Q256" i="1" s="1"/>
  <c r="J256" i="1"/>
  <c r="I256" i="1"/>
  <c r="H256" i="1"/>
  <c r="G256" i="1"/>
  <c r="F256" i="1"/>
  <c r="E256" i="1"/>
  <c r="D256" i="1"/>
  <c r="C256" i="1"/>
  <c r="B256" i="1"/>
  <c r="A256" i="1"/>
  <c r="AH255" i="1"/>
  <c r="Y255" i="1"/>
  <c r="Z255" i="1" s="1"/>
  <c r="W255" i="1"/>
  <c r="V255" i="1"/>
  <c r="T255" i="1"/>
  <c r="Q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A255" i="1"/>
  <c r="AH254" i="1"/>
  <c r="Y254" i="1"/>
  <c r="Z254" i="1" s="1"/>
  <c r="W254" i="1"/>
  <c r="V254" i="1"/>
  <c r="T254" i="1"/>
  <c r="O254" i="1"/>
  <c r="N254" i="1"/>
  <c r="M254" i="1"/>
  <c r="L254" i="1"/>
  <c r="K254" i="1"/>
  <c r="Q254" i="1" s="1"/>
  <c r="J254" i="1"/>
  <c r="I254" i="1"/>
  <c r="G254" i="1"/>
  <c r="H254" i="1" s="1"/>
  <c r="F254" i="1"/>
  <c r="E254" i="1"/>
  <c r="D254" i="1"/>
  <c r="C254" i="1"/>
  <c r="B254" i="1"/>
  <c r="A254" i="1"/>
  <c r="AH253" i="1"/>
  <c r="Y253" i="1"/>
  <c r="Z253" i="1" s="1"/>
  <c r="W253" i="1"/>
  <c r="V253" i="1"/>
  <c r="T253" i="1"/>
  <c r="Q253" i="1"/>
  <c r="O253" i="1"/>
  <c r="N253" i="1"/>
  <c r="M253" i="1"/>
  <c r="L253" i="1"/>
  <c r="K253" i="1"/>
  <c r="J253" i="1"/>
  <c r="I253" i="1"/>
  <c r="G253" i="1"/>
  <c r="H253" i="1" s="1"/>
  <c r="F253" i="1"/>
  <c r="E253" i="1"/>
  <c r="D253" i="1"/>
  <c r="C253" i="1"/>
  <c r="B253" i="1"/>
  <c r="A253" i="1"/>
  <c r="AH252" i="1"/>
  <c r="Y252" i="1"/>
  <c r="Z252" i="1" s="1"/>
  <c r="W252" i="1"/>
  <c r="V252" i="1"/>
  <c r="T252" i="1"/>
  <c r="Q252" i="1"/>
  <c r="O252" i="1"/>
  <c r="N252" i="1"/>
  <c r="M252" i="1"/>
  <c r="L252" i="1"/>
  <c r="K252" i="1"/>
  <c r="J252" i="1"/>
  <c r="I252" i="1"/>
  <c r="G252" i="1"/>
  <c r="H252" i="1" s="1"/>
  <c r="F252" i="1"/>
  <c r="E252" i="1"/>
  <c r="D252" i="1"/>
  <c r="C252" i="1"/>
  <c r="B252" i="1"/>
  <c r="A252" i="1"/>
  <c r="AH251" i="1"/>
  <c r="Y251" i="1"/>
  <c r="Z251" i="1" s="1"/>
  <c r="W251" i="1"/>
  <c r="V251" i="1"/>
  <c r="T251" i="1"/>
  <c r="O251" i="1"/>
  <c r="N251" i="1"/>
  <c r="M251" i="1"/>
  <c r="L251" i="1"/>
  <c r="K251" i="1"/>
  <c r="Q251" i="1" s="1"/>
  <c r="J251" i="1"/>
  <c r="I251" i="1"/>
  <c r="H251" i="1"/>
  <c r="G251" i="1"/>
  <c r="F251" i="1"/>
  <c r="E251" i="1"/>
  <c r="D251" i="1"/>
  <c r="C251" i="1"/>
  <c r="B251" i="1"/>
  <c r="A251" i="1"/>
  <c r="AH250" i="1"/>
  <c r="Y250" i="1"/>
  <c r="Z250" i="1" s="1"/>
  <c r="W250" i="1"/>
  <c r="V250" i="1"/>
  <c r="T250" i="1"/>
  <c r="O250" i="1"/>
  <c r="N250" i="1"/>
  <c r="M250" i="1"/>
  <c r="L250" i="1"/>
  <c r="K250" i="1"/>
  <c r="Q250" i="1" s="1"/>
  <c r="J250" i="1"/>
  <c r="I250" i="1"/>
  <c r="G250" i="1"/>
  <c r="H250" i="1" s="1"/>
  <c r="F250" i="1"/>
  <c r="E250" i="1"/>
  <c r="D250" i="1"/>
  <c r="C250" i="1"/>
  <c r="B250" i="1"/>
  <c r="A250" i="1"/>
  <c r="AH249" i="1"/>
  <c r="Y249" i="1"/>
  <c r="Z249" i="1" s="1"/>
  <c r="W249" i="1"/>
  <c r="V249" i="1"/>
  <c r="T249" i="1"/>
  <c r="Q249" i="1"/>
  <c r="O249" i="1"/>
  <c r="N249" i="1"/>
  <c r="M249" i="1"/>
  <c r="L249" i="1"/>
  <c r="K249" i="1"/>
  <c r="J249" i="1"/>
  <c r="I249" i="1"/>
  <c r="G249" i="1"/>
  <c r="H249" i="1" s="1"/>
  <c r="F249" i="1"/>
  <c r="E249" i="1"/>
  <c r="D249" i="1"/>
  <c r="C249" i="1"/>
  <c r="B249" i="1"/>
  <c r="A249" i="1"/>
  <c r="AH248" i="1"/>
  <c r="Y248" i="1"/>
  <c r="Z248" i="1" s="1"/>
  <c r="W248" i="1"/>
  <c r="V248" i="1"/>
  <c r="T248" i="1"/>
  <c r="Q248" i="1"/>
  <c r="O248" i="1"/>
  <c r="N248" i="1"/>
  <c r="M248" i="1"/>
  <c r="L248" i="1"/>
  <c r="K248" i="1"/>
  <c r="J248" i="1"/>
  <c r="I248" i="1"/>
  <c r="G248" i="1"/>
  <c r="H248" i="1" s="1"/>
  <c r="F248" i="1"/>
  <c r="E248" i="1"/>
  <c r="D248" i="1"/>
  <c r="C248" i="1"/>
  <c r="B248" i="1"/>
  <c r="A248" i="1"/>
  <c r="AH247" i="1"/>
  <c r="Y247" i="1"/>
  <c r="Z247" i="1" s="1"/>
  <c r="W247" i="1"/>
  <c r="V247" i="1"/>
  <c r="T247" i="1"/>
  <c r="Q247" i="1"/>
  <c r="O247" i="1"/>
  <c r="AK245" i="1" s="1"/>
  <c r="N247" i="1"/>
  <c r="M247" i="1"/>
  <c r="L247" i="1"/>
  <c r="K247" i="1"/>
  <c r="J247" i="1"/>
  <c r="I247" i="1"/>
  <c r="G247" i="1"/>
  <c r="H247" i="1" s="1"/>
  <c r="F247" i="1"/>
  <c r="E247" i="1"/>
  <c r="D247" i="1"/>
  <c r="C247" i="1"/>
  <c r="B247" i="1"/>
  <c r="A247" i="1"/>
  <c r="AH246" i="1"/>
  <c r="Y246" i="1"/>
  <c r="Z246" i="1" s="1"/>
  <c r="W246" i="1"/>
  <c r="V246" i="1"/>
  <c r="T246" i="1"/>
  <c r="O246" i="1"/>
  <c r="N246" i="1"/>
  <c r="M246" i="1"/>
  <c r="L246" i="1"/>
  <c r="K246" i="1"/>
  <c r="Q246" i="1" s="1"/>
  <c r="J246" i="1"/>
  <c r="I246" i="1"/>
  <c r="H246" i="1"/>
  <c r="G246" i="1"/>
  <c r="F246" i="1"/>
  <c r="E246" i="1"/>
  <c r="D246" i="1"/>
  <c r="C246" i="1"/>
  <c r="B246" i="1"/>
  <c r="A246" i="1"/>
  <c r="AH245" i="1"/>
  <c r="Y245" i="1"/>
  <c r="Z245" i="1" s="1"/>
  <c r="W245" i="1"/>
  <c r="V245" i="1"/>
  <c r="T245" i="1"/>
  <c r="O245" i="1"/>
  <c r="N245" i="1"/>
  <c r="M245" i="1"/>
  <c r="L245" i="1"/>
  <c r="K245" i="1"/>
  <c r="Q245" i="1" s="1"/>
  <c r="J245" i="1"/>
  <c r="I245" i="1"/>
  <c r="G245" i="1"/>
  <c r="H245" i="1" s="1"/>
  <c r="F245" i="1"/>
  <c r="E245" i="1"/>
  <c r="D245" i="1"/>
  <c r="C245" i="1"/>
  <c r="B245" i="1"/>
  <c r="A245" i="1"/>
  <c r="AH244" i="1"/>
  <c r="Y244" i="1"/>
  <c r="Z244" i="1" s="1"/>
  <c r="W244" i="1"/>
  <c r="V244" i="1"/>
  <c r="T244" i="1"/>
  <c r="O244" i="1"/>
  <c r="N244" i="1"/>
  <c r="M244" i="1"/>
  <c r="L244" i="1"/>
  <c r="K244" i="1"/>
  <c r="Q244" i="1" s="1"/>
  <c r="J244" i="1"/>
  <c r="I244" i="1"/>
  <c r="H244" i="1"/>
  <c r="G244" i="1"/>
  <c r="F244" i="1"/>
  <c r="E244" i="1"/>
  <c r="D244" i="1"/>
  <c r="C244" i="1"/>
  <c r="B244" i="1"/>
  <c r="A244" i="1"/>
  <c r="AH243" i="1"/>
  <c r="Y243" i="1"/>
  <c r="Z243" i="1" s="1"/>
  <c r="W243" i="1"/>
  <c r="V243" i="1"/>
  <c r="T243" i="1"/>
  <c r="Q243" i="1"/>
  <c r="O243" i="1"/>
  <c r="N243" i="1"/>
  <c r="M243" i="1"/>
  <c r="L243" i="1"/>
  <c r="K243" i="1"/>
  <c r="J243" i="1"/>
  <c r="I243" i="1"/>
  <c r="G243" i="1"/>
  <c r="H243" i="1" s="1"/>
  <c r="F243" i="1"/>
  <c r="E243" i="1"/>
  <c r="D243" i="1"/>
  <c r="C243" i="1"/>
  <c r="B243" i="1"/>
  <c r="A243" i="1"/>
  <c r="AH242" i="1"/>
  <c r="Y242" i="1"/>
  <c r="Z242" i="1" s="1"/>
  <c r="W242" i="1"/>
  <c r="V242" i="1"/>
  <c r="T242" i="1"/>
  <c r="Q242" i="1"/>
  <c r="O242" i="1"/>
  <c r="N242" i="1"/>
  <c r="M242" i="1"/>
  <c r="L242" i="1"/>
  <c r="K242" i="1"/>
  <c r="J242" i="1"/>
  <c r="I242" i="1"/>
  <c r="G242" i="1"/>
  <c r="H242" i="1" s="1"/>
  <c r="F242" i="1"/>
  <c r="E242" i="1"/>
  <c r="D242" i="1"/>
  <c r="C242" i="1"/>
  <c r="B242" i="1"/>
  <c r="A242" i="1"/>
  <c r="AH241" i="1"/>
  <c r="Y241" i="1"/>
  <c r="Z241" i="1" s="1"/>
  <c r="W241" i="1"/>
  <c r="V241" i="1"/>
  <c r="T241" i="1"/>
  <c r="O241" i="1"/>
  <c r="N241" i="1"/>
  <c r="M241" i="1"/>
  <c r="L241" i="1"/>
  <c r="K241" i="1"/>
  <c r="Q241" i="1" s="1"/>
  <c r="J241" i="1"/>
  <c r="I241" i="1"/>
  <c r="G241" i="1"/>
  <c r="H241" i="1" s="1"/>
  <c r="F241" i="1"/>
  <c r="E241" i="1"/>
  <c r="D241" i="1"/>
  <c r="C241" i="1"/>
  <c r="B241" i="1"/>
  <c r="A241" i="1"/>
  <c r="AH240" i="1"/>
  <c r="Y240" i="1"/>
  <c r="Z240" i="1" s="1"/>
  <c r="W240" i="1"/>
  <c r="V240" i="1"/>
  <c r="T240" i="1"/>
  <c r="O240" i="1"/>
  <c r="N240" i="1"/>
  <c r="M240" i="1"/>
  <c r="L240" i="1"/>
  <c r="K240" i="1"/>
  <c r="Q240" i="1" s="1"/>
  <c r="J240" i="1"/>
  <c r="I240" i="1"/>
  <c r="H240" i="1"/>
  <c r="G240" i="1"/>
  <c r="F240" i="1"/>
  <c r="E240" i="1"/>
  <c r="D240" i="1"/>
  <c r="C240" i="1"/>
  <c r="B240" i="1"/>
  <c r="A240" i="1"/>
  <c r="AH239" i="1"/>
  <c r="Y239" i="1"/>
  <c r="Z239" i="1" s="1"/>
  <c r="W239" i="1"/>
  <c r="V239" i="1"/>
  <c r="T239" i="1"/>
  <c r="O239" i="1"/>
  <c r="N239" i="1"/>
  <c r="M239" i="1"/>
  <c r="L239" i="1"/>
  <c r="K239" i="1"/>
  <c r="Q239" i="1" s="1"/>
  <c r="J239" i="1"/>
  <c r="I239" i="1"/>
  <c r="G239" i="1"/>
  <c r="H239" i="1" s="1"/>
  <c r="F239" i="1"/>
  <c r="E239" i="1"/>
  <c r="D239" i="1"/>
  <c r="C239" i="1"/>
  <c r="B239" i="1"/>
  <c r="A239" i="1"/>
  <c r="AH238" i="1"/>
  <c r="Y238" i="1"/>
  <c r="Z238" i="1" s="1"/>
  <c r="W238" i="1"/>
  <c r="V238" i="1"/>
  <c r="T238" i="1"/>
  <c r="Q238" i="1"/>
  <c r="O238" i="1"/>
  <c r="N238" i="1"/>
  <c r="M238" i="1"/>
  <c r="L238" i="1"/>
  <c r="K238" i="1"/>
  <c r="J238" i="1"/>
  <c r="I238" i="1"/>
  <c r="G238" i="1"/>
  <c r="H238" i="1" s="1"/>
  <c r="F238" i="1"/>
  <c r="E238" i="1"/>
  <c r="D238" i="1"/>
  <c r="C238" i="1"/>
  <c r="B238" i="1"/>
  <c r="A238" i="1"/>
  <c r="AH237" i="1"/>
  <c r="Z237" i="1"/>
  <c r="Y237" i="1"/>
  <c r="W237" i="1"/>
  <c r="V237" i="1"/>
  <c r="T237" i="1"/>
  <c r="Q237" i="1"/>
  <c r="O237" i="1"/>
  <c r="N237" i="1"/>
  <c r="M237" i="1"/>
  <c r="L237" i="1"/>
  <c r="K237" i="1"/>
  <c r="J237" i="1"/>
  <c r="I237" i="1"/>
  <c r="G237" i="1"/>
  <c r="H237" i="1" s="1"/>
  <c r="F237" i="1"/>
  <c r="E237" i="1"/>
  <c r="D237" i="1"/>
  <c r="C237" i="1"/>
  <c r="B237" i="1"/>
  <c r="A237" i="1"/>
  <c r="AH236" i="1"/>
  <c r="Y236" i="1"/>
  <c r="Z236" i="1" s="1"/>
  <c r="W236" i="1"/>
  <c r="V236" i="1"/>
  <c r="T236" i="1"/>
  <c r="Q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AH235" i="1"/>
  <c r="Y235" i="1"/>
  <c r="Z235" i="1" s="1"/>
  <c r="W235" i="1"/>
  <c r="V235" i="1"/>
  <c r="T235" i="1"/>
  <c r="O235" i="1"/>
  <c r="N235" i="1"/>
  <c r="M235" i="1"/>
  <c r="L235" i="1"/>
  <c r="K235" i="1"/>
  <c r="Q235" i="1" s="1"/>
  <c r="J235" i="1"/>
  <c r="I235" i="1"/>
  <c r="G235" i="1"/>
  <c r="H235" i="1" s="1"/>
  <c r="F235" i="1"/>
  <c r="E235" i="1"/>
  <c r="D235" i="1"/>
  <c r="C235" i="1"/>
  <c r="B235" i="1"/>
  <c r="A235" i="1"/>
  <c r="AH234" i="1"/>
  <c r="Y234" i="1"/>
  <c r="Z234" i="1" s="1"/>
  <c r="W234" i="1"/>
  <c r="V234" i="1"/>
  <c r="T234" i="1"/>
  <c r="Q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A234" i="1"/>
  <c r="AH233" i="1"/>
  <c r="Y233" i="1"/>
  <c r="Z233" i="1" s="1"/>
  <c r="W233" i="1"/>
  <c r="V233" i="1"/>
  <c r="T233" i="1"/>
  <c r="O233" i="1"/>
  <c r="N233" i="1"/>
  <c r="M233" i="1"/>
  <c r="L233" i="1"/>
  <c r="K233" i="1"/>
  <c r="Q233" i="1" s="1"/>
  <c r="J233" i="1"/>
  <c r="I233" i="1"/>
  <c r="G233" i="1"/>
  <c r="H233" i="1" s="1"/>
  <c r="F233" i="1"/>
  <c r="E233" i="1"/>
  <c r="D233" i="1"/>
  <c r="C233" i="1"/>
  <c r="B233" i="1"/>
  <c r="A233" i="1"/>
  <c r="AH232" i="1"/>
  <c r="Y232" i="1"/>
  <c r="Z232" i="1" s="1"/>
  <c r="W232" i="1"/>
  <c r="V232" i="1"/>
  <c r="T232" i="1"/>
  <c r="Q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A232" i="1"/>
  <c r="AH231" i="1"/>
  <c r="Y231" i="1"/>
  <c r="Z231" i="1" s="1"/>
  <c r="W231" i="1"/>
  <c r="V231" i="1"/>
  <c r="T231" i="1"/>
  <c r="O231" i="1"/>
  <c r="N231" i="1"/>
  <c r="M231" i="1"/>
  <c r="L231" i="1"/>
  <c r="K231" i="1"/>
  <c r="Q231" i="1" s="1"/>
  <c r="J231" i="1"/>
  <c r="I231" i="1"/>
  <c r="H231" i="1"/>
  <c r="G231" i="1"/>
  <c r="F231" i="1"/>
  <c r="E231" i="1"/>
  <c r="D231" i="1"/>
  <c r="C231" i="1"/>
  <c r="B231" i="1"/>
  <c r="A231" i="1"/>
  <c r="AH230" i="1"/>
  <c r="Y230" i="1"/>
  <c r="Z230" i="1" s="1"/>
  <c r="W230" i="1"/>
  <c r="V230" i="1"/>
  <c r="T230" i="1"/>
  <c r="Q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A230" i="1"/>
  <c r="AH229" i="1"/>
  <c r="Y229" i="1"/>
  <c r="Z229" i="1" s="1"/>
  <c r="W229" i="1"/>
  <c r="V229" i="1"/>
  <c r="T229" i="1"/>
  <c r="Q229" i="1"/>
  <c r="O229" i="1"/>
  <c r="N229" i="1"/>
  <c r="M229" i="1"/>
  <c r="L229" i="1"/>
  <c r="K229" i="1"/>
  <c r="J229" i="1"/>
  <c r="I229" i="1"/>
  <c r="G229" i="1"/>
  <c r="H229" i="1" s="1"/>
  <c r="F229" i="1"/>
  <c r="E229" i="1"/>
  <c r="D229" i="1"/>
  <c r="C229" i="1"/>
  <c r="B229" i="1"/>
  <c r="A229" i="1"/>
  <c r="AH228" i="1"/>
  <c r="Y228" i="1"/>
  <c r="Z228" i="1" s="1"/>
  <c r="W228" i="1"/>
  <c r="V228" i="1"/>
  <c r="T228" i="1"/>
  <c r="Q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A228" i="1"/>
  <c r="AH227" i="1"/>
  <c r="Y227" i="1"/>
  <c r="Z227" i="1" s="1"/>
  <c r="W227" i="1"/>
  <c r="V227" i="1"/>
  <c r="T227" i="1"/>
  <c r="O227" i="1"/>
  <c r="N227" i="1"/>
  <c r="M227" i="1"/>
  <c r="L227" i="1"/>
  <c r="K227" i="1"/>
  <c r="Q227" i="1" s="1"/>
  <c r="J227" i="1"/>
  <c r="I227" i="1"/>
  <c r="H227" i="1"/>
  <c r="G227" i="1"/>
  <c r="F227" i="1"/>
  <c r="E227" i="1"/>
  <c r="D227" i="1"/>
  <c r="C227" i="1"/>
  <c r="B227" i="1"/>
  <c r="A227" i="1"/>
  <c r="AH226" i="1"/>
  <c r="Y226" i="1"/>
  <c r="Z226" i="1" s="1"/>
  <c r="W226" i="1"/>
  <c r="V226" i="1"/>
  <c r="T226" i="1"/>
  <c r="O226" i="1"/>
  <c r="N226" i="1"/>
  <c r="M226" i="1"/>
  <c r="L226" i="1"/>
  <c r="K226" i="1"/>
  <c r="Q226" i="1" s="1"/>
  <c r="J226" i="1"/>
  <c r="I226" i="1"/>
  <c r="H226" i="1"/>
  <c r="G226" i="1"/>
  <c r="F226" i="1"/>
  <c r="E226" i="1"/>
  <c r="D226" i="1"/>
  <c r="C226" i="1"/>
  <c r="B226" i="1"/>
  <c r="A226" i="1"/>
  <c r="AH225" i="1"/>
  <c r="Y225" i="1"/>
  <c r="Z225" i="1" s="1"/>
  <c r="W225" i="1"/>
  <c r="V225" i="1"/>
  <c r="T225" i="1"/>
  <c r="O225" i="1"/>
  <c r="N225" i="1"/>
  <c r="M225" i="1"/>
  <c r="L225" i="1"/>
  <c r="K225" i="1"/>
  <c r="Q225" i="1" s="1"/>
  <c r="J225" i="1"/>
  <c r="I225" i="1"/>
  <c r="G225" i="1"/>
  <c r="H225" i="1" s="1"/>
  <c r="F225" i="1"/>
  <c r="E225" i="1"/>
  <c r="D225" i="1"/>
  <c r="C225" i="1"/>
  <c r="B225" i="1"/>
  <c r="A225" i="1"/>
  <c r="AH224" i="1"/>
  <c r="Y224" i="1"/>
  <c r="Z224" i="1" s="1"/>
  <c r="W224" i="1"/>
  <c r="V224" i="1"/>
  <c r="T224" i="1"/>
  <c r="Q224" i="1"/>
  <c r="O224" i="1"/>
  <c r="N224" i="1"/>
  <c r="M224" i="1"/>
  <c r="L224" i="1"/>
  <c r="K224" i="1"/>
  <c r="J224" i="1"/>
  <c r="I224" i="1"/>
  <c r="G224" i="1"/>
  <c r="H224" i="1" s="1"/>
  <c r="F224" i="1"/>
  <c r="E224" i="1"/>
  <c r="D224" i="1"/>
  <c r="C224" i="1"/>
  <c r="B224" i="1"/>
  <c r="A224" i="1"/>
  <c r="AH223" i="1"/>
  <c r="Y223" i="1"/>
  <c r="Z223" i="1" s="1"/>
  <c r="W223" i="1"/>
  <c r="V223" i="1"/>
  <c r="T223" i="1"/>
  <c r="Q223" i="1"/>
  <c r="O223" i="1"/>
  <c r="N223" i="1"/>
  <c r="M223" i="1"/>
  <c r="L223" i="1"/>
  <c r="K223" i="1"/>
  <c r="J223" i="1"/>
  <c r="I223" i="1"/>
  <c r="G223" i="1"/>
  <c r="H223" i="1" s="1"/>
  <c r="F223" i="1"/>
  <c r="E223" i="1"/>
  <c r="D223" i="1"/>
  <c r="C223" i="1"/>
  <c r="B223" i="1"/>
  <c r="A223" i="1"/>
  <c r="AH222" i="1"/>
  <c r="Y222" i="1"/>
  <c r="Z222" i="1" s="1"/>
  <c r="W222" i="1"/>
  <c r="V222" i="1"/>
  <c r="T222" i="1"/>
  <c r="O222" i="1"/>
  <c r="N222" i="1"/>
  <c r="M222" i="1"/>
  <c r="L222" i="1"/>
  <c r="K222" i="1"/>
  <c r="Q222" i="1" s="1"/>
  <c r="J222" i="1"/>
  <c r="I222" i="1"/>
  <c r="H222" i="1"/>
  <c r="G222" i="1"/>
  <c r="F222" i="1"/>
  <c r="E222" i="1"/>
  <c r="D222" i="1"/>
  <c r="C222" i="1"/>
  <c r="B222" i="1"/>
  <c r="A222" i="1"/>
  <c r="AH221" i="1"/>
  <c r="Y221" i="1"/>
  <c r="Z221" i="1" s="1"/>
  <c r="W221" i="1"/>
  <c r="V221" i="1"/>
  <c r="T221" i="1"/>
  <c r="O221" i="1"/>
  <c r="N221" i="1"/>
  <c r="M221" i="1"/>
  <c r="L221" i="1"/>
  <c r="K221" i="1"/>
  <c r="Q221" i="1" s="1"/>
  <c r="J221" i="1"/>
  <c r="I221" i="1"/>
  <c r="G221" i="1"/>
  <c r="H221" i="1" s="1"/>
  <c r="F221" i="1"/>
  <c r="E221" i="1"/>
  <c r="D221" i="1"/>
  <c r="C221" i="1"/>
  <c r="B221" i="1"/>
  <c r="A221" i="1"/>
  <c r="AH220" i="1"/>
  <c r="Y220" i="1"/>
  <c r="Z220" i="1" s="1"/>
  <c r="W220" i="1"/>
  <c r="V220" i="1"/>
  <c r="T220" i="1"/>
  <c r="O220" i="1"/>
  <c r="N220" i="1"/>
  <c r="M220" i="1"/>
  <c r="L220" i="1"/>
  <c r="K220" i="1"/>
  <c r="Q220" i="1" s="1"/>
  <c r="J220" i="1"/>
  <c r="I220" i="1"/>
  <c r="G220" i="1"/>
  <c r="H220" i="1" s="1"/>
  <c r="F220" i="1"/>
  <c r="E220" i="1"/>
  <c r="D220" i="1"/>
  <c r="C220" i="1"/>
  <c r="B220" i="1"/>
  <c r="A220" i="1"/>
  <c r="AH219" i="1"/>
  <c r="Y219" i="1"/>
  <c r="Z219" i="1" s="1"/>
  <c r="W219" i="1"/>
  <c r="V219" i="1"/>
  <c r="T219" i="1"/>
  <c r="Q219" i="1"/>
  <c r="O219" i="1"/>
  <c r="N219" i="1"/>
  <c r="M219" i="1"/>
  <c r="L219" i="1"/>
  <c r="K219" i="1"/>
  <c r="J219" i="1"/>
  <c r="I219" i="1"/>
  <c r="G219" i="1"/>
  <c r="H219" i="1" s="1"/>
  <c r="F219" i="1"/>
  <c r="E219" i="1"/>
  <c r="D219" i="1"/>
  <c r="C219" i="1"/>
  <c r="B219" i="1"/>
  <c r="A219" i="1"/>
  <c r="AH218" i="1"/>
  <c r="Y218" i="1"/>
  <c r="Z218" i="1" s="1"/>
  <c r="W218" i="1"/>
  <c r="V218" i="1"/>
  <c r="T218" i="1"/>
  <c r="Q218" i="1"/>
  <c r="O218" i="1"/>
  <c r="N218" i="1"/>
  <c r="M218" i="1"/>
  <c r="L218" i="1"/>
  <c r="K218" i="1"/>
  <c r="J218" i="1"/>
  <c r="I218" i="1"/>
  <c r="G218" i="1"/>
  <c r="H218" i="1" s="1"/>
  <c r="F218" i="1"/>
  <c r="E218" i="1"/>
  <c r="D218" i="1"/>
  <c r="C218" i="1"/>
  <c r="B218" i="1"/>
  <c r="A218" i="1"/>
  <c r="AH217" i="1"/>
  <c r="Y217" i="1"/>
  <c r="Z217" i="1" s="1"/>
  <c r="W217" i="1"/>
  <c r="V217" i="1"/>
  <c r="T217" i="1"/>
  <c r="O217" i="1"/>
  <c r="N217" i="1"/>
  <c r="M217" i="1"/>
  <c r="L217" i="1"/>
  <c r="K217" i="1"/>
  <c r="Q217" i="1" s="1"/>
  <c r="J217" i="1"/>
  <c r="I217" i="1"/>
  <c r="G217" i="1"/>
  <c r="H217" i="1" s="1"/>
  <c r="F217" i="1"/>
  <c r="E217" i="1"/>
  <c r="D217" i="1"/>
  <c r="C217" i="1"/>
  <c r="B217" i="1"/>
  <c r="A217" i="1"/>
  <c r="AH216" i="1"/>
  <c r="Y216" i="1"/>
  <c r="Z216" i="1" s="1"/>
  <c r="W216" i="1"/>
  <c r="V216" i="1"/>
  <c r="T216" i="1"/>
  <c r="O216" i="1"/>
  <c r="N216" i="1"/>
  <c r="M216" i="1"/>
  <c r="L216" i="1"/>
  <c r="K216" i="1"/>
  <c r="Q216" i="1" s="1"/>
  <c r="J216" i="1"/>
  <c r="I216" i="1"/>
  <c r="H216" i="1"/>
  <c r="G216" i="1"/>
  <c r="F216" i="1"/>
  <c r="E216" i="1"/>
  <c r="D216" i="1"/>
  <c r="C216" i="1"/>
  <c r="B216" i="1"/>
  <c r="A216" i="1"/>
  <c r="AH215" i="1"/>
  <c r="Y215" i="1"/>
  <c r="Z215" i="1" s="1"/>
  <c r="W215" i="1"/>
  <c r="V215" i="1"/>
  <c r="T215" i="1"/>
  <c r="O215" i="1"/>
  <c r="N215" i="1"/>
  <c r="M215" i="1"/>
  <c r="L215" i="1"/>
  <c r="K215" i="1"/>
  <c r="Q215" i="1" s="1"/>
  <c r="J215" i="1"/>
  <c r="I215" i="1"/>
  <c r="H215" i="1"/>
  <c r="G215" i="1"/>
  <c r="F215" i="1"/>
  <c r="E215" i="1"/>
  <c r="D215" i="1"/>
  <c r="C215" i="1"/>
  <c r="B215" i="1"/>
  <c r="A215" i="1"/>
  <c r="AH214" i="1"/>
  <c r="Y214" i="1"/>
  <c r="Z214" i="1" s="1"/>
  <c r="W214" i="1"/>
  <c r="V214" i="1"/>
  <c r="T214" i="1"/>
  <c r="Q214" i="1"/>
  <c r="O214" i="1"/>
  <c r="N214" i="1"/>
  <c r="M214" i="1"/>
  <c r="L214" i="1"/>
  <c r="K214" i="1"/>
  <c r="J214" i="1"/>
  <c r="I214" i="1"/>
  <c r="G214" i="1"/>
  <c r="H214" i="1" s="1"/>
  <c r="F214" i="1"/>
  <c r="E214" i="1"/>
  <c r="D214" i="1"/>
  <c r="C214" i="1"/>
  <c r="B214" i="1"/>
  <c r="A214" i="1"/>
  <c r="AH213" i="1"/>
  <c r="Y213" i="1"/>
  <c r="Z213" i="1" s="1"/>
  <c r="W213" i="1"/>
  <c r="V213" i="1"/>
  <c r="T213" i="1"/>
  <c r="Q213" i="1"/>
  <c r="O213" i="1"/>
  <c r="N213" i="1"/>
  <c r="M213" i="1"/>
  <c r="L213" i="1"/>
  <c r="K213" i="1"/>
  <c r="J213" i="1"/>
  <c r="I213" i="1"/>
  <c r="G213" i="1"/>
  <c r="H213" i="1" s="1"/>
  <c r="F213" i="1"/>
  <c r="E213" i="1"/>
  <c r="D213" i="1"/>
  <c r="C213" i="1"/>
  <c r="B213" i="1"/>
  <c r="A213" i="1"/>
  <c r="AH212" i="1"/>
  <c r="Y212" i="1"/>
  <c r="Z212" i="1" s="1"/>
  <c r="W212" i="1"/>
  <c r="V212" i="1"/>
  <c r="T212" i="1"/>
  <c r="Q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A212" i="1"/>
  <c r="AH211" i="1"/>
  <c r="Y211" i="1"/>
  <c r="Z211" i="1" s="1"/>
  <c r="W211" i="1"/>
  <c r="V211" i="1"/>
  <c r="T211" i="1"/>
  <c r="O211" i="1"/>
  <c r="N211" i="1"/>
  <c r="M211" i="1"/>
  <c r="L211" i="1"/>
  <c r="K211" i="1"/>
  <c r="Q211" i="1" s="1"/>
  <c r="J211" i="1"/>
  <c r="I211" i="1"/>
  <c r="G211" i="1"/>
  <c r="H211" i="1" s="1"/>
  <c r="F211" i="1"/>
  <c r="E211" i="1"/>
  <c r="D211" i="1"/>
  <c r="C211" i="1"/>
  <c r="B211" i="1"/>
  <c r="A211" i="1"/>
  <c r="AH210" i="1"/>
  <c r="Y210" i="1"/>
  <c r="Z210" i="1" s="1"/>
  <c r="W210" i="1"/>
  <c r="V210" i="1"/>
  <c r="T210" i="1"/>
  <c r="Q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A210" i="1"/>
  <c r="AH209" i="1"/>
  <c r="Y209" i="1"/>
  <c r="Z209" i="1" s="1"/>
  <c r="W209" i="1"/>
  <c r="V209" i="1"/>
  <c r="T209" i="1"/>
  <c r="O209" i="1"/>
  <c r="N209" i="1"/>
  <c r="M209" i="1"/>
  <c r="L209" i="1"/>
  <c r="K209" i="1"/>
  <c r="Q209" i="1" s="1"/>
  <c r="J209" i="1"/>
  <c r="I209" i="1"/>
  <c r="G209" i="1"/>
  <c r="H209" i="1" s="1"/>
  <c r="F209" i="1"/>
  <c r="E209" i="1"/>
  <c r="D209" i="1"/>
  <c r="C209" i="1"/>
  <c r="B209" i="1"/>
  <c r="A209" i="1"/>
  <c r="AH208" i="1"/>
  <c r="Y208" i="1"/>
  <c r="Z208" i="1" s="1"/>
  <c r="W208" i="1"/>
  <c r="V208" i="1"/>
  <c r="T208" i="1"/>
  <c r="O208" i="1"/>
  <c r="N208" i="1"/>
  <c r="M208" i="1"/>
  <c r="L208" i="1"/>
  <c r="K208" i="1"/>
  <c r="Q208" i="1" s="1"/>
  <c r="J208" i="1"/>
  <c r="I208" i="1"/>
  <c r="H208" i="1"/>
  <c r="G208" i="1"/>
  <c r="F208" i="1"/>
  <c r="E208" i="1"/>
  <c r="D208" i="1"/>
  <c r="C208" i="1"/>
  <c r="B208" i="1"/>
  <c r="A208" i="1"/>
  <c r="AH207" i="1"/>
  <c r="Y207" i="1"/>
  <c r="Z207" i="1" s="1"/>
  <c r="W207" i="1"/>
  <c r="V207" i="1"/>
  <c r="T207" i="1"/>
  <c r="O207" i="1"/>
  <c r="N207" i="1"/>
  <c r="M207" i="1"/>
  <c r="L207" i="1"/>
  <c r="K207" i="1"/>
  <c r="Q207" i="1" s="1"/>
  <c r="J207" i="1"/>
  <c r="I207" i="1"/>
  <c r="G207" i="1"/>
  <c r="H207" i="1" s="1"/>
  <c r="F207" i="1"/>
  <c r="E207" i="1"/>
  <c r="D207" i="1"/>
  <c r="C207" i="1"/>
  <c r="B207" i="1"/>
  <c r="A207" i="1"/>
  <c r="AH206" i="1"/>
  <c r="Y206" i="1"/>
  <c r="Z206" i="1" s="1"/>
  <c r="W206" i="1"/>
  <c r="V206" i="1"/>
  <c r="T206" i="1"/>
  <c r="Q206" i="1"/>
  <c r="O206" i="1"/>
  <c r="N206" i="1"/>
  <c r="M206" i="1"/>
  <c r="L206" i="1"/>
  <c r="K206" i="1"/>
  <c r="J206" i="1"/>
  <c r="I206" i="1"/>
  <c r="G206" i="1"/>
  <c r="H206" i="1" s="1"/>
  <c r="F206" i="1"/>
  <c r="E206" i="1"/>
  <c r="D206" i="1"/>
  <c r="C206" i="1"/>
  <c r="B206" i="1"/>
  <c r="A206" i="1"/>
  <c r="AH205" i="1"/>
  <c r="Y205" i="1"/>
  <c r="Z205" i="1" s="1"/>
  <c r="W205" i="1"/>
  <c r="V205" i="1"/>
  <c r="T205" i="1"/>
  <c r="Q205" i="1"/>
  <c r="O205" i="1"/>
  <c r="N205" i="1"/>
  <c r="M205" i="1"/>
  <c r="L205" i="1"/>
  <c r="K205" i="1"/>
  <c r="J205" i="1"/>
  <c r="I205" i="1"/>
  <c r="G205" i="1"/>
  <c r="H205" i="1" s="1"/>
  <c r="F205" i="1"/>
  <c r="E205" i="1"/>
  <c r="D205" i="1"/>
  <c r="C205" i="1"/>
  <c r="B205" i="1"/>
  <c r="A205" i="1"/>
  <c r="AH204" i="1"/>
  <c r="Y204" i="1"/>
  <c r="Z204" i="1" s="1"/>
  <c r="W204" i="1"/>
  <c r="V204" i="1"/>
  <c r="T204" i="1"/>
  <c r="Q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A204" i="1"/>
  <c r="AH203" i="1"/>
  <c r="Y203" i="1"/>
  <c r="Z203" i="1" s="1"/>
  <c r="W203" i="1"/>
  <c r="V203" i="1"/>
  <c r="T203" i="1"/>
  <c r="O203" i="1"/>
  <c r="N203" i="1"/>
  <c r="M203" i="1"/>
  <c r="L203" i="1"/>
  <c r="K203" i="1"/>
  <c r="Q203" i="1" s="1"/>
  <c r="J203" i="1"/>
  <c r="I203" i="1"/>
  <c r="H203" i="1"/>
  <c r="G203" i="1"/>
  <c r="F203" i="1"/>
  <c r="E203" i="1"/>
  <c r="D203" i="1"/>
  <c r="C203" i="1"/>
  <c r="B203" i="1"/>
  <c r="A203" i="1"/>
  <c r="AH202" i="1"/>
  <c r="Y202" i="1"/>
  <c r="Z202" i="1" s="1"/>
  <c r="W202" i="1"/>
  <c r="V202" i="1"/>
  <c r="T202" i="1"/>
  <c r="O202" i="1"/>
  <c r="N202" i="1"/>
  <c r="M202" i="1"/>
  <c r="L202" i="1"/>
  <c r="K202" i="1"/>
  <c r="Q202" i="1" s="1"/>
  <c r="J202" i="1"/>
  <c r="I202" i="1"/>
  <c r="H202" i="1"/>
  <c r="G202" i="1"/>
  <c r="F202" i="1"/>
  <c r="E202" i="1"/>
  <c r="D202" i="1"/>
  <c r="C202" i="1"/>
  <c r="B202" i="1"/>
  <c r="A202" i="1"/>
  <c r="AH201" i="1"/>
  <c r="Y201" i="1"/>
  <c r="Z201" i="1" s="1"/>
  <c r="W201" i="1"/>
  <c r="V201" i="1"/>
  <c r="T201" i="1"/>
  <c r="O201" i="1"/>
  <c r="N201" i="1"/>
  <c r="M201" i="1"/>
  <c r="L201" i="1"/>
  <c r="K201" i="1"/>
  <c r="Q201" i="1" s="1"/>
  <c r="J201" i="1"/>
  <c r="I201" i="1"/>
  <c r="G201" i="1"/>
  <c r="H201" i="1" s="1"/>
  <c r="F201" i="1"/>
  <c r="E201" i="1"/>
  <c r="D201" i="1"/>
  <c r="C201" i="1"/>
  <c r="B201" i="1"/>
  <c r="A201" i="1"/>
  <c r="AH200" i="1"/>
  <c r="Y200" i="1"/>
  <c r="Z200" i="1" s="1"/>
  <c r="W200" i="1"/>
  <c r="V200" i="1"/>
  <c r="T200" i="1"/>
  <c r="O200" i="1"/>
  <c r="N200" i="1"/>
  <c r="M200" i="1"/>
  <c r="L200" i="1"/>
  <c r="J200" i="1"/>
  <c r="K200" i="1" s="1"/>
  <c r="Q200" i="1" s="1"/>
  <c r="I200" i="1"/>
  <c r="H200" i="1"/>
  <c r="G200" i="1"/>
  <c r="F200" i="1"/>
  <c r="E200" i="1"/>
  <c r="D200" i="1"/>
  <c r="C200" i="1"/>
  <c r="B200" i="1"/>
  <c r="A200" i="1"/>
  <c r="AH199" i="1"/>
  <c r="Y199" i="1"/>
  <c r="Z199" i="1" s="1"/>
  <c r="W199" i="1"/>
  <c r="V199" i="1"/>
  <c r="T199" i="1"/>
  <c r="O199" i="1"/>
  <c r="N199" i="1"/>
  <c r="M199" i="1"/>
  <c r="L199" i="1"/>
  <c r="J199" i="1"/>
  <c r="K199" i="1" s="1"/>
  <c r="Q199" i="1" s="1"/>
  <c r="I199" i="1"/>
  <c r="G199" i="1"/>
  <c r="H199" i="1" s="1"/>
  <c r="F199" i="1"/>
  <c r="E199" i="1"/>
  <c r="D199" i="1"/>
  <c r="C199" i="1"/>
  <c r="B199" i="1"/>
  <c r="A199" i="1"/>
  <c r="AH198" i="1"/>
  <c r="Y198" i="1"/>
  <c r="Z198" i="1" s="1"/>
  <c r="W198" i="1"/>
  <c r="V198" i="1"/>
  <c r="T198" i="1"/>
  <c r="O198" i="1"/>
  <c r="N198" i="1"/>
  <c r="M198" i="1"/>
  <c r="L198" i="1"/>
  <c r="K198" i="1"/>
  <c r="Q198" i="1" s="1"/>
  <c r="J198" i="1"/>
  <c r="I198" i="1"/>
  <c r="H198" i="1"/>
  <c r="G198" i="1"/>
  <c r="F198" i="1"/>
  <c r="E198" i="1"/>
  <c r="D198" i="1"/>
  <c r="C198" i="1"/>
  <c r="B198" i="1"/>
  <c r="A198" i="1"/>
  <c r="AH197" i="1"/>
  <c r="Y197" i="1"/>
  <c r="Z197" i="1" s="1"/>
  <c r="W197" i="1"/>
  <c r="V197" i="1"/>
  <c r="T197" i="1"/>
  <c r="O197" i="1"/>
  <c r="N197" i="1"/>
  <c r="M197" i="1"/>
  <c r="L197" i="1"/>
  <c r="K197" i="1"/>
  <c r="Q197" i="1" s="1"/>
  <c r="J197" i="1"/>
  <c r="I197" i="1"/>
  <c r="H197" i="1"/>
  <c r="G197" i="1"/>
  <c r="F197" i="1"/>
  <c r="E197" i="1"/>
  <c r="D197" i="1"/>
  <c r="C197" i="1"/>
  <c r="B197" i="1"/>
  <c r="A197" i="1"/>
  <c r="AH196" i="1"/>
  <c r="Y196" i="1"/>
  <c r="Z196" i="1" s="1"/>
  <c r="W196" i="1"/>
  <c r="V196" i="1"/>
  <c r="T196" i="1"/>
  <c r="O196" i="1"/>
  <c r="N196" i="1"/>
  <c r="M196" i="1"/>
  <c r="L196" i="1"/>
  <c r="J196" i="1"/>
  <c r="K196" i="1" s="1"/>
  <c r="Q196" i="1" s="1"/>
  <c r="I196" i="1"/>
  <c r="H196" i="1"/>
  <c r="G196" i="1"/>
  <c r="F196" i="1"/>
  <c r="E196" i="1"/>
  <c r="D196" i="1"/>
  <c r="C196" i="1"/>
  <c r="B196" i="1"/>
  <c r="A196" i="1"/>
  <c r="AH195" i="1"/>
  <c r="Y195" i="1"/>
  <c r="Z195" i="1" s="1"/>
  <c r="W195" i="1"/>
  <c r="V195" i="1"/>
  <c r="T195" i="1"/>
  <c r="O195" i="1"/>
  <c r="N195" i="1"/>
  <c r="M195" i="1"/>
  <c r="L195" i="1"/>
  <c r="K195" i="1"/>
  <c r="Q195" i="1" s="1"/>
  <c r="J195" i="1"/>
  <c r="I195" i="1"/>
  <c r="G195" i="1"/>
  <c r="H195" i="1" s="1"/>
  <c r="F195" i="1"/>
  <c r="E195" i="1"/>
  <c r="D195" i="1"/>
  <c r="C195" i="1"/>
  <c r="B195" i="1"/>
  <c r="A195" i="1"/>
  <c r="AH194" i="1"/>
  <c r="Y194" i="1"/>
  <c r="Z194" i="1" s="1"/>
  <c r="W194" i="1"/>
  <c r="V194" i="1"/>
  <c r="T194" i="1"/>
  <c r="O194" i="1"/>
  <c r="N194" i="1"/>
  <c r="M194" i="1"/>
  <c r="L194" i="1"/>
  <c r="J194" i="1"/>
  <c r="K194" i="1" s="1"/>
  <c r="Q194" i="1" s="1"/>
  <c r="I194" i="1"/>
  <c r="H194" i="1"/>
  <c r="G194" i="1"/>
  <c r="F194" i="1"/>
  <c r="E194" i="1"/>
  <c r="D194" i="1"/>
  <c r="C194" i="1"/>
  <c r="B194" i="1"/>
  <c r="A194" i="1"/>
  <c r="AH193" i="1"/>
  <c r="Y193" i="1"/>
  <c r="Z193" i="1" s="1"/>
  <c r="W193" i="1"/>
  <c r="V193" i="1"/>
  <c r="T193" i="1"/>
  <c r="O193" i="1"/>
  <c r="N193" i="1"/>
  <c r="M193" i="1"/>
  <c r="L193" i="1"/>
  <c r="K193" i="1"/>
  <c r="Q193" i="1" s="1"/>
  <c r="J193" i="1"/>
  <c r="I193" i="1"/>
  <c r="G193" i="1"/>
  <c r="H193" i="1" s="1"/>
  <c r="F193" i="1"/>
  <c r="E193" i="1"/>
  <c r="D193" i="1"/>
  <c r="C193" i="1"/>
  <c r="B193" i="1"/>
  <c r="A193" i="1"/>
  <c r="AH192" i="1"/>
  <c r="Y192" i="1"/>
  <c r="Z192" i="1" s="1"/>
  <c r="W192" i="1"/>
  <c r="V192" i="1"/>
  <c r="T192" i="1"/>
  <c r="O192" i="1"/>
  <c r="N192" i="1"/>
  <c r="M192" i="1"/>
  <c r="L192" i="1"/>
  <c r="K192" i="1"/>
  <c r="Q192" i="1" s="1"/>
  <c r="J192" i="1"/>
  <c r="I192" i="1"/>
  <c r="H192" i="1"/>
  <c r="G192" i="1"/>
  <c r="F192" i="1"/>
  <c r="E192" i="1"/>
  <c r="D192" i="1"/>
  <c r="C192" i="1"/>
  <c r="B192" i="1"/>
  <c r="A192" i="1"/>
  <c r="AH191" i="1"/>
  <c r="Y191" i="1"/>
  <c r="Z191" i="1" s="1"/>
  <c r="W191" i="1"/>
  <c r="V191" i="1"/>
  <c r="T191" i="1"/>
  <c r="O191" i="1"/>
  <c r="N191" i="1"/>
  <c r="M191" i="1"/>
  <c r="L191" i="1"/>
  <c r="K191" i="1"/>
  <c r="Q191" i="1" s="1"/>
  <c r="J191" i="1"/>
  <c r="I191" i="1"/>
  <c r="G191" i="1"/>
  <c r="H191" i="1" s="1"/>
  <c r="F191" i="1"/>
  <c r="E191" i="1"/>
  <c r="D191" i="1"/>
  <c r="C191" i="1"/>
  <c r="B191" i="1"/>
  <c r="A191" i="1"/>
  <c r="AH190" i="1"/>
  <c r="Y190" i="1"/>
  <c r="Z190" i="1" s="1"/>
  <c r="W190" i="1"/>
  <c r="V190" i="1"/>
  <c r="T190" i="1"/>
  <c r="Q190" i="1"/>
  <c r="O190" i="1"/>
  <c r="N190" i="1"/>
  <c r="M190" i="1"/>
  <c r="L190" i="1"/>
  <c r="K190" i="1"/>
  <c r="J190" i="1"/>
  <c r="I190" i="1"/>
  <c r="G190" i="1"/>
  <c r="H190" i="1" s="1"/>
  <c r="F190" i="1"/>
  <c r="E190" i="1"/>
  <c r="D190" i="1"/>
  <c r="C190" i="1"/>
  <c r="B190" i="1"/>
  <c r="A190" i="1"/>
  <c r="AH189" i="1"/>
  <c r="Y189" i="1"/>
  <c r="Z189" i="1" s="1"/>
  <c r="W189" i="1"/>
  <c r="V189" i="1"/>
  <c r="T189" i="1"/>
  <c r="O189" i="1"/>
  <c r="N189" i="1"/>
  <c r="M189" i="1"/>
  <c r="L189" i="1"/>
  <c r="K189" i="1"/>
  <c r="Q189" i="1" s="1"/>
  <c r="J189" i="1"/>
  <c r="I189" i="1"/>
  <c r="H189" i="1"/>
  <c r="G189" i="1"/>
  <c r="F189" i="1"/>
  <c r="E189" i="1"/>
  <c r="D189" i="1"/>
  <c r="C189" i="1"/>
  <c r="B189" i="1"/>
  <c r="A189" i="1"/>
  <c r="AH188" i="1"/>
  <c r="Y188" i="1"/>
  <c r="Z188" i="1" s="1"/>
  <c r="W188" i="1"/>
  <c r="V188" i="1"/>
  <c r="T188" i="1"/>
  <c r="Q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A188" i="1"/>
  <c r="AH187" i="1"/>
  <c r="Y187" i="1"/>
  <c r="Z187" i="1" s="1"/>
  <c r="W187" i="1"/>
  <c r="V187" i="1"/>
  <c r="T187" i="1"/>
  <c r="O187" i="1"/>
  <c r="N187" i="1"/>
  <c r="M187" i="1"/>
  <c r="L187" i="1"/>
  <c r="K187" i="1"/>
  <c r="Q187" i="1" s="1"/>
  <c r="J187" i="1"/>
  <c r="I187" i="1"/>
  <c r="G187" i="1"/>
  <c r="H187" i="1" s="1"/>
  <c r="F187" i="1"/>
  <c r="E187" i="1"/>
  <c r="D187" i="1"/>
  <c r="C187" i="1"/>
  <c r="B187" i="1"/>
  <c r="A187" i="1"/>
  <c r="AH186" i="1"/>
  <c r="Y186" i="1"/>
  <c r="Z186" i="1" s="1"/>
  <c r="W186" i="1"/>
  <c r="V186" i="1"/>
  <c r="T186" i="1"/>
  <c r="Q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A186" i="1"/>
  <c r="AH185" i="1"/>
  <c r="Y185" i="1"/>
  <c r="Z185" i="1" s="1"/>
  <c r="W185" i="1"/>
  <c r="V185" i="1"/>
  <c r="T185" i="1"/>
  <c r="O185" i="1"/>
  <c r="N185" i="1"/>
  <c r="M185" i="1"/>
  <c r="L185" i="1"/>
  <c r="K185" i="1"/>
  <c r="Q185" i="1" s="1"/>
  <c r="J185" i="1"/>
  <c r="I185" i="1"/>
  <c r="H185" i="1"/>
  <c r="G185" i="1"/>
  <c r="F185" i="1"/>
  <c r="E185" i="1"/>
  <c r="D185" i="1"/>
  <c r="C185" i="1"/>
  <c r="B185" i="1"/>
  <c r="A185" i="1"/>
  <c r="AH184" i="1"/>
  <c r="Y184" i="1"/>
  <c r="Z184" i="1" s="1"/>
  <c r="W184" i="1"/>
  <c r="V184" i="1"/>
  <c r="T184" i="1"/>
  <c r="O184" i="1"/>
  <c r="N184" i="1"/>
  <c r="M184" i="1"/>
  <c r="L184" i="1"/>
  <c r="K184" i="1"/>
  <c r="Q184" i="1" s="1"/>
  <c r="J184" i="1"/>
  <c r="I184" i="1"/>
  <c r="G184" i="1"/>
  <c r="H184" i="1" s="1"/>
  <c r="F184" i="1"/>
  <c r="E184" i="1"/>
  <c r="D184" i="1"/>
  <c r="C184" i="1"/>
  <c r="B184" i="1"/>
  <c r="A184" i="1"/>
  <c r="AH183" i="1"/>
  <c r="Y183" i="1"/>
  <c r="Z183" i="1" s="1"/>
  <c r="W183" i="1"/>
  <c r="V183" i="1"/>
  <c r="T183" i="1"/>
  <c r="O183" i="1"/>
  <c r="N183" i="1"/>
  <c r="M183" i="1"/>
  <c r="L183" i="1"/>
  <c r="K183" i="1"/>
  <c r="Q183" i="1" s="1"/>
  <c r="J183" i="1"/>
  <c r="I183" i="1"/>
  <c r="G183" i="1"/>
  <c r="H183" i="1" s="1"/>
  <c r="F183" i="1"/>
  <c r="E183" i="1"/>
  <c r="D183" i="1"/>
  <c r="C183" i="1"/>
  <c r="B183" i="1"/>
  <c r="A183" i="1"/>
  <c r="AH182" i="1"/>
  <c r="Y182" i="1"/>
  <c r="Z182" i="1" s="1"/>
  <c r="W182" i="1"/>
  <c r="V182" i="1"/>
  <c r="T182" i="1"/>
  <c r="Q182" i="1"/>
  <c r="O182" i="1"/>
  <c r="N182" i="1"/>
  <c r="M182" i="1"/>
  <c r="L182" i="1"/>
  <c r="K182" i="1"/>
  <c r="J182" i="1"/>
  <c r="I182" i="1"/>
  <c r="G182" i="1"/>
  <c r="H182" i="1" s="1"/>
  <c r="F182" i="1"/>
  <c r="E182" i="1"/>
  <c r="D182" i="1"/>
  <c r="C182" i="1"/>
  <c r="B182" i="1"/>
  <c r="A182" i="1"/>
  <c r="AH181" i="1"/>
  <c r="Y181" i="1"/>
  <c r="Z181" i="1" s="1"/>
  <c r="W181" i="1"/>
  <c r="V181" i="1"/>
  <c r="T181" i="1"/>
  <c r="Q181" i="1"/>
  <c r="O181" i="1"/>
  <c r="N181" i="1"/>
  <c r="M181" i="1"/>
  <c r="L181" i="1"/>
  <c r="K181" i="1"/>
  <c r="J181" i="1"/>
  <c r="I181" i="1"/>
  <c r="G181" i="1"/>
  <c r="H181" i="1" s="1"/>
  <c r="F181" i="1"/>
  <c r="E181" i="1"/>
  <c r="D181" i="1"/>
  <c r="C181" i="1"/>
  <c r="B181" i="1"/>
  <c r="A181" i="1"/>
  <c r="AH180" i="1"/>
  <c r="Y180" i="1"/>
  <c r="Z180" i="1" s="1"/>
  <c r="W180" i="1"/>
  <c r="V180" i="1"/>
  <c r="T180" i="1"/>
  <c r="Q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A180" i="1"/>
  <c r="AH179" i="1"/>
  <c r="Y179" i="1"/>
  <c r="Z179" i="1" s="1"/>
  <c r="W179" i="1"/>
  <c r="V179" i="1"/>
  <c r="T179" i="1"/>
  <c r="O179" i="1"/>
  <c r="N179" i="1"/>
  <c r="M179" i="1"/>
  <c r="L179" i="1"/>
  <c r="K179" i="1"/>
  <c r="Q179" i="1" s="1"/>
  <c r="J179" i="1"/>
  <c r="I179" i="1"/>
  <c r="H179" i="1"/>
  <c r="G179" i="1"/>
  <c r="F179" i="1"/>
  <c r="E179" i="1"/>
  <c r="D179" i="1"/>
  <c r="C179" i="1"/>
  <c r="B179" i="1"/>
  <c r="A179" i="1"/>
  <c r="AH178" i="1"/>
  <c r="Y178" i="1"/>
  <c r="Z178" i="1" s="1"/>
  <c r="W178" i="1"/>
  <c r="V178" i="1"/>
  <c r="T178" i="1"/>
  <c r="O178" i="1"/>
  <c r="N178" i="1"/>
  <c r="M178" i="1"/>
  <c r="L178" i="1"/>
  <c r="K178" i="1"/>
  <c r="Q178" i="1" s="1"/>
  <c r="J178" i="1"/>
  <c r="I178" i="1"/>
  <c r="G178" i="1"/>
  <c r="H178" i="1" s="1"/>
  <c r="F178" i="1"/>
  <c r="E178" i="1"/>
  <c r="D178" i="1"/>
  <c r="C178" i="1"/>
  <c r="B178" i="1"/>
  <c r="A178" i="1"/>
  <c r="AH177" i="1"/>
  <c r="Y177" i="1"/>
  <c r="Z177" i="1" s="1"/>
  <c r="W177" i="1"/>
  <c r="V177" i="1"/>
  <c r="T177" i="1"/>
  <c r="Q177" i="1"/>
  <c r="O177" i="1"/>
  <c r="N177" i="1"/>
  <c r="M177" i="1"/>
  <c r="L177" i="1"/>
  <c r="K177" i="1"/>
  <c r="J177" i="1"/>
  <c r="I177" i="1"/>
  <c r="G177" i="1"/>
  <c r="H177" i="1" s="1"/>
  <c r="F177" i="1"/>
  <c r="E177" i="1"/>
  <c r="D177" i="1"/>
  <c r="C177" i="1"/>
  <c r="B177" i="1"/>
  <c r="A177" i="1"/>
  <c r="AH176" i="1"/>
  <c r="Y176" i="1"/>
  <c r="Z176" i="1" s="1"/>
  <c r="W176" i="1"/>
  <c r="V176" i="1"/>
  <c r="T176" i="1"/>
  <c r="Q176" i="1"/>
  <c r="O176" i="1"/>
  <c r="N176" i="1"/>
  <c r="M176" i="1"/>
  <c r="L176" i="1"/>
  <c r="K176" i="1"/>
  <c r="J176" i="1"/>
  <c r="I176" i="1"/>
  <c r="G176" i="1"/>
  <c r="H176" i="1" s="1"/>
  <c r="F176" i="1"/>
  <c r="E176" i="1"/>
  <c r="D176" i="1"/>
  <c r="C176" i="1"/>
  <c r="B176" i="1"/>
  <c r="A176" i="1"/>
  <c r="AH175" i="1"/>
  <c r="Y175" i="1"/>
  <c r="Z175" i="1" s="1"/>
  <c r="W175" i="1"/>
  <c r="V175" i="1"/>
  <c r="T175" i="1"/>
  <c r="O175" i="1"/>
  <c r="N175" i="1"/>
  <c r="M175" i="1"/>
  <c r="L175" i="1"/>
  <c r="K175" i="1"/>
  <c r="Q175" i="1" s="1"/>
  <c r="J175" i="1"/>
  <c r="I175" i="1"/>
  <c r="G175" i="1"/>
  <c r="H175" i="1" s="1"/>
  <c r="F175" i="1"/>
  <c r="E175" i="1"/>
  <c r="D175" i="1"/>
  <c r="C175" i="1"/>
  <c r="B175" i="1"/>
  <c r="A175" i="1"/>
  <c r="AH174" i="1"/>
  <c r="Y174" i="1"/>
  <c r="Z174" i="1" s="1"/>
  <c r="W174" i="1"/>
  <c r="V174" i="1"/>
  <c r="T174" i="1"/>
  <c r="O174" i="1"/>
  <c r="N174" i="1"/>
  <c r="M174" i="1"/>
  <c r="L174" i="1"/>
  <c r="K174" i="1"/>
  <c r="Q174" i="1" s="1"/>
  <c r="J174" i="1"/>
  <c r="I174" i="1"/>
  <c r="H174" i="1"/>
  <c r="G174" i="1"/>
  <c r="F174" i="1"/>
  <c r="E174" i="1"/>
  <c r="D174" i="1"/>
  <c r="C174" i="1"/>
  <c r="B174" i="1"/>
  <c r="A174" i="1"/>
  <c r="AH173" i="1"/>
  <c r="Y173" i="1"/>
  <c r="Z173" i="1" s="1"/>
  <c r="W173" i="1"/>
  <c r="V173" i="1"/>
  <c r="T173" i="1"/>
  <c r="O173" i="1"/>
  <c r="N173" i="1"/>
  <c r="M173" i="1"/>
  <c r="L173" i="1"/>
  <c r="K173" i="1"/>
  <c r="Q173" i="1" s="1"/>
  <c r="J173" i="1"/>
  <c r="I173" i="1"/>
  <c r="G173" i="1"/>
  <c r="H173" i="1" s="1"/>
  <c r="F173" i="1"/>
  <c r="E173" i="1"/>
  <c r="D173" i="1"/>
  <c r="C173" i="1"/>
  <c r="B173" i="1"/>
  <c r="A173" i="1"/>
  <c r="AH172" i="1"/>
  <c r="Y172" i="1"/>
  <c r="Z172" i="1" s="1"/>
  <c r="W172" i="1"/>
  <c r="V172" i="1"/>
  <c r="T172" i="1"/>
  <c r="Q172" i="1"/>
  <c r="O172" i="1"/>
  <c r="N172" i="1"/>
  <c r="M172" i="1"/>
  <c r="L172" i="1"/>
  <c r="K172" i="1"/>
  <c r="J172" i="1"/>
  <c r="I172" i="1"/>
  <c r="G172" i="1"/>
  <c r="H172" i="1" s="1"/>
  <c r="F172" i="1"/>
  <c r="E172" i="1"/>
  <c r="D172" i="1"/>
  <c r="C172" i="1"/>
  <c r="B172" i="1"/>
  <c r="A172" i="1"/>
  <c r="AH171" i="1"/>
  <c r="Y171" i="1"/>
  <c r="Z171" i="1" s="1"/>
  <c r="W171" i="1"/>
  <c r="V171" i="1"/>
  <c r="T171" i="1"/>
  <c r="Q171" i="1"/>
  <c r="O171" i="1"/>
  <c r="N171" i="1"/>
  <c r="M171" i="1"/>
  <c r="L171" i="1"/>
  <c r="K171" i="1"/>
  <c r="J171" i="1"/>
  <c r="I171" i="1"/>
  <c r="G171" i="1"/>
  <c r="H171" i="1" s="1"/>
  <c r="F171" i="1"/>
  <c r="E171" i="1"/>
  <c r="D171" i="1"/>
  <c r="C171" i="1"/>
  <c r="B171" i="1"/>
  <c r="A171" i="1"/>
  <c r="AH170" i="1"/>
  <c r="Y170" i="1"/>
  <c r="Z170" i="1" s="1"/>
  <c r="W170" i="1"/>
  <c r="V170" i="1"/>
  <c r="T170" i="1"/>
  <c r="Q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170" i="1"/>
  <c r="AH169" i="1"/>
  <c r="Y169" i="1"/>
  <c r="Z169" i="1" s="1"/>
  <c r="W169" i="1"/>
  <c r="V169" i="1"/>
  <c r="T169" i="1"/>
  <c r="O169" i="1"/>
  <c r="N169" i="1"/>
  <c r="M169" i="1"/>
  <c r="L169" i="1"/>
  <c r="K169" i="1"/>
  <c r="Q169" i="1" s="1"/>
  <c r="J169" i="1"/>
  <c r="I169" i="1"/>
  <c r="G169" i="1"/>
  <c r="H169" i="1" s="1"/>
  <c r="F169" i="1"/>
  <c r="E169" i="1"/>
  <c r="D169" i="1"/>
  <c r="C169" i="1"/>
  <c r="B169" i="1"/>
  <c r="A169" i="1"/>
  <c r="AH168" i="1"/>
  <c r="Y168" i="1"/>
  <c r="Z168" i="1" s="1"/>
  <c r="W168" i="1"/>
  <c r="V168" i="1"/>
  <c r="T168" i="1"/>
  <c r="O168" i="1"/>
  <c r="N168" i="1"/>
  <c r="M168" i="1"/>
  <c r="L168" i="1"/>
  <c r="K168" i="1"/>
  <c r="Q168" i="1" s="1"/>
  <c r="J168" i="1"/>
  <c r="I168" i="1"/>
  <c r="H168" i="1"/>
  <c r="G168" i="1"/>
  <c r="F168" i="1"/>
  <c r="E168" i="1"/>
  <c r="D168" i="1"/>
  <c r="C168" i="1"/>
  <c r="B168" i="1"/>
  <c r="A168" i="1"/>
  <c r="AH167" i="1"/>
  <c r="Y167" i="1"/>
  <c r="Z167" i="1" s="1"/>
  <c r="W167" i="1"/>
  <c r="V167" i="1"/>
  <c r="T167" i="1"/>
  <c r="O167" i="1"/>
  <c r="N167" i="1"/>
  <c r="M167" i="1"/>
  <c r="L167" i="1"/>
  <c r="K167" i="1"/>
  <c r="Q167" i="1" s="1"/>
  <c r="J167" i="1"/>
  <c r="I167" i="1"/>
  <c r="G167" i="1"/>
  <c r="H167" i="1" s="1"/>
  <c r="F167" i="1"/>
  <c r="E167" i="1"/>
  <c r="D167" i="1"/>
  <c r="C167" i="1"/>
  <c r="B167" i="1"/>
  <c r="A167" i="1"/>
  <c r="AH166" i="1"/>
  <c r="Y166" i="1"/>
  <c r="Z166" i="1" s="1"/>
  <c r="W166" i="1"/>
  <c r="V166" i="1"/>
  <c r="T166" i="1"/>
  <c r="Q166" i="1"/>
  <c r="O166" i="1"/>
  <c r="N166" i="1"/>
  <c r="M166" i="1"/>
  <c r="L166" i="1"/>
  <c r="K166" i="1"/>
  <c r="J166" i="1"/>
  <c r="I166" i="1"/>
  <c r="G166" i="1"/>
  <c r="H166" i="1" s="1"/>
  <c r="F166" i="1"/>
  <c r="E166" i="1"/>
  <c r="D166" i="1"/>
  <c r="C166" i="1"/>
  <c r="B166" i="1"/>
  <c r="A166" i="1"/>
  <c r="AH165" i="1"/>
  <c r="Y165" i="1"/>
  <c r="Z165" i="1" s="1"/>
  <c r="W165" i="1"/>
  <c r="V165" i="1"/>
  <c r="T165" i="1"/>
  <c r="O165" i="1"/>
  <c r="N165" i="1"/>
  <c r="M165" i="1"/>
  <c r="L165" i="1"/>
  <c r="K165" i="1"/>
  <c r="Q165" i="1" s="1"/>
  <c r="J165" i="1"/>
  <c r="I165" i="1"/>
  <c r="H165" i="1"/>
  <c r="G165" i="1"/>
  <c r="F165" i="1"/>
  <c r="E165" i="1"/>
  <c r="D165" i="1"/>
  <c r="C165" i="1"/>
  <c r="B165" i="1"/>
  <c r="A165" i="1"/>
  <c r="AH164" i="1"/>
  <c r="Y164" i="1"/>
  <c r="Z164" i="1" s="1"/>
  <c r="W164" i="1"/>
  <c r="V164" i="1"/>
  <c r="T164" i="1"/>
  <c r="Q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A164" i="1"/>
  <c r="AH163" i="1"/>
  <c r="Y163" i="1"/>
  <c r="Z163" i="1" s="1"/>
  <c r="W163" i="1"/>
  <c r="V163" i="1"/>
  <c r="T163" i="1"/>
  <c r="O163" i="1"/>
  <c r="N163" i="1"/>
  <c r="M163" i="1"/>
  <c r="L163" i="1"/>
  <c r="K163" i="1"/>
  <c r="Q163" i="1" s="1"/>
  <c r="J163" i="1"/>
  <c r="I163" i="1"/>
  <c r="G163" i="1"/>
  <c r="H163" i="1" s="1"/>
  <c r="F163" i="1"/>
  <c r="E163" i="1"/>
  <c r="D163" i="1"/>
  <c r="C163" i="1"/>
  <c r="B163" i="1"/>
  <c r="A163" i="1"/>
  <c r="AH162" i="1"/>
  <c r="Y162" i="1"/>
  <c r="Z162" i="1" s="1"/>
  <c r="W162" i="1"/>
  <c r="V162" i="1"/>
  <c r="T162" i="1"/>
  <c r="Q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162" i="1"/>
  <c r="AH161" i="1"/>
  <c r="Y161" i="1"/>
  <c r="Z161" i="1" s="1"/>
  <c r="W161" i="1"/>
  <c r="V161" i="1"/>
  <c r="T161" i="1"/>
  <c r="O161" i="1"/>
  <c r="N161" i="1"/>
  <c r="M161" i="1"/>
  <c r="L161" i="1"/>
  <c r="K161" i="1"/>
  <c r="Q161" i="1" s="1"/>
  <c r="J161" i="1"/>
  <c r="I161" i="1"/>
  <c r="H161" i="1"/>
  <c r="G161" i="1"/>
  <c r="F161" i="1"/>
  <c r="E161" i="1"/>
  <c r="D161" i="1"/>
  <c r="C161" i="1"/>
  <c r="B161" i="1"/>
  <c r="A161" i="1"/>
  <c r="AH160" i="1"/>
  <c r="Y160" i="1"/>
  <c r="Z160" i="1" s="1"/>
  <c r="W160" i="1"/>
  <c r="V160" i="1"/>
  <c r="T160" i="1"/>
  <c r="O160" i="1"/>
  <c r="N160" i="1"/>
  <c r="M160" i="1"/>
  <c r="L160" i="1"/>
  <c r="K160" i="1"/>
  <c r="Q160" i="1" s="1"/>
  <c r="J160" i="1"/>
  <c r="I160" i="1"/>
  <c r="H160" i="1"/>
  <c r="G160" i="1"/>
  <c r="F160" i="1"/>
  <c r="E160" i="1"/>
  <c r="D160" i="1"/>
  <c r="C160" i="1"/>
  <c r="B160" i="1"/>
  <c r="A160" i="1"/>
  <c r="AH159" i="1"/>
  <c r="Y159" i="1"/>
  <c r="Z159" i="1" s="1"/>
  <c r="W159" i="1"/>
  <c r="V159" i="1"/>
  <c r="T159" i="1"/>
  <c r="O159" i="1"/>
  <c r="N159" i="1"/>
  <c r="M159" i="1"/>
  <c r="L159" i="1"/>
  <c r="K159" i="1"/>
  <c r="Q159" i="1" s="1"/>
  <c r="J159" i="1"/>
  <c r="I159" i="1"/>
  <c r="G159" i="1"/>
  <c r="H159" i="1" s="1"/>
  <c r="F159" i="1"/>
  <c r="E159" i="1"/>
  <c r="D159" i="1"/>
  <c r="C159" i="1"/>
  <c r="B159" i="1"/>
  <c r="A159" i="1"/>
  <c r="AH158" i="1"/>
  <c r="Y158" i="1"/>
  <c r="Z158" i="1" s="1"/>
  <c r="W158" i="1"/>
  <c r="V158" i="1"/>
  <c r="T158" i="1"/>
  <c r="Q158" i="1"/>
  <c r="O158" i="1"/>
  <c r="N158" i="1"/>
  <c r="M158" i="1"/>
  <c r="L158" i="1"/>
  <c r="K158" i="1"/>
  <c r="J158" i="1"/>
  <c r="I158" i="1"/>
  <c r="G158" i="1"/>
  <c r="H158" i="1" s="1"/>
  <c r="F158" i="1"/>
  <c r="E158" i="1"/>
  <c r="D158" i="1"/>
  <c r="C158" i="1"/>
  <c r="B158" i="1"/>
  <c r="A158" i="1"/>
  <c r="AH157" i="1"/>
  <c r="Y157" i="1"/>
  <c r="Z157" i="1" s="1"/>
  <c r="W157" i="1"/>
  <c r="V157" i="1"/>
  <c r="T157" i="1"/>
  <c r="Q157" i="1"/>
  <c r="O157" i="1"/>
  <c r="N157" i="1"/>
  <c r="M157" i="1"/>
  <c r="L157" i="1"/>
  <c r="K157" i="1"/>
  <c r="J157" i="1"/>
  <c r="I157" i="1"/>
  <c r="G157" i="1"/>
  <c r="H157" i="1" s="1"/>
  <c r="F157" i="1"/>
  <c r="E157" i="1"/>
  <c r="D157" i="1"/>
  <c r="C157" i="1"/>
  <c r="B157" i="1"/>
  <c r="A157" i="1"/>
  <c r="AH156" i="1"/>
  <c r="Y156" i="1"/>
  <c r="Z156" i="1" s="1"/>
  <c r="W156" i="1"/>
  <c r="V156" i="1"/>
  <c r="T156" i="1"/>
  <c r="O156" i="1"/>
  <c r="N156" i="1"/>
  <c r="M156" i="1"/>
  <c r="L156" i="1"/>
  <c r="K156" i="1"/>
  <c r="Q156" i="1" s="1"/>
  <c r="J156" i="1"/>
  <c r="I156" i="1"/>
  <c r="H156" i="1"/>
  <c r="G156" i="1"/>
  <c r="F156" i="1"/>
  <c r="E156" i="1"/>
  <c r="D156" i="1"/>
  <c r="C156" i="1"/>
  <c r="B156" i="1"/>
  <c r="A156" i="1"/>
  <c r="AH155" i="1"/>
  <c r="Y155" i="1"/>
  <c r="Z155" i="1" s="1"/>
  <c r="W155" i="1"/>
  <c r="V155" i="1"/>
  <c r="T155" i="1"/>
  <c r="O155" i="1"/>
  <c r="N155" i="1"/>
  <c r="M155" i="1"/>
  <c r="L155" i="1"/>
  <c r="K155" i="1"/>
  <c r="Q155" i="1" s="1"/>
  <c r="J155" i="1"/>
  <c r="I155" i="1"/>
  <c r="H155" i="1"/>
  <c r="G155" i="1"/>
  <c r="F155" i="1"/>
  <c r="E155" i="1"/>
  <c r="D155" i="1"/>
  <c r="C155" i="1"/>
  <c r="B155" i="1"/>
  <c r="A155" i="1"/>
  <c r="AH154" i="1"/>
  <c r="Y154" i="1"/>
  <c r="Z154" i="1" s="1"/>
  <c r="W154" i="1"/>
  <c r="V154" i="1"/>
  <c r="T154" i="1"/>
  <c r="O154" i="1"/>
  <c r="N154" i="1"/>
  <c r="M154" i="1"/>
  <c r="L154" i="1"/>
  <c r="K154" i="1"/>
  <c r="Q154" i="1" s="1"/>
  <c r="J154" i="1"/>
  <c r="I154" i="1"/>
  <c r="G154" i="1"/>
  <c r="H154" i="1" s="1"/>
  <c r="F154" i="1"/>
  <c r="E154" i="1"/>
  <c r="D154" i="1"/>
  <c r="C154" i="1"/>
  <c r="B154" i="1"/>
  <c r="A154" i="1"/>
  <c r="AH153" i="1"/>
  <c r="Y153" i="1"/>
  <c r="Z153" i="1" s="1"/>
  <c r="W153" i="1"/>
  <c r="V153" i="1"/>
  <c r="T153" i="1"/>
  <c r="Q153" i="1"/>
  <c r="O153" i="1"/>
  <c r="N153" i="1"/>
  <c r="M153" i="1"/>
  <c r="L153" i="1"/>
  <c r="K153" i="1"/>
  <c r="J153" i="1"/>
  <c r="I153" i="1"/>
  <c r="G153" i="1"/>
  <c r="H153" i="1" s="1"/>
  <c r="F153" i="1"/>
  <c r="E153" i="1"/>
  <c r="D153" i="1"/>
  <c r="C153" i="1"/>
  <c r="B153" i="1"/>
  <c r="A153" i="1"/>
  <c r="AH152" i="1"/>
  <c r="Y152" i="1"/>
  <c r="Z152" i="1" s="1"/>
  <c r="W152" i="1"/>
  <c r="V152" i="1"/>
  <c r="T152" i="1"/>
  <c r="Q152" i="1"/>
  <c r="O152" i="1"/>
  <c r="N152" i="1"/>
  <c r="M152" i="1"/>
  <c r="L152" i="1"/>
  <c r="K152" i="1"/>
  <c r="J152" i="1"/>
  <c r="I152" i="1"/>
  <c r="G152" i="1"/>
  <c r="H152" i="1" s="1"/>
  <c r="F152" i="1"/>
  <c r="E152" i="1"/>
  <c r="D152" i="1"/>
  <c r="C152" i="1"/>
  <c r="B152" i="1"/>
  <c r="A152" i="1"/>
  <c r="AH151" i="1"/>
  <c r="Y151" i="1"/>
  <c r="Z151" i="1" s="1"/>
  <c r="W151" i="1"/>
  <c r="V151" i="1"/>
  <c r="T151" i="1"/>
  <c r="O151" i="1"/>
  <c r="N151" i="1"/>
  <c r="M151" i="1"/>
  <c r="L151" i="1"/>
  <c r="K151" i="1"/>
  <c r="Q151" i="1" s="1"/>
  <c r="J151" i="1"/>
  <c r="I151" i="1"/>
  <c r="G151" i="1"/>
  <c r="H151" i="1" s="1"/>
  <c r="F151" i="1"/>
  <c r="E151" i="1"/>
  <c r="D151" i="1"/>
  <c r="C151" i="1"/>
  <c r="B151" i="1"/>
  <c r="A151" i="1"/>
  <c r="AH150" i="1"/>
  <c r="Y150" i="1"/>
  <c r="Z150" i="1" s="1"/>
  <c r="W150" i="1"/>
  <c r="V150" i="1"/>
  <c r="T150" i="1"/>
  <c r="O150" i="1"/>
  <c r="N150" i="1"/>
  <c r="M150" i="1"/>
  <c r="L150" i="1"/>
  <c r="K150" i="1"/>
  <c r="Q150" i="1" s="1"/>
  <c r="J150" i="1"/>
  <c r="I150" i="1"/>
  <c r="H150" i="1"/>
  <c r="G150" i="1"/>
  <c r="F150" i="1"/>
  <c r="E150" i="1"/>
  <c r="D150" i="1"/>
  <c r="C150" i="1"/>
  <c r="B150" i="1"/>
  <c r="A150" i="1"/>
  <c r="AH149" i="1"/>
  <c r="Y149" i="1"/>
  <c r="Z149" i="1" s="1"/>
  <c r="W149" i="1"/>
  <c r="V149" i="1"/>
  <c r="T149" i="1"/>
  <c r="O149" i="1"/>
  <c r="N149" i="1"/>
  <c r="M149" i="1"/>
  <c r="L149" i="1"/>
  <c r="K149" i="1"/>
  <c r="Q149" i="1" s="1"/>
  <c r="J149" i="1"/>
  <c r="I149" i="1"/>
  <c r="H149" i="1"/>
  <c r="G149" i="1"/>
  <c r="F149" i="1"/>
  <c r="E149" i="1"/>
  <c r="D149" i="1"/>
  <c r="C149" i="1"/>
  <c r="B149" i="1"/>
  <c r="A149" i="1"/>
  <c r="AH148" i="1"/>
  <c r="Y148" i="1"/>
  <c r="Z148" i="1" s="1"/>
  <c r="W148" i="1"/>
  <c r="V148" i="1"/>
  <c r="T148" i="1"/>
  <c r="Q148" i="1"/>
  <c r="O148" i="1"/>
  <c r="N148" i="1"/>
  <c r="M148" i="1"/>
  <c r="L148" i="1"/>
  <c r="K148" i="1"/>
  <c r="J148" i="1"/>
  <c r="I148" i="1"/>
  <c r="G148" i="1"/>
  <c r="H148" i="1" s="1"/>
  <c r="F148" i="1"/>
  <c r="E148" i="1"/>
  <c r="D148" i="1"/>
  <c r="C148" i="1"/>
  <c r="B148" i="1"/>
  <c r="A148" i="1"/>
  <c r="AH147" i="1"/>
  <c r="Y147" i="1"/>
  <c r="Z147" i="1" s="1"/>
  <c r="W147" i="1"/>
  <c r="V147" i="1"/>
  <c r="T147" i="1"/>
  <c r="Q147" i="1"/>
  <c r="O147" i="1"/>
  <c r="N147" i="1"/>
  <c r="M147" i="1"/>
  <c r="L147" i="1"/>
  <c r="K147" i="1"/>
  <c r="J147" i="1"/>
  <c r="I147" i="1"/>
  <c r="G147" i="1"/>
  <c r="H147" i="1" s="1"/>
  <c r="F147" i="1"/>
  <c r="E147" i="1"/>
  <c r="D147" i="1"/>
  <c r="C147" i="1"/>
  <c r="B147" i="1"/>
  <c r="A147" i="1"/>
  <c r="AH146" i="1"/>
  <c r="Y146" i="1"/>
  <c r="Z146" i="1" s="1"/>
  <c r="W146" i="1"/>
  <c r="V146" i="1"/>
  <c r="T146" i="1"/>
  <c r="Q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A146" i="1"/>
  <c r="AH145" i="1"/>
  <c r="Y145" i="1"/>
  <c r="Z145" i="1" s="1"/>
  <c r="W145" i="1"/>
  <c r="V145" i="1"/>
  <c r="T145" i="1"/>
  <c r="O145" i="1"/>
  <c r="N145" i="1"/>
  <c r="M145" i="1"/>
  <c r="L145" i="1"/>
  <c r="K145" i="1"/>
  <c r="Q145" i="1" s="1"/>
  <c r="J145" i="1"/>
  <c r="I145" i="1"/>
  <c r="G145" i="1"/>
  <c r="H145" i="1" s="1"/>
  <c r="F145" i="1"/>
  <c r="E145" i="1"/>
  <c r="D145" i="1"/>
  <c r="C145" i="1"/>
  <c r="B145" i="1"/>
  <c r="A145" i="1"/>
  <c r="AH144" i="1"/>
  <c r="Y144" i="1"/>
  <c r="Z144" i="1" s="1"/>
  <c r="W144" i="1"/>
  <c r="V144" i="1"/>
  <c r="T144" i="1"/>
  <c r="O144" i="1"/>
  <c r="N144" i="1"/>
  <c r="M144" i="1"/>
  <c r="L144" i="1"/>
  <c r="K144" i="1"/>
  <c r="Q144" i="1" s="1"/>
  <c r="J144" i="1"/>
  <c r="I144" i="1"/>
  <c r="H144" i="1"/>
  <c r="G144" i="1"/>
  <c r="F144" i="1"/>
  <c r="E144" i="1"/>
  <c r="D144" i="1"/>
  <c r="C144" i="1"/>
  <c r="B144" i="1"/>
  <c r="A144" i="1"/>
  <c r="AH143" i="1"/>
  <c r="Y143" i="1"/>
  <c r="Z143" i="1" s="1"/>
  <c r="W143" i="1"/>
  <c r="V143" i="1"/>
  <c r="T143" i="1"/>
  <c r="O143" i="1"/>
  <c r="N143" i="1"/>
  <c r="M143" i="1"/>
  <c r="L143" i="1"/>
  <c r="K143" i="1"/>
  <c r="Q143" i="1" s="1"/>
  <c r="J143" i="1"/>
  <c r="I143" i="1"/>
  <c r="G143" i="1"/>
  <c r="H143" i="1" s="1"/>
  <c r="F143" i="1"/>
  <c r="E143" i="1"/>
  <c r="D143" i="1"/>
  <c r="C143" i="1"/>
  <c r="B143" i="1"/>
  <c r="A143" i="1"/>
  <c r="AH142" i="1"/>
  <c r="Y142" i="1"/>
  <c r="Z142" i="1" s="1"/>
  <c r="W142" i="1"/>
  <c r="V142" i="1"/>
  <c r="T142" i="1"/>
  <c r="Q142" i="1"/>
  <c r="O142" i="1"/>
  <c r="N142" i="1"/>
  <c r="M142" i="1"/>
  <c r="L142" i="1"/>
  <c r="K142" i="1"/>
  <c r="J142" i="1"/>
  <c r="I142" i="1"/>
  <c r="G142" i="1"/>
  <c r="H142" i="1" s="1"/>
  <c r="F142" i="1"/>
  <c r="E142" i="1"/>
  <c r="D142" i="1"/>
  <c r="C142" i="1"/>
  <c r="B142" i="1"/>
  <c r="A142" i="1"/>
  <c r="AH141" i="1"/>
  <c r="Y141" i="1"/>
  <c r="Z141" i="1" s="1"/>
  <c r="W141" i="1"/>
  <c r="V141" i="1"/>
  <c r="T141" i="1"/>
  <c r="O141" i="1"/>
  <c r="N141" i="1"/>
  <c r="M141" i="1"/>
  <c r="L141" i="1"/>
  <c r="K141" i="1"/>
  <c r="Q141" i="1" s="1"/>
  <c r="J141" i="1"/>
  <c r="I141" i="1"/>
  <c r="H141" i="1"/>
  <c r="G141" i="1"/>
  <c r="F141" i="1"/>
  <c r="E141" i="1"/>
  <c r="D141" i="1"/>
  <c r="C141" i="1"/>
  <c r="B141" i="1"/>
  <c r="A141" i="1"/>
  <c r="AH140" i="1"/>
  <c r="Y140" i="1"/>
  <c r="Z140" i="1" s="1"/>
  <c r="W140" i="1"/>
  <c r="V140" i="1"/>
  <c r="T140" i="1"/>
  <c r="Q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A140" i="1"/>
  <c r="AH139" i="1"/>
  <c r="Y139" i="1"/>
  <c r="Z139" i="1" s="1"/>
  <c r="W139" i="1"/>
  <c r="V139" i="1"/>
  <c r="T139" i="1"/>
  <c r="O139" i="1"/>
  <c r="N139" i="1"/>
  <c r="M139" i="1"/>
  <c r="L139" i="1"/>
  <c r="K139" i="1"/>
  <c r="Q139" i="1" s="1"/>
  <c r="J139" i="1"/>
  <c r="I139" i="1"/>
  <c r="G139" i="1"/>
  <c r="H139" i="1" s="1"/>
  <c r="F139" i="1"/>
  <c r="E139" i="1"/>
  <c r="D139" i="1"/>
  <c r="C139" i="1"/>
  <c r="B139" i="1"/>
  <c r="A139" i="1"/>
  <c r="AH138" i="1"/>
  <c r="Y138" i="1"/>
  <c r="Z138" i="1" s="1"/>
  <c r="W138" i="1"/>
  <c r="V138" i="1"/>
  <c r="T138" i="1"/>
  <c r="Q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A138" i="1"/>
  <c r="AH137" i="1"/>
  <c r="Y137" i="1"/>
  <c r="Z137" i="1" s="1"/>
  <c r="W137" i="1"/>
  <c r="V137" i="1"/>
  <c r="T137" i="1"/>
  <c r="O137" i="1"/>
  <c r="N137" i="1"/>
  <c r="M137" i="1"/>
  <c r="L137" i="1"/>
  <c r="K137" i="1"/>
  <c r="Q137" i="1" s="1"/>
  <c r="J137" i="1"/>
  <c r="I137" i="1"/>
  <c r="H137" i="1"/>
  <c r="G137" i="1"/>
  <c r="F137" i="1"/>
  <c r="E137" i="1"/>
  <c r="D137" i="1"/>
  <c r="C137" i="1"/>
  <c r="B137" i="1"/>
  <c r="A137" i="1"/>
  <c r="AH136" i="1"/>
  <c r="Y136" i="1"/>
  <c r="Z136" i="1" s="1"/>
  <c r="W136" i="1"/>
  <c r="V136" i="1"/>
  <c r="T136" i="1"/>
  <c r="O136" i="1"/>
  <c r="N136" i="1"/>
  <c r="M136" i="1"/>
  <c r="L136" i="1"/>
  <c r="K136" i="1"/>
  <c r="Q136" i="1" s="1"/>
  <c r="J136" i="1"/>
  <c r="I136" i="1"/>
  <c r="H136" i="1"/>
  <c r="G136" i="1"/>
  <c r="F136" i="1"/>
  <c r="E136" i="1"/>
  <c r="D136" i="1"/>
  <c r="C136" i="1"/>
  <c r="B136" i="1"/>
  <c r="A136" i="1"/>
  <c r="AH135" i="1"/>
  <c r="Y135" i="1"/>
  <c r="Z135" i="1" s="1"/>
  <c r="W135" i="1"/>
  <c r="V135" i="1"/>
  <c r="T135" i="1"/>
  <c r="O135" i="1"/>
  <c r="N135" i="1"/>
  <c r="M135" i="1"/>
  <c r="L135" i="1"/>
  <c r="K135" i="1"/>
  <c r="Q135" i="1" s="1"/>
  <c r="J135" i="1"/>
  <c r="I135" i="1"/>
  <c r="H135" i="1"/>
  <c r="G135" i="1"/>
  <c r="F135" i="1"/>
  <c r="E135" i="1"/>
  <c r="D135" i="1"/>
  <c r="C135" i="1"/>
  <c r="B135" i="1"/>
  <c r="A135" i="1"/>
  <c r="AH134" i="1"/>
  <c r="Y134" i="1"/>
  <c r="Z134" i="1" s="1"/>
  <c r="W134" i="1"/>
  <c r="V134" i="1"/>
  <c r="T134" i="1"/>
  <c r="Q134" i="1"/>
  <c r="O134" i="1"/>
  <c r="N134" i="1"/>
  <c r="M134" i="1"/>
  <c r="L134" i="1"/>
  <c r="K134" i="1"/>
  <c r="J134" i="1"/>
  <c r="I134" i="1"/>
  <c r="G134" i="1"/>
  <c r="H134" i="1" s="1"/>
  <c r="F134" i="1"/>
  <c r="E134" i="1"/>
  <c r="D134" i="1"/>
  <c r="C134" i="1"/>
  <c r="B134" i="1"/>
  <c r="A134" i="1"/>
  <c r="AH133" i="1"/>
  <c r="Y133" i="1"/>
  <c r="Z133" i="1" s="1"/>
  <c r="W133" i="1"/>
  <c r="V133" i="1"/>
  <c r="T133" i="1"/>
  <c r="Q133" i="1"/>
  <c r="O133" i="1"/>
  <c r="N133" i="1"/>
  <c r="M133" i="1"/>
  <c r="L133" i="1"/>
  <c r="K133" i="1"/>
  <c r="J133" i="1"/>
  <c r="I133" i="1"/>
  <c r="G133" i="1"/>
  <c r="H133" i="1" s="1"/>
  <c r="F133" i="1"/>
  <c r="E133" i="1"/>
  <c r="D133" i="1"/>
  <c r="C133" i="1"/>
  <c r="B133" i="1"/>
  <c r="A133" i="1"/>
  <c r="AH132" i="1"/>
  <c r="Y132" i="1"/>
  <c r="Z132" i="1" s="1"/>
  <c r="W132" i="1"/>
  <c r="V132" i="1"/>
  <c r="T132" i="1"/>
  <c r="Q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132" i="1"/>
  <c r="AH131" i="1"/>
  <c r="Y131" i="1"/>
  <c r="Z131" i="1" s="1"/>
  <c r="W131" i="1"/>
  <c r="V131" i="1"/>
  <c r="T131" i="1"/>
  <c r="O131" i="1"/>
  <c r="N131" i="1"/>
  <c r="M131" i="1"/>
  <c r="L131" i="1"/>
  <c r="K131" i="1"/>
  <c r="Q131" i="1" s="1"/>
  <c r="J131" i="1"/>
  <c r="I131" i="1"/>
  <c r="H131" i="1"/>
  <c r="G131" i="1"/>
  <c r="F131" i="1"/>
  <c r="E131" i="1"/>
  <c r="D131" i="1"/>
  <c r="C131" i="1"/>
  <c r="B131" i="1"/>
  <c r="A131" i="1"/>
  <c r="AH130" i="1"/>
  <c r="Y130" i="1"/>
  <c r="Z130" i="1" s="1"/>
  <c r="W130" i="1"/>
  <c r="V130" i="1"/>
  <c r="T130" i="1"/>
  <c r="O130" i="1"/>
  <c r="N130" i="1"/>
  <c r="M130" i="1"/>
  <c r="L130" i="1"/>
  <c r="K130" i="1"/>
  <c r="Q130" i="1" s="1"/>
  <c r="J130" i="1"/>
  <c r="I130" i="1"/>
  <c r="G130" i="1"/>
  <c r="H130" i="1" s="1"/>
  <c r="F130" i="1"/>
  <c r="E130" i="1"/>
  <c r="D130" i="1"/>
  <c r="C130" i="1"/>
  <c r="B130" i="1"/>
  <c r="A130" i="1"/>
  <c r="AH129" i="1"/>
  <c r="Y129" i="1"/>
  <c r="Z129" i="1" s="1"/>
  <c r="W129" i="1"/>
  <c r="V129" i="1"/>
  <c r="T129" i="1"/>
  <c r="Q129" i="1"/>
  <c r="O129" i="1"/>
  <c r="N129" i="1"/>
  <c r="M129" i="1"/>
  <c r="L129" i="1"/>
  <c r="K129" i="1"/>
  <c r="J129" i="1"/>
  <c r="I129" i="1"/>
  <c r="G129" i="1"/>
  <c r="H129" i="1" s="1"/>
  <c r="F129" i="1"/>
  <c r="E129" i="1"/>
  <c r="D129" i="1"/>
  <c r="C129" i="1"/>
  <c r="B129" i="1"/>
  <c r="A129" i="1"/>
  <c r="AH128" i="1"/>
  <c r="Y128" i="1"/>
  <c r="Z128" i="1" s="1"/>
  <c r="W128" i="1"/>
  <c r="V128" i="1"/>
  <c r="T128" i="1"/>
  <c r="Q128" i="1"/>
  <c r="O128" i="1"/>
  <c r="N128" i="1"/>
  <c r="M128" i="1"/>
  <c r="L128" i="1"/>
  <c r="K128" i="1"/>
  <c r="J128" i="1"/>
  <c r="I128" i="1"/>
  <c r="G128" i="1"/>
  <c r="H128" i="1" s="1"/>
  <c r="F128" i="1"/>
  <c r="E128" i="1"/>
  <c r="D128" i="1"/>
  <c r="C128" i="1"/>
  <c r="B128" i="1"/>
  <c r="A128" i="1"/>
  <c r="AH127" i="1"/>
  <c r="Y127" i="1"/>
  <c r="Z127" i="1" s="1"/>
  <c r="W127" i="1"/>
  <c r="V127" i="1"/>
  <c r="T127" i="1"/>
  <c r="Q127" i="1"/>
  <c r="O127" i="1"/>
  <c r="N127" i="1"/>
  <c r="M127" i="1"/>
  <c r="L127" i="1"/>
  <c r="K127" i="1"/>
  <c r="J127" i="1"/>
  <c r="I127" i="1"/>
  <c r="G127" i="1"/>
  <c r="H127" i="1" s="1"/>
  <c r="F127" i="1"/>
  <c r="E127" i="1"/>
  <c r="D127" i="1"/>
  <c r="C127" i="1"/>
  <c r="B127" i="1"/>
  <c r="A127" i="1"/>
  <c r="AH126" i="1"/>
  <c r="Y126" i="1"/>
  <c r="Z126" i="1" s="1"/>
  <c r="W126" i="1"/>
  <c r="V126" i="1"/>
  <c r="T126" i="1"/>
  <c r="O126" i="1"/>
  <c r="N126" i="1"/>
  <c r="M126" i="1"/>
  <c r="L126" i="1"/>
  <c r="K126" i="1"/>
  <c r="Q126" i="1" s="1"/>
  <c r="J126" i="1"/>
  <c r="I126" i="1"/>
  <c r="H126" i="1"/>
  <c r="G126" i="1"/>
  <c r="F126" i="1"/>
  <c r="E126" i="1"/>
  <c r="D126" i="1"/>
  <c r="C126" i="1"/>
  <c r="B126" i="1"/>
  <c r="A126" i="1"/>
  <c r="AH125" i="1"/>
  <c r="Y125" i="1"/>
  <c r="Z125" i="1" s="1"/>
  <c r="W125" i="1"/>
  <c r="V125" i="1"/>
  <c r="T125" i="1"/>
  <c r="O125" i="1"/>
  <c r="N125" i="1"/>
  <c r="M125" i="1"/>
  <c r="L125" i="1"/>
  <c r="K125" i="1"/>
  <c r="Q125" i="1" s="1"/>
  <c r="J125" i="1"/>
  <c r="I125" i="1"/>
  <c r="G125" i="1"/>
  <c r="H125" i="1" s="1"/>
  <c r="F125" i="1"/>
  <c r="E125" i="1"/>
  <c r="D125" i="1"/>
  <c r="C125" i="1"/>
  <c r="B125" i="1"/>
  <c r="A125" i="1"/>
  <c r="AH124" i="1"/>
  <c r="Y124" i="1"/>
  <c r="Z124" i="1" s="1"/>
  <c r="W124" i="1"/>
  <c r="V124" i="1"/>
  <c r="T124" i="1"/>
  <c r="Q124" i="1"/>
  <c r="O124" i="1"/>
  <c r="N124" i="1"/>
  <c r="M124" i="1"/>
  <c r="L124" i="1"/>
  <c r="K124" i="1"/>
  <c r="J124" i="1"/>
  <c r="I124" i="1"/>
  <c r="G124" i="1"/>
  <c r="H124" i="1" s="1"/>
  <c r="F124" i="1"/>
  <c r="E124" i="1"/>
  <c r="D124" i="1"/>
  <c r="C124" i="1"/>
  <c r="B124" i="1"/>
  <c r="A124" i="1"/>
  <c r="AH123" i="1"/>
  <c r="Y123" i="1"/>
  <c r="Z123" i="1" s="1"/>
  <c r="W123" i="1"/>
  <c r="V123" i="1"/>
  <c r="T123" i="1"/>
  <c r="Q123" i="1"/>
  <c r="O123" i="1"/>
  <c r="N123" i="1"/>
  <c r="M123" i="1"/>
  <c r="L123" i="1"/>
  <c r="K123" i="1"/>
  <c r="J123" i="1"/>
  <c r="I123" i="1"/>
  <c r="G123" i="1"/>
  <c r="H123" i="1" s="1"/>
  <c r="F123" i="1"/>
  <c r="E123" i="1"/>
  <c r="D123" i="1"/>
  <c r="C123" i="1"/>
  <c r="B123" i="1"/>
  <c r="A123" i="1"/>
  <c r="AH122" i="1"/>
  <c r="Y122" i="1"/>
  <c r="Z122" i="1" s="1"/>
  <c r="W122" i="1"/>
  <c r="V122" i="1"/>
  <c r="T122" i="1"/>
  <c r="Q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122" i="1"/>
  <c r="AH121" i="1"/>
  <c r="Y121" i="1"/>
  <c r="Z121" i="1" s="1"/>
  <c r="W121" i="1"/>
  <c r="V121" i="1"/>
  <c r="T121" i="1"/>
  <c r="O121" i="1"/>
  <c r="N121" i="1"/>
  <c r="M121" i="1"/>
  <c r="L121" i="1"/>
  <c r="K121" i="1"/>
  <c r="Q121" i="1" s="1"/>
  <c r="J121" i="1"/>
  <c r="I121" i="1"/>
  <c r="G121" i="1"/>
  <c r="H121" i="1" s="1"/>
  <c r="F121" i="1"/>
  <c r="E121" i="1"/>
  <c r="D121" i="1"/>
  <c r="C121" i="1"/>
  <c r="B121" i="1"/>
  <c r="A121" i="1"/>
  <c r="AH120" i="1"/>
  <c r="Y120" i="1"/>
  <c r="Z120" i="1" s="1"/>
  <c r="W120" i="1"/>
  <c r="V120" i="1"/>
  <c r="T120" i="1"/>
  <c r="O120" i="1"/>
  <c r="N120" i="1"/>
  <c r="M120" i="1"/>
  <c r="L120" i="1"/>
  <c r="K120" i="1"/>
  <c r="Q120" i="1" s="1"/>
  <c r="J120" i="1"/>
  <c r="I120" i="1"/>
  <c r="H120" i="1"/>
  <c r="G120" i="1"/>
  <c r="F120" i="1"/>
  <c r="E120" i="1"/>
  <c r="D120" i="1"/>
  <c r="C120" i="1"/>
  <c r="B120" i="1"/>
  <c r="A120" i="1"/>
  <c r="AH119" i="1"/>
  <c r="Y119" i="1"/>
  <c r="Z119" i="1" s="1"/>
  <c r="W119" i="1"/>
  <c r="V119" i="1"/>
  <c r="T119" i="1"/>
  <c r="O119" i="1"/>
  <c r="N119" i="1"/>
  <c r="M119" i="1"/>
  <c r="L119" i="1"/>
  <c r="K119" i="1"/>
  <c r="Q119" i="1" s="1"/>
  <c r="J119" i="1"/>
  <c r="I119" i="1"/>
  <c r="G119" i="1"/>
  <c r="H119" i="1" s="1"/>
  <c r="F119" i="1"/>
  <c r="E119" i="1"/>
  <c r="D119" i="1"/>
  <c r="C119" i="1"/>
  <c r="B119" i="1"/>
  <c r="A119" i="1"/>
  <c r="AH118" i="1"/>
  <c r="Y118" i="1"/>
  <c r="Z118" i="1" s="1"/>
  <c r="W118" i="1"/>
  <c r="V118" i="1"/>
  <c r="T118" i="1"/>
  <c r="Q118" i="1"/>
  <c r="O118" i="1"/>
  <c r="N118" i="1"/>
  <c r="M118" i="1"/>
  <c r="L118" i="1"/>
  <c r="K118" i="1"/>
  <c r="J118" i="1"/>
  <c r="I118" i="1"/>
  <c r="G118" i="1"/>
  <c r="H118" i="1" s="1"/>
  <c r="F118" i="1"/>
  <c r="E118" i="1"/>
  <c r="D118" i="1"/>
  <c r="C118" i="1"/>
  <c r="B118" i="1"/>
  <c r="A118" i="1"/>
  <c r="AH117" i="1"/>
  <c r="Y117" i="1"/>
  <c r="Z117" i="1" s="1"/>
  <c r="W117" i="1"/>
  <c r="V117" i="1"/>
  <c r="T117" i="1"/>
  <c r="O117" i="1"/>
  <c r="N117" i="1"/>
  <c r="M117" i="1"/>
  <c r="L117" i="1"/>
  <c r="K117" i="1"/>
  <c r="Q117" i="1" s="1"/>
  <c r="J117" i="1"/>
  <c r="I117" i="1"/>
  <c r="H117" i="1"/>
  <c r="G117" i="1"/>
  <c r="F117" i="1"/>
  <c r="E117" i="1"/>
  <c r="D117" i="1"/>
  <c r="C117" i="1"/>
  <c r="B117" i="1"/>
  <c r="A117" i="1"/>
  <c r="AH116" i="1"/>
  <c r="Y116" i="1"/>
  <c r="Z116" i="1" s="1"/>
  <c r="W116" i="1"/>
  <c r="V116" i="1"/>
  <c r="T116" i="1"/>
  <c r="Q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116" i="1"/>
  <c r="AH115" i="1"/>
  <c r="Y115" i="1"/>
  <c r="Z115" i="1" s="1"/>
  <c r="W115" i="1"/>
  <c r="V115" i="1"/>
  <c r="T115" i="1"/>
  <c r="O115" i="1"/>
  <c r="N115" i="1"/>
  <c r="M115" i="1"/>
  <c r="L115" i="1"/>
  <c r="K115" i="1"/>
  <c r="Q115" i="1" s="1"/>
  <c r="J115" i="1"/>
  <c r="I115" i="1"/>
  <c r="G115" i="1"/>
  <c r="H115" i="1" s="1"/>
  <c r="F115" i="1"/>
  <c r="E115" i="1"/>
  <c r="D115" i="1"/>
  <c r="C115" i="1"/>
  <c r="B115" i="1"/>
  <c r="A115" i="1"/>
  <c r="AH114" i="1"/>
  <c r="Y114" i="1"/>
  <c r="Z114" i="1" s="1"/>
  <c r="W114" i="1"/>
  <c r="V114" i="1"/>
  <c r="T114" i="1"/>
  <c r="Q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114" i="1"/>
  <c r="AH113" i="1"/>
  <c r="Y113" i="1"/>
  <c r="Z113" i="1" s="1"/>
  <c r="W113" i="1"/>
  <c r="V113" i="1"/>
  <c r="T113" i="1"/>
  <c r="O113" i="1"/>
  <c r="N113" i="1"/>
  <c r="M113" i="1"/>
  <c r="L113" i="1"/>
  <c r="K113" i="1"/>
  <c r="Q113" i="1" s="1"/>
  <c r="J113" i="1"/>
  <c r="I113" i="1"/>
  <c r="H113" i="1"/>
  <c r="G113" i="1"/>
  <c r="F113" i="1"/>
  <c r="E113" i="1"/>
  <c r="D113" i="1"/>
  <c r="C113" i="1"/>
  <c r="B113" i="1"/>
  <c r="A113" i="1"/>
  <c r="AH112" i="1"/>
  <c r="Y112" i="1"/>
  <c r="Z112" i="1" s="1"/>
  <c r="W112" i="1"/>
  <c r="V112" i="1"/>
  <c r="T112" i="1"/>
  <c r="O112" i="1"/>
  <c r="N112" i="1"/>
  <c r="M112" i="1"/>
  <c r="L112" i="1"/>
  <c r="K112" i="1"/>
  <c r="Q112" i="1" s="1"/>
  <c r="J112" i="1"/>
  <c r="I112" i="1"/>
  <c r="H112" i="1"/>
  <c r="G112" i="1"/>
  <c r="F112" i="1"/>
  <c r="E112" i="1"/>
  <c r="D112" i="1"/>
  <c r="C112" i="1"/>
  <c r="B112" i="1"/>
  <c r="A112" i="1"/>
  <c r="AH111" i="1"/>
  <c r="Y111" i="1"/>
  <c r="Z111" i="1" s="1"/>
  <c r="W111" i="1"/>
  <c r="V111" i="1"/>
  <c r="T111" i="1"/>
  <c r="O111" i="1"/>
  <c r="N111" i="1"/>
  <c r="M111" i="1"/>
  <c r="L111" i="1"/>
  <c r="K111" i="1"/>
  <c r="Q111" i="1" s="1"/>
  <c r="J111" i="1"/>
  <c r="I111" i="1"/>
  <c r="G111" i="1"/>
  <c r="H111" i="1" s="1"/>
  <c r="F111" i="1"/>
  <c r="E111" i="1"/>
  <c r="D111" i="1"/>
  <c r="C111" i="1"/>
  <c r="B111" i="1"/>
  <c r="A111" i="1"/>
  <c r="AH110" i="1"/>
  <c r="Y110" i="1"/>
  <c r="Z110" i="1" s="1"/>
  <c r="W110" i="1"/>
  <c r="V110" i="1"/>
  <c r="T110" i="1"/>
  <c r="Q110" i="1"/>
  <c r="O110" i="1"/>
  <c r="N110" i="1"/>
  <c r="M110" i="1"/>
  <c r="L110" i="1"/>
  <c r="K110" i="1"/>
  <c r="J110" i="1"/>
  <c r="I110" i="1"/>
  <c r="G110" i="1"/>
  <c r="H110" i="1" s="1"/>
  <c r="F110" i="1"/>
  <c r="E110" i="1"/>
  <c r="D110" i="1"/>
  <c r="C110" i="1"/>
  <c r="B110" i="1"/>
  <c r="A110" i="1"/>
  <c r="AH109" i="1"/>
  <c r="Y109" i="1"/>
  <c r="Z109" i="1" s="1"/>
  <c r="W109" i="1"/>
  <c r="V109" i="1"/>
  <c r="T109" i="1"/>
  <c r="Q109" i="1"/>
  <c r="O109" i="1"/>
  <c r="N109" i="1"/>
  <c r="M109" i="1"/>
  <c r="L109" i="1"/>
  <c r="K109" i="1"/>
  <c r="J109" i="1"/>
  <c r="I109" i="1"/>
  <c r="G109" i="1"/>
  <c r="H109" i="1" s="1"/>
  <c r="F109" i="1"/>
  <c r="E109" i="1"/>
  <c r="D109" i="1"/>
  <c r="C109" i="1"/>
  <c r="B109" i="1"/>
  <c r="A109" i="1"/>
  <c r="AH108" i="1"/>
  <c r="Y108" i="1"/>
  <c r="Z108" i="1" s="1"/>
  <c r="W108" i="1"/>
  <c r="V108" i="1"/>
  <c r="T108" i="1"/>
  <c r="O108" i="1"/>
  <c r="N108" i="1"/>
  <c r="M108" i="1"/>
  <c r="L108" i="1"/>
  <c r="K108" i="1"/>
  <c r="Q108" i="1" s="1"/>
  <c r="J108" i="1"/>
  <c r="I108" i="1"/>
  <c r="H108" i="1"/>
  <c r="G108" i="1"/>
  <c r="F108" i="1"/>
  <c r="E108" i="1"/>
  <c r="D108" i="1"/>
  <c r="C108" i="1"/>
  <c r="B108" i="1"/>
  <c r="A108" i="1"/>
  <c r="AH107" i="1"/>
  <c r="Y107" i="1"/>
  <c r="Z107" i="1" s="1"/>
  <c r="W107" i="1"/>
  <c r="V107" i="1"/>
  <c r="T107" i="1"/>
  <c r="O107" i="1"/>
  <c r="N107" i="1"/>
  <c r="M107" i="1"/>
  <c r="L107" i="1"/>
  <c r="K107" i="1"/>
  <c r="Q107" i="1" s="1"/>
  <c r="J107" i="1"/>
  <c r="I107" i="1"/>
  <c r="H107" i="1"/>
  <c r="G107" i="1"/>
  <c r="F107" i="1"/>
  <c r="E107" i="1"/>
  <c r="D107" i="1"/>
  <c r="C107" i="1"/>
  <c r="B107" i="1"/>
  <c r="A107" i="1"/>
  <c r="AH106" i="1"/>
  <c r="Y106" i="1"/>
  <c r="Z106" i="1" s="1"/>
  <c r="W106" i="1"/>
  <c r="V106" i="1"/>
  <c r="T106" i="1"/>
  <c r="O106" i="1"/>
  <c r="N106" i="1"/>
  <c r="M106" i="1"/>
  <c r="L106" i="1"/>
  <c r="K106" i="1"/>
  <c r="Q106" i="1" s="1"/>
  <c r="J106" i="1"/>
  <c r="I106" i="1"/>
  <c r="G106" i="1"/>
  <c r="H106" i="1" s="1"/>
  <c r="F106" i="1"/>
  <c r="E106" i="1"/>
  <c r="D106" i="1"/>
  <c r="C106" i="1"/>
  <c r="B106" i="1"/>
  <c r="A106" i="1"/>
  <c r="AH105" i="1"/>
  <c r="Y105" i="1"/>
  <c r="Z105" i="1" s="1"/>
  <c r="W105" i="1"/>
  <c r="V105" i="1"/>
  <c r="T105" i="1"/>
  <c r="Q105" i="1"/>
  <c r="O105" i="1"/>
  <c r="N105" i="1"/>
  <c r="M105" i="1"/>
  <c r="L105" i="1"/>
  <c r="K105" i="1"/>
  <c r="J105" i="1"/>
  <c r="I105" i="1"/>
  <c r="G105" i="1"/>
  <c r="H105" i="1" s="1"/>
  <c r="F105" i="1"/>
  <c r="E105" i="1"/>
  <c r="D105" i="1"/>
  <c r="C105" i="1"/>
  <c r="B105" i="1"/>
  <c r="A105" i="1"/>
  <c r="AH104" i="1"/>
  <c r="Y104" i="1"/>
  <c r="Z104" i="1" s="1"/>
  <c r="W104" i="1"/>
  <c r="V104" i="1"/>
  <c r="T104" i="1"/>
  <c r="Q104" i="1"/>
  <c r="O104" i="1"/>
  <c r="N104" i="1"/>
  <c r="M104" i="1"/>
  <c r="L104" i="1"/>
  <c r="K104" i="1"/>
  <c r="J104" i="1"/>
  <c r="I104" i="1"/>
  <c r="G104" i="1"/>
  <c r="H104" i="1" s="1"/>
  <c r="F104" i="1"/>
  <c r="E104" i="1"/>
  <c r="D104" i="1"/>
  <c r="C104" i="1"/>
  <c r="B104" i="1"/>
  <c r="A104" i="1"/>
  <c r="AH103" i="1"/>
  <c r="Y103" i="1"/>
  <c r="Z103" i="1" s="1"/>
  <c r="W103" i="1"/>
  <c r="V103" i="1"/>
  <c r="T103" i="1"/>
  <c r="O103" i="1"/>
  <c r="N103" i="1"/>
  <c r="M103" i="1"/>
  <c r="L103" i="1"/>
  <c r="K103" i="1"/>
  <c r="Q103" i="1" s="1"/>
  <c r="J103" i="1"/>
  <c r="I103" i="1"/>
  <c r="G103" i="1"/>
  <c r="H103" i="1" s="1"/>
  <c r="F103" i="1"/>
  <c r="E103" i="1"/>
  <c r="D103" i="1"/>
  <c r="C103" i="1"/>
  <c r="B103" i="1"/>
  <c r="A103" i="1"/>
  <c r="AH102" i="1"/>
  <c r="Y102" i="1"/>
  <c r="Z102" i="1" s="1"/>
  <c r="W102" i="1"/>
  <c r="V102" i="1"/>
  <c r="T102" i="1"/>
  <c r="O102" i="1"/>
  <c r="N102" i="1"/>
  <c r="M102" i="1"/>
  <c r="L102" i="1"/>
  <c r="K102" i="1"/>
  <c r="Q102" i="1" s="1"/>
  <c r="J102" i="1"/>
  <c r="I102" i="1"/>
  <c r="H102" i="1"/>
  <c r="G102" i="1"/>
  <c r="F102" i="1"/>
  <c r="E102" i="1"/>
  <c r="D102" i="1"/>
  <c r="C102" i="1"/>
  <c r="B102" i="1"/>
  <c r="A102" i="1"/>
  <c r="AH101" i="1"/>
  <c r="Y101" i="1"/>
  <c r="Z101" i="1" s="1"/>
  <c r="W101" i="1"/>
  <c r="V101" i="1"/>
  <c r="T101" i="1"/>
  <c r="O101" i="1"/>
  <c r="N101" i="1"/>
  <c r="M101" i="1"/>
  <c r="L101" i="1"/>
  <c r="K101" i="1"/>
  <c r="Q101" i="1" s="1"/>
  <c r="J101" i="1"/>
  <c r="I101" i="1"/>
  <c r="G101" i="1"/>
  <c r="H101" i="1" s="1"/>
  <c r="F101" i="1"/>
  <c r="E101" i="1"/>
  <c r="D101" i="1"/>
  <c r="C101" i="1"/>
  <c r="B101" i="1"/>
  <c r="A101" i="1"/>
  <c r="AH100" i="1"/>
  <c r="Y100" i="1"/>
  <c r="Z100" i="1" s="1"/>
  <c r="W100" i="1"/>
  <c r="V100" i="1"/>
  <c r="T100" i="1"/>
  <c r="Q100" i="1"/>
  <c r="O100" i="1"/>
  <c r="N100" i="1"/>
  <c r="M100" i="1"/>
  <c r="L100" i="1"/>
  <c r="K100" i="1"/>
  <c r="J100" i="1"/>
  <c r="I100" i="1"/>
  <c r="G100" i="1"/>
  <c r="H100" i="1" s="1"/>
  <c r="F100" i="1"/>
  <c r="E100" i="1"/>
  <c r="D100" i="1"/>
  <c r="C100" i="1"/>
  <c r="B100" i="1"/>
  <c r="A100" i="1"/>
  <c r="AH99" i="1"/>
  <c r="Y99" i="1"/>
  <c r="Z99" i="1" s="1"/>
  <c r="W99" i="1"/>
  <c r="V99" i="1"/>
  <c r="T99" i="1"/>
  <c r="Q99" i="1"/>
  <c r="O99" i="1"/>
  <c r="N99" i="1"/>
  <c r="M99" i="1"/>
  <c r="L99" i="1"/>
  <c r="K99" i="1"/>
  <c r="J99" i="1"/>
  <c r="I99" i="1"/>
  <c r="G99" i="1"/>
  <c r="H99" i="1" s="1"/>
  <c r="F99" i="1"/>
  <c r="E99" i="1"/>
  <c r="D99" i="1"/>
  <c r="C99" i="1"/>
  <c r="B99" i="1"/>
  <c r="A99" i="1"/>
  <c r="AH98" i="1"/>
  <c r="Y98" i="1"/>
  <c r="Z98" i="1" s="1"/>
  <c r="W98" i="1"/>
  <c r="V98" i="1"/>
  <c r="T98" i="1"/>
  <c r="Q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98" i="1"/>
  <c r="AH97" i="1"/>
  <c r="Y97" i="1"/>
  <c r="Z97" i="1" s="1"/>
  <c r="W97" i="1"/>
  <c r="V97" i="1"/>
  <c r="T97" i="1"/>
  <c r="O97" i="1"/>
  <c r="N97" i="1"/>
  <c r="M97" i="1"/>
  <c r="L97" i="1"/>
  <c r="K97" i="1"/>
  <c r="Q97" i="1" s="1"/>
  <c r="J97" i="1"/>
  <c r="I97" i="1"/>
  <c r="G97" i="1"/>
  <c r="H97" i="1" s="1"/>
  <c r="F97" i="1"/>
  <c r="E97" i="1"/>
  <c r="D97" i="1"/>
  <c r="C97" i="1"/>
  <c r="B97" i="1"/>
  <c r="A97" i="1"/>
  <c r="AH96" i="1"/>
  <c r="Y96" i="1"/>
  <c r="Z96" i="1" s="1"/>
  <c r="W96" i="1"/>
  <c r="V96" i="1"/>
  <c r="T96" i="1"/>
  <c r="O96" i="1"/>
  <c r="N96" i="1"/>
  <c r="M96" i="1"/>
  <c r="L96" i="1"/>
  <c r="K96" i="1"/>
  <c r="Q96" i="1" s="1"/>
  <c r="J96" i="1"/>
  <c r="I96" i="1"/>
  <c r="H96" i="1"/>
  <c r="G96" i="1"/>
  <c r="F96" i="1"/>
  <c r="E96" i="1"/>
  <c r="D96" i="1"/>
  <c r="C96" i="1"/>
  <c r="B96" i="1"/>
  <c r="A96" i="1"/>
  <c r="AH95" i="1"/>
  <c r="Y95" i="1"/>
  <c r="Z95" i="1" s="1"/>
  <c r="W95" i="1"/>
  <c r="V95" i="1"/>
  <c r="T95" i="1"/>
  <c r="O95" i="1"/>
  <c r="N95" i="1"/>
  <c r="M95" i="1"/>
  <c r="L95" i="1"/>
  <c r="K95" i="1"/>
  <c r="Q95" i="1" s="1"/>
  <c r="J95" i="1"/>
  <c r="I95" i="1"/>
  <c r="G95" i="1"/>
  <c r="H95" i="1" s="1"/>
  <c r="F95" i="1"/>
  <c r="E95" i="1"/>
  <c r="D95" i="1"/>
  <c r="C95" i="1"/>
  <c r="B95" i="1"/>
  <c r="A95" i="1"/>
  <c r="AH94" i="1"/>
  <c r="Y94" i="1"/>
  <c r="Z94" i="1" s="1"/>
  <c r="W94" i="1"/>
  <c r="V94" i="1"/>
  <c r="T94" i="1"/>
  <c r="O94" i="1"/>
  <c r="N94" i="1"/>
  <c r="M94" i="1"/>
  <c r="L94" i="1"/>
  <c r="K94" i="1"/>
  <c r="Q94" i="1" s="1"/>
  <c r="J94" i="1"/>
  <c r="I94" i="1"/>
  <c r="G94" i="1"/>
  <c r="H94" i="1" s="1"/>
  <c r="F94" i="1"/>
  <c r="E94" i="1"/>
  <c r="D94" i="1"/>
  <c r="C94" i="1"/>
  <c r="B94" i="1"/>
  <c r="A94" i="1"/>
  <c r="AH93" i="1"/>
  <c r="Y93" i="1"/>
  <c r="Z93" i="1" s="1"/>
  <c r="W93" i="1"/>
  <c r="V93" i="1"/>
  <c r="T93" i="1"/>
  <c r="O93" i="1"/>
  <c r="N93" i="1"/>
  <c r="M93" i="1"/>
  <c r="L93" i="1"/>
  <c r="J93" i="1"/>
  <c r="K93" i="1" s="1"/>
  <c r="Q93" i="1" s="1"/>
  <c r="I93" i="1"/>
  <c r="H93" i="1"/>
  <c r="G93" i="1"/>
  <c r="F93" i="1"/>
  <c r="E93" i="1"/>
  <c r="D93" i="1"/>
  <c r="C93" i="1"/>
  <c r="B93" i="1"/>
  <c r="A93" i="1"/>
  <c r="AH92" i="1"/>
  <c r="Y92" i="1"/>
  <c r="Z92" i="1" s="1"/>
  <c r="W92" i="1"/>
  <c r="V92" i="1"/>
  <c r="T92" i="1"/>
  <c r="O92" i="1"/>
  <c r="N92" i="1"/>
  <c r="M92" i="1"/>
  <c r="L92" i="1"/>
  <c r="J92" i="1"/>
  <c r="K92" i="1" s="1"/>
  <c r="Q92" i="1" s="1"/>
  <c r="I92" i="1"/>
  <c r="G92" i="1"/>
  <c r="H92" i="1" s="1"/>
  <c r="F92" i="1"/>
  <c r="E92" i="1"/>
  <c r="D92" i="1"/>
  <c r="C92" i="1"/>
  <c r="B92" i="1"/>
  <c r="A92" i="1"/>
  <c r="AH91" i="1"/>
  <c r="Y91" i="1"/>
  <c r="Z91" i="1" s="1"/>
  <c r="W91" i="1"/>
  <c r="V91" i="1"/>
  <c r="T91" i="1"/>
  <c r="O91" i="1"/>
  <c r="N91" i="1"/>
  <c r="M91" i="1"/>
  <c r="L91" i="1"/>
  <c r="J91" i="1"/>
  <c r="K91" i="1" s="1"/>
  <c r="Q91" i="1" s="1"/>
  <c r="I91" i="1"/>
  <c r="G91" i="1"/>
  <c r="H91" i="1" s="1"/>
  <c r="F91" i="1"/>
  <c r="E91" i="1"/>
  <c r="D91" i="1"/>
  <c r="C91" i="1"/>
  <c r="B91" i="1"/>
  <c r="A91" i="1"/>
  <c r="AH90" i="1"/>
  <c r="Y90" i="1"/>
  <c r="Z90" i="1" s="1"/>
  <c r="W90" i="1"/>
  <c r="V90" i="1"/>
  <c r="T90" i="1"/>
  <c r="O90" i="1"/>
  <c r="N90" i="1"/>
  <c r="M90" i="1"/>
  <c r="L90" i="1"/>
  <c r="K90" i="1"/>
  <c r="Q90" i="1" s="1"/>
  <c r="J90" i="1"/>
  <c r="I90" i="1"/>
  <c r="H90" i="1"/>
  <c r="G90" i="1"/>
  <c r="F90" i="1"/>
  <c r="E90" i="1"/>
  <c r="D90" i="1"/>
  <c r="C90" i="1"/>
  <c r="B90" i="1"/>
  <c r="A90" i="1"/>
  <c r="AH89" i="1"/>
  <c r="Y89" i="1"/>
  <c r="Z89" i="1" s="1"/>
  <c r="W89" i="1"/>
  <c r="V89" i="1"/>
  <c r="T89" i="1"/>
  <c r="O89" i="1"/>
  <c r="N89" i="1"/>
  <c r="M89" i="1"/>
  <c r="L89" i="1"/>
  <c r="J89" i="1"/>
  <c r="K89" i="1" s="1"/>
  <c r="Q89" i="1" s="1"/>
  <c r="I89" i="1"/>
  <c r="H89" i="1"/>
  <c r="G89" i="1"/>
  <c r="F89" i="1"/>
  <c r="E89" i="1"/>
  <c r="D89" i="1"/>
  <c r="C89" i="1"/>
  <c r="B89" i="1"/>
  <c r="A89" i="1"/>
  <c r="AH88" i="1"/>
  <c r="Y88" i="1"/>
  <c r="Z88" i="1" s="1"/>
  <c r="W88" i="1"/>
  <c r="V88" i="1"/>
  <c r="T88" i="1"/>
  <c r="O88" i="1"/>
  <c r="N88" i="1"/>
  <c r="M88" i="1"/>
  <c r="L88" i="1"/>
  <c r="J88" i="1"/>
  <c r="K88" i="1" s="1"/>
  <c r="Q88" i="1" s="1"/>
  <c r="I88" i="1"/>
  <c r="H88" i="1"/>
  <c r="G88" i="1"/>
  <c r="F88" i="1"/>
  <c r="E88" i="1"/>
  <c r="D88" i="1"/>
  <c r="C88" i="1"/>
  <c r="B88" i="1"/>
  <c r="A88" i="1"/>
  <c r="AH87" i="1"/>
  <c r="Y87" i="1"/>
  <c r="Z87" i="1" s="1"/>
  <c r="W87" i="1"/>
  <c r="V87" i="1"/>
  <c r="T87" i="1"/>
  <c r="O87" i="1"/>
  <c r="N87" i="1"/>
  <c r="M87" i="1"/>
  <c r="L87" i="1"/>
  <c r="K87" i="1"/>
  <c r="Q87" i="1" s="1"/>
  <c r="J87" i="1"/>
  <c r="I87" i="1"/>
  <c r="G87" i="1"/>
  <c r="H87" i="1" s="1"/>
  <c r="F87" i="1"/>
  <c r="E87" i="1"/>
  <c r="D87" i="1"/>
  <c r="C87" i="1"/>
  <c r="B87" i="1"/>
  <c r="A87" i="1"/>
  <c r="AH86" i="1"/>
  <c r="Y86" i="1"/>
  <c r="Z86" i="1" s="1"/>
  <c r="W86" i="1"/>
  <c r="V86" i="1"/>
  <c r="T86" i="1"/>
  <c r="Q86" i="1"/>
  <c r="O86" i="1"/>
  <c r="N86" i="1"/>
  <c r="M86" i="1"/>
  <c r="L86" i="1"/>
  <c r="K86" i="1"/>
  <c r="J86" i="1"/>
  <c r="I86" i="1"/>
  <c r="G86" i="1"/>
  <c r="H86" i="1" s="1"/>
  <c r="F86" i="1"/>
  <c r="E86" i="1"/>
  <c r="D86" i="1"/>
  <c r="C86" i="1"/>
  <c r="B86" i="1"/>
  <c r="A86" i="1"/>
  <c r="AH85" i="1"/>
  <c r="Y85" i="1"/>
  <c r="Z85" i="1" s="1"/>
  <c r="W85" i="1"/>
  <c r="V85" i="1"/>
  <c r="T85" i="1"/>
  <c r="Q85" i="1"/>
  <c r="O85" i="1"/>
  <c r="N85" i="1"/>
  <c r="M85" i="1"/>
  <c r="L85" i="1"/>
  <c r="K85" i="1"/>
  <c r="J85" i="1"/>
  <c r="I85" i="1"/>
  <c r="G85" i="1"/>
  <c r="H85" i="1" s="1"/>
  <c r="F85" i="1"/>
  <c r="E85" i="1"/>
  <c r="D85" i="1"/>
  <c r="C85" i="1"/>
  <c r="B85" i="1"/>
  <c r="A85" i="1"/>
  <c r="AH84" i="1"/>
  <c r="Y84" i="1"/>
  <c r="Z84" i="1" s="1"/>
  <c r="W84" i="1"/>
  <c r="V84" i="1"/>
  <c r="T84" i="1"/>
  <c r="O84" i="1"/>
  <c r="N84" i="1"/>
  <c r="M84" i="1"/>
  <c r="L84" i="1"/>
  <c r="K84" i="1"/>
  <c r="Q84" i="1" s="1"/>
  <c r="J84" i="1"/>
  <c r="I84" i="1"/>
  <c r="H84" i="1"/>
  <c r="G84" i="1"/>
  <c r="F84" i="1"/>
  <c r="E84" i="1"/>
  <c r="D84" i="1"/>
  <c r="C84" i="1"/>
  <c r="B84" i="1"/>
  <c r="A84" i="1"/>
  <c r="AH83" i="1"/>
  <c r="Y83" i="1"/>
  <c r="Z83" i="1" s="1"/>
  <c r="W83" i="1"/>
  <c r="V83" i="1"/>
  <c r="T83" i="1"/>
  <c r="O83" i="1"/>
  <c r="N83" i="1"/>
  <c r="M83" i="1"/>
  <c r="L83" i="1"/>
  <c r="K83" i="1"/>
  <c r="Q83" i="1" s="1"/>
  <c r="J83" i="1"/>
  <c r="I83" i="1"/>
  <c r="G83" i="1"/>
  <c r="H83" i="1" s="1"/>
  <c r="F83" i="1"/>
  <c r="E83" i="1"/>
  <c r="D83" i="1"/>
  <c r="C83" i="1"/>
  <c r="B83" i="1"/>
  <c r="A83" i="1"/>
  <c r="AH82" i="1"/>
  <c r="Y82" i="1"/>
  <c r="Z82" i="1" s="1"/>
  <c r="W82" i="1"/>
  <c r="V82" i="1"/>
  <c r="T82" i="1"/>
  <c r="O82" i="1"/>
  <c r="N82" i="1"/>
  <c r="M82" i="1"/>
  <c r="L82" i="1"/>
  <c r="K82" i="1"/>
  <c r="Q82" i="1" s="1"/>
  <c r="J82" i="1"/>
  <c r="I82" i="1"/>
  <c r="H82" i="1"/>
  <c r="G82" i="1"/>
  <c r="F82" i="1"/>
  <c r="E82" i="1"/>
  <c r="D82" i="1"/>
  <c r="C82" i="1"/>
  <c r="B82" i="1"/>
  <c r="A82" i="1"/>
  <c r="AH81" i="1"/>
  <c r="Y81" i="1"/>
  <c r="Z81" i="1" s="1"/>
  <c r="W81" i="1"/>
  <c r="V81" i="1"/>
  <c r="T81" i="1"/>
  <c r="Q81" i="1"/>
  <c r="O81" i="1"/>
  <c r="N81" i="1"/>
  <c r="M81" i="1"/>
  <c r="L81" i="1"/>
  <c r="K81" i="1"/>
  <c r="J81" i="1"/>
  <c r="I81" i="1"/>
  <c r="G81" i="1"/>
  <c r="H81" i="1" s="1"/>
  <c r="F81" i="1"/>
  <c r="E81" i="1"/>
  <c r="D81" i="1"/>
  <c r="C81" i="1"/>
  <c r="B81" i="1"/>
  <c r="A81" i="1"/>
  <c r="AH80" i="1"/>
  <c r="Y80" i="1"/>
  <c r="Z80" i="1" s="1"/>
  <c r="W80" i="1"/>
  <c r="V80" i="1"/>
  <c r="T80" i="1"/>
  <c r="Q80" i="1"/>
  <c r="O80" i="1"/>
  <c r="N80" i="1"/>
  <c r="M80" i="1"/>
  <c r="L80" i="1"/>
  <c r="K80" i="1"/>
  <c r="J80" i="1"/>
  <c r="I80" i="1"/>
  <c r="G80" i="1"/>
  <c r="H80" i="1" s="1"/>
  <c r="F80" i="1"/>
  <c r="E80" i="1"/>
  <c r="D80" i="1"/>
  <c r="C80" i="1"/>
  <c r="B80" i="1"/>
  <c r="A80" i="1"/>
  <c r="AH79" i="1"/>
  <c r="Y79" i="1"/>
  <c r="Z79" i="1" s="1"/>
  <c r="W79" i="1"/>
  <c r="V79" i="1"/>
  <c r="T79" i="1"/>
  <c r="O79" i="1"/>
  <c r="N79" i="1"/>
  <c r="M79" i="1"/>
  <c r="L79" i="1"/>
  <c r="K79" i="1"/>
  <c r="Q79" i="1" s="1"/>
  <c r="J79" i="1"/>
  <c r="I79" i="1"/>
  <c r="G79" i="1"/>
  <c r="H79" i="1" s="1"/>
  <c r="F79" i="1"/>
  <c r="E79" i="1"/>
  <c r="D79" i="1"/>
  <c r="C79" i="1"/>
  <c r="B79" i="1"/>
  <c r="A79" i="1"/>
  <c r="AH78" i="1"/>
  <c r="Y78" i="1"/>
  <c r="Z78" i="1" s="1"/>
  <c r="W78" i="1"/>
  <c r="V78" i="1"/>
  <c r="T78" i="1"/>
  <c r="O78" i="1"/>
  <c r="N78" i="1"/>
  <c r="M78" i="1"/>
  <c r="L78" i="1"/>
  <c r="K78" i="1"/>
  <c r="Q78" i="1" s="1"/>
  <c r="J78" i="1"/>
  <c r="I78" i="1"/>
  <c r="G78" i="1"/>
  <c r="H78" i="1" s="1"/>
  <c r="F78" i="1"/>
  <c r="E78" i="1"/>
  <c r="D78" i="1"/>
  <c r="C78" i="1"/>
  <c r="B78" i="1"/>
  <c r="A78" i="1"/>
  <c r="AH77" i="1"/>
  <c r="Y77" i="1"/>
  <c r="Z77" i="1" s="1"/>
  <c r="W77" i="1"/>
  <c r="V77" i="1"/>
  <c r="T77" i="1"/>
  <c r="O77" i="1"/>
  <c r="N77" i="1"/>
  <c r="M77" i="1"/>
  <c r="L77" i="1"/>
  <c r="K77" i="1"/>
  <c r="Q77" i="1" s="1"/>
  <c r="J77" i="1"/>
  <c r="I77" i="1"/>
  <c r="G77" i="1"/>
  <c r="H77" i="1" s="1"/>
  <c r="F77" i="1"/>
  <c r="E77" i="1"/>
  <c r="D77" i="1"/>
  <c r="C77" i="1"/>
  <c r="B77" i="1"/>
  <c r="A77" i="1"/>
  <c r="AH76" i="1"/>
  <c r="Y76" i="1"/>
  <c r="Z76" i="1" s="1"/>
  <c r="W76" i="1"/>
  <c r="V76" i="1"/>
  <c r="T76" i="1"/>
  <c r="Q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76" i="1"/>
  <c r="AH75" i="1"/>
  <c r="Y75" i="1"/>
  <c r="Z75" i="1" s="1"/>
  <c r="W75" i="1"/>
  <c r="V75" i="1"/>
  <c r="T75" i="1"/>
  <c r="Q75" i="1"/>
  <c r="O75" i="1"/>
  <c r="N75" i="1"/>
  <c r="M75" i="1"/>
  <c r="L75" i="1"/>
  <c r="K75" i="1"/>
  <c r="J75" i="1"/>
  <c r="I75" i="1"/>
  <c r="G75" i="1"/>
  <c r="H75" i="1" s="1"/>
  <c r="F75" i="1"/>
  <c r="E75" i="1"/>
  <c r="D75" i="1"/>
  <c r="C75" i="1"/>
  <c r="B75" i="1"/>
  <c r="A75" i="1"/>
  <c r="AH74" i="1"/>
  <c r="Y74" i="1"/>
  <c r="Z74" i="1" s="1"/>
  <c r="W74" i="1"/>
  <c r="V74" i="1"/>
  <c r="T74" i="1"/>
  <c r="O74" i="1"/>
  <c r="N74" i="1"/>
  <c r="M74" i="1"/>
  <c r="L74" i="1"/>
  <c r="K74" i="1"/>
  <c r="Q74" i="1" s="1"/>
  <c r="J74" i="1"/>
  <c r="I74" i="1"/>
  <c r="H74" i="1"/>
  <c r="G74" i="1"/>
  <c r="F74" i="1"/>
  <c r="E74" i="1"/>
  <c r="D74" i="1"/>
  <c r="C74" i="1"/>
  <c r="B74" i="1"/>
  <c r="A74" i="1"/>
  <c r="AH73" i="1"/>
  <c r="Y73" i="1"/>
  <c r="Z73" i="1" s="1"/>
  <c r="W73" i="1"/>
  <c r="V73" i="1"/>
  <c r="T73" i="1"/>
  <c r="O73" i="1"/>
  <c r="N73" i="1"/>
  <c r="M73" i="1"/>
  <c r="L73" i="1"/>
  <c r="K73" i="1"/>
  <c r="Q73" i="1" s="1"/>
  <c r="J73" i="1"/>
  <c r="I73" i="1"/>
  <c r="H73" i="1"/>
  <c r="G73" i="1"/>
  <c r="F73" i="1"/>
  <c r="E73" i="1"/>
  <c r="D73" i="1"/>
  <c r="C73" i="1"/>
  <c r="B73" i="1"/>
  <c r="A73" i="1"/>
  <c r="AH72" i="1"/>
  <c r="Y72" i="1"/>
  <c r="Z72" i="1" s="1"/>
  <c r="W72" i="1"/>
  <c r="V72" i="1"/>
  <c r="T72" i="1"/>
  <c r="O72" i="1"/>
  <c r="N72" i="1"/>
  <c r="M72" i="1"/>
  <c r="L72" i="1"/>
  <c r="K72" i="1"/>
  <c r="Q72" i="1" s="1"/>
  <c r="J72" i="1"/>
  <c r="I72" i="1"/>
  <c r="H72" i="1"/>
  <c r="G72" i="1"/>
  <c r="F72" i="1"/>
  <c r="E72" i="1"/>
  <c r="D72" i="1"/>
  <c r="C72" i="1"/>
  <c r="B72" i="1"/>
  <c r="A72" i="1"/>
  <c r="AH71" i="1"/>
  <c r="Y71" i="1"/>
  <c r="Z71" i="1" s="1"/>
  <c r="W71" i="1"/>
  <c r="V71" i="1"/>
  <c r="T71" i="1"/>
  <c r="O71" i="1"/>
  <c r="N71" i="1"/>
  <c r="M71" i="1"/>
  <c r="L71" i="1"/>
  <c r="K71" i="1"/>
  <c r="Q71" i="1" s="1"/>
  <c r="J71" i="1"/>
  <c r="I71" i="1"/>
  <c r="H71" i="1"/>
  <c r="G71" i="1"/>
  <c r="F71" i="1"/>
  <c r="E71" i="1"/>
  <c r="D71" i="1"/>
  <c r="C71" i="1"/>
  <c r="B71" i="1"/>
  <c r="A71" i="1"/>
  <c r="AH70" i="1"/>
  <c r="Y70" i="1"/>
  <c r="Z70" i="1" s="1"/>
  <c r="W70" i="1"/>
  <c r="V70" i="1"/>
  <c r="T70" i="1"/>
  <c r="Q70" i="1"/>
  <c r="O70" i="1"/>
  <c r="N70" i="1"/>
  <c r="M70" i="1"/>
  <c r="L70" i="1"/>
  <c r="K70" i="1"/>
  <c r="J70" i="1"/>
  <c r="I70" i="1"/>
  <c r="G70" i="1"/>
  <c r="H70" i="1" s="1"/>
  <c r="F70" i="1"/>
  <c r="E70" i="1"/>
  <c r="D70" i="1"/>
  <c r="C70" i="1"/>
  <c r="B70" i="1"/>
  <c r="A70" i="1"/>
  <c r="AH69" i="1"/>
  <c r="Y69" i="1"/>
  <c r="Z69" i="1" s="1"/>
  <c r="W69" i="1"/>
  <c r="V69" i="1"/>
  <c r="T69" i="1"/>
  <c r="Q69" i="1"/>
  <c r="O69" i="1"/>
  <c r="N69" i="1"/>
  <c r="M69" i="1"/>
  <c r="L69" i="1"/>
  <c r="K69" i="1"/>
  <c r="J69" i="1"/>
  <c r="I69" i="1"/>
  <c r="G69" i="1"/>
  <c r="H69" i="1" s="1"/>
  <c r="F69" i="1"/>
  <c r="E69" i="1"/>
  <c r="D69" i="1"/>
  <c r="C69" i="1"/>
  <c r="B69" i="1"/>
  <c r="A69" i="1"/>
  <c r="AH68" i="1"/>
  <c r="Y68" i="1"/>
  <c r="Z68" i="1" s="1"/>
  <c r="W68" i="1"/>
  <c r="V68" i="1"/>
  <c r="T68" i="1"/>
  <c r="O68" i="1"/>
  <c r="N68" i="1"/>
  <c r="M68" i="1"/>
  <c r="L68" i="1"/>
  <c r="K68" i="1"/>
  <c r="Q68" i="1" s="1"/>
  <c r="J68" i="1"/>
  <c r="I68" i="1"/>
  <c r="H68" i="1"/>
  <c r="G68" i="1"/>
  <c r="F68" i="1"/>
  <c r="E68" i="1"/>
  <c r="D68" i="1"/>
  <c r="C68" i="1"/>
  <c r="B68" i="1"/>
  <c r="A68" i="1"/>
  <c r="AH67" i="1"/>
  <c r="Y67" i="1"/>
  <c r="Z67" i="1" s="1"/>
  <c r="W67" i="1"/>
  <c r="V67" i="1"/>
  <c r="T67" i="1"/>
  <c r="O67" i="1"/>
  <c r="N67" i="1"/>
  <c r="M67" i="1"/>
  <c r="L67" i="1"/>
  <c r="K67" i="1"/>
  <c r="Q67" i="1" s="1"/>
  <c r="J67" i="1"/>
  <c r="I67" i="1"/>
  <c r="H67" i="1"/>
  <c r="G67" i="1"/>
  <c r="F67" i="1"/>
  <c r="E67" i="1"/>
  <c r="D67" i="1"/>
  <c r="C67" i="1"/>
  <c r="B67" i="1"/>
  <c r="A67" i="1"/>
  <c r="AH66" i="1"/>
  <c r="Y66" i="1"/>
  <c r="Z66" i="1" s="1"/>
  <c r="W66" i="1"/>
  <c r="V66" i="1"/>
  <c r="T66" i="1"/>
  <c r="O66" i="1"/>
  <c r="N66" i="1"/>
  <c r="M66" i="1"/>
  <c r="L66" i="1"/>
  <c r="K66" i="1"/>
  <c r="Q66" i="1" s="1"/>
  <c r="J66" i="1"/>
  <c r="I66" i="1"/>
  <c r="G66" i="1"/>
  <c r="H66" i="1" s="1"/>
  <c r="F66" i="1"/>
  <c r="E66" i="1"/>
  <c r="D66" i="1"/>
  <c r="C66" i="1"/>
  <c r="B66" i="1"/>
  <c r="A66" i="1"/>
  <c r="AH65" i="1"/>
  <c r="Y65" i="1"/>
  <c r="Z65" i="1" s="1"/>
  <c r="W65" i="1"/>
  <c r="V65" i="1"/>
  <c r="T65" i="1"/>
  <c r="O65" i="1"/>
  <c r="N65" i="1"/>
  <c r="M65" i="1"/>
  <c r="L65" i="1"/>
  <c r="K65" i="1"/>
  <c r="Q65" i="1" s="1"/>
  <c r="J65" i="1"/>
  <c r="I65" i="1"/>
  <c r="G65" i="1"/>
  <c r="H65" i="1" s="1"/>
  <c r="F65" i="1"/>
  <c r="E65" i="1"/>
  <c r="D65" i="1"/>
  <c r="C65" i="1"/>
  <c r="B65" i="1"/>
  <c r="A65" i="1"/>
  <c r="AH64" i="1"/>
  <c r="Y64" i="1"/>
  <c r="Z64" i="1" s="1"/>
  <c r="W64" i="1"/>
  <c r="V64" i="1"/>
  <c r="T64" i="1"/>
  <c r="Q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64" i="1"/>
  <c r="AH63" i="1"/>
  <c r="Y63" i="1"/>
  <c r="Z63" i="1" s="1"/>
  <c r="W63" i="1"/>
  <c r="V63" i="1"/>
  <c r="T63" i="1"/>
  <c r="Q63" i="1"/>
  <c r="O63" i="1"/>
  <c r="N63" i="1"/>
  <c r="M63" i="1"/>
  <c r="L63" i="1"/>
  <c r="K63" i="1"/>
  <c r="J63" i="1"/>
  <c r="I63" i="1"/>
  <c r="G63" i="1"/>
  <c r="H63" i="1" s="1"/>
  <c r="F63" i="1"/>
  <c r="E63" i="1"/>
  <c r="D63" i="1"/>
  <c r="C63" i="1"/>
  <c r="B63" i="1"/>
  <c r="A63" i="1"/>
  <c r="AH62" i="1"/>
  <c r="Y62" i="1"/>
  <c r="Z62" i="1" s="1"/>
  <c r="W62" i="1"/>
  <c r="V62" i="1"/>
  <c r="T62" i="1"/>
  <c r="O62" i="1"/>
  <c r="N62" i="1"/>
  <c r="M62" i="1"/>
  <c r="L62" i="1"/>
  <c r="K62" i="1"/>
  <c r="Q62" i="1" s="1"/>
  <c r="J62" i="1"/>
  <c r="I62" i="1"/>
  <c r="H62" i="1"/>
  <c r="G62" i="1"/>
  <c r="F62" i="1"/>
  <c r="E62" i="1"/>
  <c r="D62" i="1"/>
  <c r="C62" i="1"/>
  <c r="B62" i="1"/>
  <c r="A62" i="1"/>
  <c r="AH61" i="1"/>
  <c r="Y61" i="1"/>
  <c r="Z61" i="1" s="1"/>
  <c r="W61" i="1"/>
  <c r="V61" i="1"/>
  <c r="T61" i="1"/>
  <c r="O61" i="1"/>
  <c r="N61" i="1"/>
  <c r="M61" i="1"/>
  <c r="L61" i="1"/>
  <c r="K61" i="1"/>
  <c r="Q61" i="1" s="1"/>
  <c r="J61" i="1"/>
  <c r="I61" i="1"/>
  <c r="H61" i="1"/>
  <c r="G61" i="1"/>
  <c r="F61" i="1"/>
  <c r="E61" i="1"/>
  <c r="D61" i="1"/>
  <c r="C61" i="1"/>
  <c r="B61" i="1"/>
  <c r="A61" i="1"/>
  <c r="AH60" i="1"/>
  <c r="Y60" i="1"/>
  <c r="Z60" i="1" s="1"/>
  <c r="W60" i="1"/>
  <c r="V60" i="1"/>
  <c r="T60" i="1"/>
  <c r="O60" i="1"/>
  <c r="N60" i="1"/>
  <c r="M60" i="1"/>
  <c r="L60" i="1"/>
  <c r="K60" i="1"/>
  <c r="Q60" i="1" s="1"/>
  <c r="J60" i="1"/>
  <c r="I60" i="1"/>
  <c r="H60" i="1"/>
  <c r="G60" i="1"/>
  <c r="F60" i="1"/>
  <c r="E60" i="1"/>
  <c r="D60" i="1"/>
  <c r="C60" i="1"/>
  <c r="B60" i="1"/>
  <c r="A60" i="1"/>
  <c r="AH59" i="1"/>
  <c r="Y59" i="1"/>
  <c r="Z59" i="1" s="1"/>
  <c r="W59" i="1"/>
  <c r="V59" i="1"/>
  <c r="T59" i="1"/>
  <c r="O59" i="1"/>
  <c r="N59" i="1"/>
  <c r="M59" i="1"/>
  <c r="L59" i="1"/>
  <c r="K59" i="1"/>
  <c r="Q59" i="1" s="1"/>
  <c r="J59" i="1"/>
  <c r="I59" i="1"/>
  <c r="H59" i="1"/>
  <c r="G59" i="1"/>
  <c r="F59" i="1"/>
  <c r="E59" i="1"/>
  <c r="D59" i="1"/>
  <c r="C59" i="1"/>
  <c r="B59" i="1"/>
  <c r="A59" i="1"/>
  <c r="AH58" i="1"/>
  <c r="Y58" i="1"/>
  <c r="Z58" i="1" s="1"/>
  <c r="W58" i="1"/>
  <c r="V58" i="1"/>
  <c r="T58" i="1"/>
  <c r="Q58" i="1"/>
  <c r="O58" i="1"/>
  <c r="N58" i="1"/>
  <c r="M58" i="1"/>
  <c r="L58" i="1"/>
  <c r="K58" i="1"/>
  <c r="J58" i="1"/>
  <c r="I58" i="1"/>
  <c r="G58" i="1"/>
  <c r="H58" i="1" s="1"/>
  <c r="F58" i="1"/>
  <c r="E58" i="1"/>
  <c r="D58" i="1"/>
  <c r="C58" i="1"/>
  <c r="B58" i="1"/>
  <c r="A58" i="1"/>
  <c r="AH57" i="1"/>
  <c r="Y57" i="1"/>
  <c r="Z57" i="1" s="1"/>
  <c r="W57" i="1"/>
  <c r="V57" i="1"/>
  <c r="T57" i="1"/>
  <c r="Q57" i="1"/>
  <c r="O57" i="1"/>
  <c r="N57" i="1"/>
  <c r="M57" i="1"/>
  <c r="L57" i="1"/>
  <c r="K57" i="1"/>
  <c r="J57" i="1"/>
  <c r="I57" i="1"/>
  <c r="G57" i="1"/>
  <c r="H57" i="1" s="1"/>
  <c r="F57" i="1"/>
  <c r="E57" i="1"/>
  <c r="D57" i="1"/>
  <c r="C57" i="1"/>
  <c r="B57" i="1"/>
  <c r="A57" i="1"/>
  <c r="AH56" i="1"/>
  <c r="Y56" i="1"/>
  <c r="Z56" i="1" s="1"/>
  <c r="W56" i="1"/>
  <c r="V56" i="1"/>
  <c r="T56" i="1"/>
  <c r="O56" i="1"/>
  <c r="N56" i="1"/>
  <c r="M56" i="1"/>
  <c r="L56" i="1"/>
  <c r="K56" i="1"/>
  <c r="Q56" i="1" s="1"/>
  <c r="J56" i="1"/>
  <c r="I56" i="1"/>
  <c r="H56" i="1"/>
  <c r="G56" i="1"/>
  <c r="F56" i="1"/>
  <c r="E56" i="1"/>
  <c r="D56" i="1"/>
  <c r="C56" i="1"/>
  <c r="B56" i="1"/>
  <c r="A56" i="1"/>
  <c r="AH55" i="1"/>
  <c r="Y55" i="1"/>
  <c r="Z55" i="1" s="1"/>
  <c r="W55" i="1"/>
  <c r="V55" i="1"/>
  <c r="T55" i="1"/>
  <c r="O55" i="1"/>
  <c r="N55" i="1"/>
  <c r="M55" i="1"/>
  <c r="L55" i="1"/>
  <c r="K55" i="1"/>
  <c r="Q55" i="1" s="1"/>
  <c r="J55" i="1"/>
  <c r="I55" i="1"/>
  <c r="H55" i="1"/>
  <c r="G55" i="1"/>
  <c r="F55" i="1"/>
  <c r="E55" i="1"/>
  <c r="D55" i="1"/>
  <c r="C55" i="1"/>
  <c r="B55" i="1"/>
  <c r="A55" i="1"/>
  <c r="AH54" i="1"/>
  <c r="Y54" i="1"/>
  <c r="Z54" i="1" s="1"/>
  <c r="W54" i="1"/>
  <c r="V54" i="1"/>
  <c r="T54" i="1"/>
  <c r="O54" i="1"/>
  <c r="N54" i="1"/>
  <c r="M54" i="1"/>
  <c r="L54" i="1"/>
  <c r="K54" i="1"/>
  <c r="Q54" i="1" s="1"/>
  <c r="J54" i="1"/>
  <c r="I54" i="1"/>
  <c r="G54" i="1"/>
  <c r="H54" i="1" s="1"/>
  <c r="F54" i="1"/>
  <c r="E54" i="1"/>
  <c r="D54" i="1"/>
  <c r="C54" i="1"/>
  <c r="B54" i="1"/>
  <c r="A54" i="1"/>
  <c r="AH53" i="1"/>
  <c r="Y53" i="1"/>
  <c r="Z53" i="1" s="1"/>
  <c r="W53" i="1"/>
  <c r="V53" i="1"/>
  <c r="T53" i="1"/>
  <c r="O53" i="1"/>
  <c r="N53" i="1"/>
  <c r="M53" i="1"/>
  <c r="L53" i="1"/>
  <c r="K53" i="1"/>
  <c r="Q53" i="1" s="1"/>
  <c r="J53" i="1"/>
  <c r="I53" i="1"/>
  <c r="G53" i="1"/>
  <c r="H53" i="1" s="1"/>
  <c r="F53" i="1"/>
  <c r="E53" i="1"/>
  <c r="D53" i="1"/>
  <c r="C53" i="1"/>
  <c r="B53" i="1"/>
  <c r="A53" i="1"/>
  <c r="AH52" i="1"/>
  <c r="Y52" i="1"/>
  <c r="Z52" i="1" s="1"/>
  <c r="W52" i="1"/>
  <c r="V52" i="1"/>
  <c r="T52" i="1"/>
  <c r="Q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52" i="1"/>
  <c r="AH51" i="1"/>
  <c r="Y51" i="1"/>
  <c r="Z51" i="1" s="1"/>
  <c r="W51" i="1"/>
  <c r="V51" i="1"/>
  <c r="T51" i="1"/>
  <c r="Q51" i="1"/>
  <c r="O51" i="1"/>
  <c r="N51" i="1"/>
  <c r="M51" i="1"/>
  <c r="L51" i="1"/>
  <c r="K51" i="1"/>
  <c r="J51" i="1"/>
  <c r="I51" i="1"/>
  <c r="G51" i="1"/>
  <c r="H51" i="1" s="1"/>
  <c r="F51" i="1"/>
  <c r="E51" i="1"/>
  <c r="D51" i="1"/>
  <c r="C51" i="1"/>
  <c r="B51" i="1"/>
  <c r="A51" i="1"/>
  <c r="AH50" i="1"/>
  <c r="Y50" i="1"/>
  <c r="Z50" i="1" s="1"/>
  <c r="W50" i="1"/>
  <c r="V50" i="1"/>
  <c r="T50" i="1"/>
  <c r="O50" i="1"/>
  <c r="N50" i="1"/>
  <c r="M50" i="1"/>
  <c r="L50" i="1"/>
  <c r="K50" i="1"/>
  <c r="Q50" i="1" s="1"/>
  <c r="J50" i="1"/>
  <c r="I50" i="1"/>
  <c r="H50" i="1"/>
  <c r="G50" i="1"/>
  <c r="F50" i="1"/>
  <c r="E50" i="1"/>
  <c r="D50" i="1"/>
  <c r="C50" i="1"/>
  <c r="B50" i="1"/>
  <c r="A50" i="1"/>
  <c r="AH49" i="1"/>
  <c r="Y49" i="1"/>
  <c r="Z49" i="1" s="1"/>
  <c r="W49" i="1"/>
  <c r="V49" i="1"/>
  <c r="T49" i="1"/>
  <c r="O49" i="1"/>
  <c r="N49" i="1"/>
  <c r="M49" i="1"/>
  <c r="L49" i="1"/>
  <c r="K49" i="1"/>
  <c r="Q49" i="1" s="1"/>
  <c r="J49" i="1"/>
  <c r="I49" i="1"/>
  <c r="H49" i="1"/>
  <c r="G49" i="1"/>
  <c r="F49" i="1"/>
  <c r="E49" i="1"/>
  <c r="D49" i="1"/>
  <c r="C49" i="1"/>
  <c r="B49" i="1"/>
  <c r="A49" i="1"/>
  <c r="AH48" i="1"/>
  <c r="Y48" i="1"/>
  <c r="Z48" i="1" s="1"/>
  <c r="W48" i="1"/>
  <c r="V48" i="1"/>
  <c r="T48" i="1"/>
  <c r="O48" i="1"/>
  <c r="N48" i="1"/>
  <c r="M48" i="1"/>
  <c r="L48" i="1"/>
  <c r="K48" i="1"/>
  <c r="Q48" i="1" s="1"/>
  <c r="J48" i="1"/>
  <c r="I48" i="1"/>
  <c r="H48" i="1"/>
  <c r="G48" i="1"/>
  <c r="F48" i="1"/>
  <c r="E48" i="1"/>
  <c r="D48" i="1"/>
  <c r="C48" i="1"/>
  <c r="B48" i="1"/>
  <c r="A48" i="1"/>
  <c r="AH47" i="1"/>
  <c r="Y47" i="1"/>
  <c r="Z47" i="1" s="1"/>
  <c r="W47" i="1"/>
  <c r="V47" i="1"/>
  <c r="T47" i="1"/>
  <c r="O47" i="1"/>
  <c r="N47" i="1"/>
  <c r="M47" i="1"/>
  <c r="L47" i="1"/>
  <c r="K47" i="1"/>
  <c r="Q47" i="1" s="1"/>
  <c r="J47" i="1"/>
  <c r="I47" i="1"/>
  <c r="H47" i="1"/>
  <c r="G47" i="1"/>
  <c r="F47" i="1"/>
  <c r="E47" i="1"/>
  <c r="D47" i="1"/>
  <c r="C47" i="1"/>
  <c r="B47" i="1"/>
  <c r="A47" i="1"/>
  <c r="AH46" i="1"/>
  <c r="Y46" i="1"/>
  <c r="Z46" i="1" s="1"/>
  <c r="W46" i="1"/>
  <c r="V46" i="1"/>
  <c r="T46" i="1"/>
  <c r="Q46" i="1"/>
  <c r="O46" i="1"/>
  <c r="N46" i="1"/>
  <c r="M46" i="1"/>
  <c r="L46" i="1"/>
  <c r="K46" i="1"/>
  <c r="J46" i="1"/>
  <c r="I46" i="1"/>
  <c r="G46" i="1"/>
  <c r="H46" i="1" s="1"/>
  <c r="F46" i="1"/>
  <c r="E46" i="1"/>
  <c r="D46" i="1"/>
  <c r="C46" i="1"/>
  <c r="B46" i="1"/>
  <c r="A46" i="1"/>
  <c r="AH45" i="1"/>
  <c r="Y45" i="1"/>
  <c r="Z45" i="1" s="1"/>
  <c r="W45" i="1"/>
  <c r="V45" i="1"/>
  <c r="T45" i="1"/>
  <c r="Q45" i="1"/>
  <c r="O45" i="1"/>
  <c r="N45" i="1"/>
  <c r="M45" i="1"/>
  <c r="L45" i="1"/>
  <c r="K45" i="1"/>
  <c r="J45" i="1"/>
  <c r="I45" i="1"/>
  <c r="G45" i="1"/>
  <c r="H45" i="1" s="1"/>
  <c r="F45" i="1"/>
  <c r="E45" i="1"/>
  <c r="D45" i="1"/>
  <c r="C45" i="1"/>
  <c r="B45" i="1"/>
  <c r="A45" i="1"/>
  <c r="AH44" i="1"/>
  <c r="Z44" i="1"/>
  <c r="Y44" i="1"/>
  <c r="W44" i="1"/>
  <c r="V44" i="1"/>
  <c r="T44" i="1"/>
  <c r="O44" i="1"/>
  <c r="N44" i="1"/>
  <c r="M44" i="1"/>
  <c r="L44" i="1"/>
  <c r="K44" i="1"/>
  <c r="Q44" i="1" s="1"/>
  <c r="J44" i="1"/>
  <c r="I44" i="1"/>
  <c r="H44" i="1"/>
  <c r="G44" i="1"/>
  <c r="F44" i="1"/>
  <c r="E44" i="1"/>
  <c r="D44" i="1"/>
  <c r="C44" i="1"/>
  <c r="B44" i="1"/>
  <c r="A44" i="1"/>
  <c r="AH43" i="1"/>
  <c r="Y43" i="1"/>
  <c r="Z43" i="1" s="1"/>
  <c r="W43" i="1"/>
  <c r="V43" i="1"/>
  <c r="T43" i="1"/>
  <c r="O43" i="1"/>
  <c r="N43" i="1"/>
  <c r="M43" i="1"/>
  <c r="L43" i="1"/>
  <c r="K43" i="1"/>
  <c r="Q43" i="1" s="1"/>
  <c r="J43" i="1"/>
  <c r="I43" i="1"/>
  <c r="G43" i="1"/>
  <c r="H43" i="1" s="1"/>
  <c r="F43" i="1"/>
  <c r="E43" i="1"/>
  <c r="D43" i="1"/>
  <c r="C43" i="1"/>
  <c r="B43" i="1"/>
  <c r="A43" i="1"/>
  <c r="AH42" i="1"/>
  <c r="Y42" i="1"/>
  <c r="Z42" i="1" s="1"/>
  <c r="W42" i="1"/>
  <c r="V42" i="1"/>
  <c r="T42" i="1"/>
  <c r="O42" i="1"/>
  <c r="N42" i="1"/>
  <c r="M42" i="1"/>
  <c r="L42" i="1"/>
  <c r="K42" i="1"/>
  <c r="Q42" i="1" s="1"/>
  <c r="J42" i="1"/>
  <c r="I42" i="1"/>
  <c r="G42" i="1"/>
  <c r="H42" i="1" s="1"/>
  <c r="F42" i="1"/>
  <c r="E42" i="1"/>
  <c r="D42" i="1"/>
  <c r="C42" i="1"/>
  <c r="B42" i="1"/>
  <c r="A42" i="1"/>
  <c r="AH41" i="1"/>
  <c r="Y41" i="1"/>
  <c r="Z41" i="1" s="1"/>
  <c r="W41" i="1"/>
  <c r="V41" i="1"/>
  <c r="T41" i="1"/>
  <c r="O41" i="1"/>
  <c r="N41" i="1"/>
  <c r="M41" i="1"/>
  <c r="L41" i="1"/>
  <c r="K41" i="1"/>
  <c r="Q41" i="1" s="1"/>
  <c r="J41" i="1"/>
  <c r="I41" i="1"/>
  <c r="G41" i="1"/>
  <c r="H41" i="1" s="1"/>
  <c r="F41" i="1"/>
  <c r="E41" i="1"/>
  <c r="D41" i="1"/>
  <c r="C41" i="1"/>
  <c r="B41" i="1"/>
  <c r="A41" i="1"/>
  <c r="AH40" i="1"/>
  <c r="Y40" i="1"/>
  <c r="Z40" i="1" s="1"/>
  <c r="W40" i="1"/>
  <c r="V40" i="1"/>
  <c r="T40" i="1"/>
  <c r="Q40" i="1"/>
  <c r="O40" i="1"/>
  <c r="N40" i="1"/>
  <c r="M40" i="1"/>
  <c r="L40" i="1"/>
  <c r="K40" i="1"/>
  <c r="J40" i="1"/>
  <c r="I40" i="1"/>
  <c r="G40" i="1"/>
  <c r="H40" i="1" s="1"/>
  <c r="F40" i="1"/>
  <c r="E40" i="1"/>
  <c r="D40" i="1"/>
  <c r="C40" i="1"/>
  <c r="B40" i="1"/>
  <c r="A40" i="1"/>
  <c r="AH39" i="1"/>
  <c r="Y39" i="1"/>
  <c r="Z39" i="1" s="1"/>
  <c r="W39" i="1"/>
  <c r="V39" i="1"/>
  <c r="T39" i="1"/>
  <c r="Q39" i="1"/>
  <c r="O39" i="1"/>
  <c r="N39" i="1"/>
  <c r="M39" i="1"/>
  <c r="L39" i="1"/>
  <c r="K39" i="1"/>
  <c r="J39" i="1"/>
  <c r="I39" i="1"/>
  <c r="G39" i="1"/>
  <c r="H39" i="1" s="1"/>
  <c r="F39" i="1"/>
  <c r="E39" i="1"/>
  <c r="D39" i="1"/>
  <c r="C39" i="1"/>
  <c r="B39" i="1"/>
  <c r="A39" i="1"/>
  <c r="AH38" i="1"/>
  <c r="Y38" i="1"/>
  <c r="Z38" i="1" s="1"/>
  <c r="W38" i="1"/>
  <c r="V38" i="1"/>
  <c r="T38" i="1"/>
  <c r="Q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AH37" i="1"/>
  <c r="Y37" i="1"/>
  <c r="Z37" i="1" s="1"/>
  <c r="W37" i="1"/>
  <c r="V37" i="1"/>
  <c r="T37" i="1"/>
  <c r="O37" i="1"/>
  <c r="N37" i="1"/>
  <c r="M37" i="1"/>
  <c r="L37" i="1"/>
  <c r="K37" i="1"/>
  <c r="Q37" i="1" s="1"/>
  <c r="J37" i="1"/>
  <c r="I37" i="1"/>
  <c r="G37" i="1"/>
  <c r="H37" i="1" s="1"/>
  <c r="F37" i="1"/>
  <c r="E37" i="1"/>
  <c r="D37" i="1"/>
  <c r="C37" i="1"/>
  <c r="B37" i="1"/>
  <c r="A37" i="1"/>
  <c r="AH36" i="1"/>
  <c r="Y36" i="1"/>
  <c r="Z36" i="1" s="1"/>
  <c r="W36" i="1"/>
  <c r="V36" i="1"/>
  <c r="T36" i="1"/>
  <c r="O36" i="1"/>
  <c r="N36" i="1"/>
  <c r="M36" i="1"/>
  <c r="L36" i="1"/>
  <c r="K36" i="1"/>
  <c r="Q36" i="1" s="1"/>
  <c r="J36" i="1"/>
  <c r="I36" i="1"/>
  <c r="H36" i="1"/>
  <c r="G36" i="1"/>
  <c r="F36" i="1"/>
  <c r="E36" i="1"/>
  <c r="D36" i="1"/>
  <c r="C36" i="1"/>
  <c r="B36" i="1"/>
  <c r="A36" i="1"/>
  <c r="AH35" i="1"/>
  <c r="Y35" i="1"/>
  <c r="Z35" i="1" s="1"/>
  <c r="W35" i="1"/>
  <c r="V35" i="1"/>
  <c r="T35" i="1"/>
  <c r="O35" i="1"/>
  <c r="N35" i="1"/>
  <c r="M35" i="1"/>
  <c r="L35" i="1"/>
  <c r="K35" i="1"/>
  <c r="Q35" i="1" s="1"/>
  <c r="J35" i="1"/>
  <c r="I35" i="1"/>
  <c r="G35" i="1"/>
  <c r="H35" i="1" s="1"/>
  <c r="F35" i="1"/>
  <c r="E35" i="1"/>
  <c r="D35" i="1"/>
  <c r="C35" i="1"/>
  <c r="B35" i="1"/>
  <c r="A35" i="1"/>
  <c r="AH34" i="1"/>
  <c r="Y34" i="1"/>
  <c r="Z34" i="1" s="1"/>
  <c r="W34" i="1"/>
  <c r="V34" i="1"/>
  <c r="T34" i="1"/>
  <c r="Q34" i="1"/>
  <c r="O34" i="1"/>
  <c r="N34" i="1"/>
  <c r="M34" i="1"/>
  <c r="L34" i="1"/>
  <c r="K34" i="1"/>
  <c r="J34" i="1"/>
  <c r="I34" i="1"/>
  <c r="G34" i="1"/>
  <c r="H34" i="1" s="1"/>
  <c r="F34" i="1"/>
  <c r="E34" i="1"/>
  <c r="D34" i="1"/>
  <c r="C34" i="1"/>
  <c r="B34" i="1"/>
  <c r="A34" i="1"/>
  <c r="AH33" i="1"/>
  <c r="Y33" i="1"/>
  <c r="Z33" i="1" s="1"/>
  <c r="W33" i="1"/>
  <c r="V33" i="1"/>
  <c r="T33" i="1"/>
  <c r="Q33" i="1"/>
  <c r="O33" i="1"/>
  <c r="N33" i="1"/>
  <c r="M33" i="1"/>
  <c r="L33" i="1"/>
  <c r="K33" i="1"/>
  <c r="J33" i="1"/>
  <c r="I33" i="1"/>
  <c r="G33" i="1"/>
  <c r="H33" i="1" s="1"/>
  <c r="F33" i="1"/>
  <c r="E33" i="1"/>
  <c r="D33" i="1"/>
  <c r="C33" i="1"/>
  <c r="B33" i="1"/>
  <c r="A33" i="1"/>
  <c r="AH32" i="1"/>
  <c r="Y32" i="1"/>
  <c r="Z32" i="1" s="1"/>
  <c r="W32" i="1"/>
  <c r="V32" i="1"/>
  <c r="T32" i="1"/>
  <c r="O32" i="1"/>
  <c r="N32" i="1"/>
  <c r="M32" i="1"/>
  <c r="L32" i="1"/>
  <c r="K32" i="1"/>
  <c r="Q32" i="1" s="1"/>
  <c r="J32" i="1"/>
  <c r="I32" i="1"/>
  <c r="H32" i="1"/>
  <c r="G32" i="1"/>
  <c r="F32" i="1"/>
  <c r="E32" i="1"/>
  <c r="D32" i="1"/>
  <c r="C32" i="1"/>
  <c r="B32" i="1"/>
  <c r="A32" i="1"/>
  <c r="AH31" i="1"/>
  <c r="Y31" i="1"/>
  <c r="Z31" i="1" s="1"/>
  <c r="W31" i="1"/>
  <c r="V31" i="1"/>
  <c r="T31" i="1"/>
  <c r="O31" i="1"/>
  <c r="N31" i="1"/>
  <c r="M31" i="1"/>
  <c r="L31" i="1"/>
  <c r="K31" i="1"/>
  <c r="Q31" i="1" s="1"/>
  <c r="J31" i="1"/>
  <c r="I31" i="1"/>
  <c r="G31" i="1"/>
  <c r="H31" i="1" s="1"/>
  <c r="F31" i="1"/>
  <c r="E31" i="1"/>
  <c r="D31" i="1"/>
  <c r="C31" i="1"/>
  <c r="B31" i="1"/>
  <c r="A31" i="1"/>
  <c r="AH30" i="1"/>
  <c r="Y30" i="1"/>
  <c r="Z30" i="1" s="1"/>
  <c r="W30" i="1"/>
  <c r="V30" i="1"/>
  <c r="T30" i="1"/>
  <c r="O30" i="1"/>
  <c r="N30" i="1"/>
  <c r="M30" i="1"/>
  <c r="L30" i="1"/>
  <c r="K30" i="1"/>
  <c r="Q30" i="1" s="1"/>
  <c r="J30" i="1"/>
  <c r="I30" i="1"/>
  <c r="G30" i="1"/>
  <c r="H30" i="1" s="1"/>
  <c r="F30" i="1"/>
  <c r="E30" i="1"/>
  <c r="D30" i="1"/>
  <c r="C30" i="1"/>
  <c r="B30" i="1"/>
  <c r="A30" i="1"/>
  <c r="AH29" i="1"/>
  <c r="Y29" i="1"/>
  <c r="Z29" i="1" s="1"/>
  <c r="W29" i="1"/>
  <c r="V29" i="1"/>
  <c r="T29" i="1"/>
  <c r="O29" i="1"/>
  <c r="N29" i="1"/>
  <c r="M29" i="1"/>
  <c r="L29" i="1"/>
  <c r="K29" i="1"/>
  <c r="Q29" i="1" s="1"/>
  <c r="J29" i="1"/>
  <c r="I29" i="1"/>
  <c r="H29" i="1"/>
  <c r="G29" i="1"/>
  <c r="F29" i="1"/>
  <c r="E29" i="1"/>
  <c r="D29" i="1"/>
  <c r="C29" i="1"/>
  <c r="B29" i="1"/>
  <c r="A29" i="1"/>
  <c r="AH28" i="1"/>
  <c r="Y28" i="1"/>
  <c r="Z28" i="1" s="1"/>
  <c r="W28" i="1"/>
  <c r="V28" i="1"/>
  <c r="T28" i="1"/>
  <c r="Q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AH27" i="1"/>
  <c r="Y27" i="1"/>
  <c r="Z27" i="1" s="1"/>
  <c r="W27" i="1"/>
  <c r="V27" i="1"/>
  <c r="T27" i="1"/>
  <c r="Q27" i="1"/>
  <c r="O27" i="1"/>
  <c r="N27" i="1"/>
  <c r="M27" i="1"/>
  <c r="L27" i="1"/>
  <c r="K27" i="1"/>
  <c r="J27" i="1"/>
  <c r="I27" i="1"/>
  <c r="G27" i="1"/>
  <c r="H27" i="1" s="1"/>
  <c r="F27" i="1"/>
  <c r="E27" i="1"/>
  <c r="D27" i="1"/>
  <c r="C27" i="1"/>
  <c r="B27" i="1"/>
  <c r="A27" i="1"/>
  <c r="AH26" i="1"/>
  <c r="Y26" i="1"/>
  <c r="Z26" i="1" s="1"/>
  <c r="W26" i="1"/>
  <c r="V26" i="1"/>
  <c r="T26" i="1"/>
  <c r="Q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AH25" i="1"/>
  <c r="Y25" i="1"/>
  <c r="Z25" i="1" s="1"/>
  <c r="W25" i="1"/>
  <c r="V25" i="1"/>
  <c r="T25" i="1"/>
  <c r="O25" i="1"/>
  <c r="N25" i="1"/>
  <c r="M25" i="1"/>
  <c r="L25" i="1"/>
  <c r="K25" i="1"/>
  <c r="Q25" i="1" s="1"/>
  <c r="J25" i="1"/>
  <c r="I25" i="1"/>
  <c r="G25" i="1"/>
  <c r="H25" i="1" s="1"/>
  <c r="F25" i="1"/>
  <c r="E25" i="1"/>
  <c r="D25" i="1"/>
  <c r="C25" i="1"/>
  <c r="B25" i="1"/>
  <c r="A25" i="1"/>
  <c r="AH24" i="1"/>
  <c r="Y24" i="1"/>
  <c r="Z24" i="1" s="1"/>
  <c r="W24" i="1"/>
  <c r="V24" i="1"/>
  <c r="T24" i="1"/>
  <c r="O24" i="1"/>
  <c r="N24" i="1"/>
  <c r="M24" i="1"/>
  <c r="L24" i="1"/>
  <c r="K24" i="1"/>
  <c r="Q24" i="1" s="1"/>
  <c r="J24" i="1"/>
  <c r="I24" i="1"/>
  <c r="G24" i="1"/>
  <c r="H24" i="1" s="1"/>
  <c r="F24" i="1"/>
  <c r="E24" i="1"/>
  <c r="D24" i="1"/>
  <c r="C24" i="1"/>
  <c r="B24" i="1"/>
  <c r="A24" i="1"/>
  <c r="AH23" i="1"/>
  <c r="Y23" i="1"/>
  <c r="Z23" i="1" s="1"/>
  <c r="W23" i="1"/>
  <c r="V23" i="1"/>
  <c r="T23" i="1"/>
  <c r="O23" i="1"/>
  <c r="N23" i="1"/>
  <c r="M23" i="1"/>
  <c r="L23" i="1"/>
  <c r="K23" i="1"/>
  <c r="Q23" i="1" s="1"/>
  <c r="J23" i="1"/>
  <c r="I23" i="1"/>
  <c r="G23" i="1"/>
  <c r="H23" i="1" s="1"/>
  <c r="F23" i="1"/>
  <c r="E23" i="1"/>
  <c r="D23" i="1"/>
  <c r="C23" i="1"/>
  <c r="B23" i="1"/>
  <c r="A23" i="1"/>
  <c r="AH22" i="1"/>
  <c r="Y22" i="1"/>
  <c r="Z22" i="1" s="1"/>
  <c r="W22" i="1"/>
  <c r="V22" i="1"/>
  <c r="T22" i="1"/>
  <c r="Q22" i="1"/>
  <c r="O22" i="1"/>
  <c r="N22" i="1"/>
  <c r="M22" i="1"/>
  <c r="L22" i="1"/>
  <c r="K22" i="1"/>
  <c r="J22" i="1"/>
  <c r="I22" i="1"/>
  <c r="G22" i="1"/>
  <c r="H22" i="1" s="1"/>
  <c r="F22" i="1"/>
  <c r="E22" i="1"/>
  <c r="D22" i="1"/>
  <c r="C22" i="1"/>
  <c r="B22" i="1"/>
  <c r="A22" i="1"/>
  <c r="AH21" i="1"/>
  <c r="Y21" i="1"/>
  <c r="Z21" i="1" s="1"/>
  <c r="W21" i="1"/>
  <c r="V21" i="1"/>
  <c r="T21" i="1"/>
  <c r="Q21" i="1"/>
  <c r="O21" i="1"/>
  <c r="N21" i="1"/>
  <c r="M21" i="1"/>
  <c r="L21" i="1"/>
  <c r="K21" i="1"/>
  <c r="J21" i="1"/>
  <c r="I21" i="1"/>
  <c r="G21" i="1"/>
  <c r="H21" i="1" s="1"/>
  <c r="F21" i="1"/>
  <c r="E21" i="1"/>
  <c r="D21" i="1"/>
  <c r="C21" i="1"/>
  <c r="B21" i="1"/>
  <c r="A21" i="1"/>
  <c r="AH20" i="1"/>
  <c r="Y20" i="1"/>
  <c r="Z20" i="1" s="1"/>
  <c r="W20" i="1"/>
  <c r="V20" i="1"/>
  <c r="T20" i="1"/>
  <c r="O20" i="1"/>
  <c r="N20" i="1"/>
  <c r="M20" i="1"/>
  <c r="L20" i="1"/>
  <c r="K20" i="1"/>
  <c r="Q20" i="1" s="1"/>
  <c r="J20" i="1"/>
  <c r="I20" i="1"/>
  <c r="H20" i="1"/>
  <c r="G20" i="1"/>
  <c r="F20" i="1"/>
  <c r="E20" i="1"/>
  <c r="D20" i="1"/>
  <c r="C20" i="1"/>
  <c r="B20" i="1"/>
  <c r="A20" i="1"/>
  <c r="AH19" i="1"/>
  <c r="Y19" i="1"/>
  <c r="Z19" i="1" s="1"/>
  <c r="W19" i="1"/>
  <c r="V19" i="1"/>
  <c r="T19" i="1"/>
  <c r="O19" i="1"/>
  <c r="N19" i="1"/>
  <c r="M19" i="1"/>
  <c r="L19" i="1"/>
  <c r="K19" i="1"/>
  <c r="Q19" i="1" s="1"/>
  <c r="J19" i="1"/>
  <c r="I19" i="1"/>
  <c r="G19" i="1"/>
  <c r="H19" i="1" s="1"/>
  <c r="F19" i="1"/>
  <c r="E19" i="1"/>
  <c r="D19" i="1"/>
  <c r="C19" i="1"/>
  <c r="B19" i="1"/>
  <c r="A19" i="1"/>
  <c r="AH18" i="1"/>
  <c r="Y18" i="1"/>
  <c r="Z18" i="1" s="1"/>
  <c r="W18" i="1"/>
  <c r="V18" i="1"/>
  <c r="T18" i="1"/>
  <c r="O18" i="1"/>
  <c r="N18" i="1"/>
  <c r="M18" i="1"/>
  <c r="L18" i="1"/>
  <c r="K18" i="1"/>
  <c r="Q18" i="1" s="1"/>
  <c r="J18" i="1"/>
  <c r="I18" i="1"/>
  <c r="G18" i="1"/>
  <c r="H18" i="1" s="1"/>
  <c r="F18" i="1"/>
  <c r="E18" i="1"/>
  <c r="D18" i="1"/>
  <c r="C18" i="1"/>
  <c r="B18" i="1"/>
  <c r="A18" i="1"/>
  <c r="AH17" i="1"/>
  <c r="Y17" i="1"/>
  <c r="Z17" i="1" s="1"/>
  <c r="W17" i="1"/>
  <c r="V17" i="1"/>
  <c r="T17" i="1"/>
  <c r="O17" i="1"/>
  <c r="N17" i="1"/>
  <c r="M17" i="1"/>
  <c r="L17" i="1"/>
  <c r="K17" i="1"/>
  <c r="Q17" i="1" s="1"/>
  <c r="J17" i="1"/>
  <c r="I17" i="1"/>
  <c r="H17" i="1"/>
  <c r="G17" i="1"/>
  <c r="F17" i="1"/>
  <c r="E17" i="1"/>
  <c r="D17" i="1"/>
  <c r="C17" i="1"/>
  <c r="B17" i="1"/>
  <c r="A17" i="1"/>
  <c r="AH16" i="1"/>
  <c r="Y16" i="1"/>
  <c r="Z16" i="1" s="1"/>
  <c r="W16" i="1"/>
  <c r="V16" i="1"/>
  <c r="T16" i="1"/>
  <c r="Q16" i="1"/>
  <c r="O16" i="1"/>
  <c r="N16" i="1"/>
  <c r="M16" i="1"/>
  <c r="L16" i="1"/>
  <c r="K16" i="1"/>
  <c r="J16" i="1"/>
  <c r="I16" i="1"/>
  <c r="G16" i="1"/>
  <c r="H16" i="1" s="1"/>
  <c r="F16" i="1"/>
  <c r="E16" i="1"/>
  <c r="D16" i="1"/>
  <c r="C16" i="1"/>
  <c r="B16" i="1"/>
  <c r="A16" i="1"/>
  <c r="AH15" i="1"/>
  <c r="Y15" i="1"/>
  <c r="Z15" i="1" s="1"/>
  <c r="W15" i="1"/>
  <c r="V15" i="1"/>
  <c r="T15" i="1"/>
  <c r="Q15" i="1"/>
  <c r="O15" i="1"/>
  <c r="N15" i="1"/>
  <c r="M15" i="1"/>
  <c r="L15" i="1"/>
  <c r="K15" i="1"/>
  <c r="J15" i="1"/>
  <c r="I15" i="1"/>
  <c r="G15" i="1"/>
  <c r="H15" i="1" s="1"/>
  <c r="F15" i="1"/>
  <c r="E15" i="1"/>
  <c r="D15" i="1"/>
  <c r="C15" i="1"/>
  <c r="B15" i="1"/>
  <c r="A15" i="1"/>
  <c r="AH14" i="1"/>
  <c r="Y14" i="1"/>
  <c r="Z14" i="1" s="1"/>
  <c r="W14" i="1"/>
  <c r="V14" i="1"/>
  <c r="T14" i="1"/>
  <c r="Q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AH13" i="1"/>
  <c r="Y13" i="1"/>
  <c r="Z13" i="1" s="1"/>
  <c r="W13" i="1"/>
  <c r="V13" i="1"/>
  <c r="T13" i="1"/>
  <c r="O13" i="1"/>
  <c r="N13" i="1"/>
  <c r="M13" i="1"/>
  <c r="L13" i="1"/>
  <c r="K13" i="1"/>
  <c r="Q13" i="1" s="1"/>
  <c r="J13" i="1"/>
  <c r="I13" i="1"/>
  <c r="G13" i="1"/>
  <c r="H13" i="1" s="1"/>
  <c r="F13" i="1"/>
  <c r="E13" i="1"/>
  <c r="D13" i="1"/>
  <c r="C13" i="1"/>
  <c r="B13" i="1"/>
  <c r="A13" i="1"/>
  <c r="AH12" i="1"/>
  <c r="Y12" i="1"/>
  <c r="Z12" i="1" s="1"/>
  <c r="W12" i="1"/>
  <c r="V12" i="1"/>
  <c r="T12" i="1"/>
  <c r="O12" i="1"/>
  <c r="N12" i="1"/>
  <c r="M12" i="1"/>
  <c r="L12" i="1"/>
  <c r="K12" i="1"/>
  <c r="Q12" i="1" s="1"/>
  <c r="J12" i="1"/>
  <c r="I12" i="1"/>
  <c r="G12" i="1"/>
  <c r="H12" i="1" s="1"/>
  <c r="F12" i="1"/>
  <c r="E12" i="1"/>
  <c r="D12" i="1"/>
  <c r="C12" i="1"/>
  <c r="B12" i="1"/>
  <c r="A12" i="1"/>
  <c r="AH11" i="1"/>
  <c r="Y11" i="1"/>
  <c r="Z11" i="1" s="1"/>
  <c r="W11" i="1"/>
  <c r="V11" i="1"/>
  <c r="T11" i="1"/>
  <c r="O11" i="1"/>
  <c r="N11" i="1"/>
  <c r="M11" i="1"/>
  <c r="L11" i="1"/>
  <c r="K11" i="1"/>
  <c r="Q11" i="1" s="1"/>
  <c r="J11" i="1"/>
  <c r="I11" i="1"/>
  <c r="G11" i="1"/>
  <c r="H11" i="1" s="1"/>
  <c r="F11" i="1"/>
  <c r="E11" i="1"/>
  <c r="D11" i="1"/>
  <c r="C11" i="1"/>
  <c r="B11" i="1"/>
  <c r="A11" i="1"/>
  <c r="AH10" i="1"/>
  <c r="Y10" i="1"/>
  <c r="Z10" i="1" s="1"/>
  <c r="W10" i="1"/>
  <c r="V10" i="1"/>
  <c r="T10" i="1"/>
  <c r="Q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AH9" i="1"/>
  <c r="Y9" i="1"/>
  <c r="Z9" i="1" s="1"/>
  <c r="W9" i="1"/>
  <c r="V9" i="1"/>
  <c r="T9" i="1"/>
  <c r="Q9" i="1"/>
  <c r="O9" i="1"/>
  <c r="N9" i="1"/>
  <c r="M9" i="1"/>
  <c r="L9" i="1"/>
  <c r="K9" i="1"/>
  <c r="J9" i="1"/>
  <c r="I9" i="1"/>
  <c r="G9" i="1"/>
  <c r="H9" i="1" s="1"/>
  <c r="F9" i="1"/>
  <c r="E9" i="1"/>
  <c r="D9" i="1"/>
  <c r="C9" i="1"/>
  <c r="B9" i="1"/>
  <c r="A9" i="1"/>
  <c r="AH8" i="1"/>
  <c r="Y8" i="1"/>
  <c r="Z8" i="1" s="1"/>
  <c r="W8" i="1"/>
  <c r="V8" i="1"/>
  <c r="T8" i="1"/>
  <c r="O8" i="1"/>
  <c r="N8" i="1"/>
  <c r="M8" i="1"/>
  <c r="L8" i="1"/>
  <c r="K8" i="1"/>
  <c r="Q8" i="1" s="1"/>
  <c r="J8" i="1"/>
  <c r="I8" i="1"/>
  <c r="H8" i="1"/>
  <c r="G8" i="1"/>
  <c r="F8" i="1"/>
  <c r="E8" i="1"/>
  <c r="D8" i="1"/>
  <c r="C8" i="1"/>
  <c r="B8" i="1"/>
  <c r="A8" i="1"/>
  <c r="AH7" i="1"/>
  <c r="Y7" i="1"/>
  <c r="Z7" i="1" s="1"/>
  <c r="W7" i="1"/>
  <c r="V7" i="1"/>
  <c r="T7" i="1"/>
  <c r="O7" i="1"/>
  <c r="N7" i="1"/>
  <c r="M7" i="1"/>
  <c r="L7" i="1"/>
  <c r="K7" i="1"/>
  <c r="Q7" i="1" s="1"/>
  <c r="J7" i="1"/>
  <c r="I7" i="1"/>
  <c r="G7" i="1"/>
  <c r="H7" i="1" s="1"/>
  <c r="F7" i="1"/>
  <c r="E7" i="1"/>
  <c r="D7" i="1"/>
  <c r="C7" i="1"/>
  <c r="B7" i="1"/>
  <c r="A7" i="1"/>
  <c r="AH6" i="1"/>
  <c r="Y6" i="1"/>
  <c r="Z6" i="1" s="1"/>
  <c r="W6" i="1"/>
  <c r="V6" i="1"/>
  <c r="T6" i="1"/>
  <c r="O6" i="1"/>
  <c r="N6" i="1"/>
  <c r="M6" i="1"/>
  <c r="L6" i="1"/>
  <c r="K6" i="1"/>
  <c r="Q6" i="1" s="1"/>
  <c r="J6" i="1"/>
  <c r="I6" i="1"/>
  <c r="G6" i="1"/>
  <c r="H6" i="1" s="1"/>
  <c r="F6" i="1"/>
  <c r="E6" i="1"/>
  <c r="D6" i="1"/>
  <c r="C6" i="1"/>
  <c r="B6" i="1"/>
  <c r="A6" i="1"/>
  <c r="AH5" i="1"/>
  <c r="Y5" i="1"/>
  <c r="Z5" i="1" s="1"/>
  <c r="W5" i="1"/>
  <c r="V5" i="1"/>
  <c r="T5" i="1"/>
  <c r="O5" i="1"/>
  <c r="N5" i="1"/>
  <c r="M5" i="1"/>
  <c r="L5" i="1"/>
  <c r="K5" i="1"/>
  <c r="Q5" i="1" s="1"/>
  <c r="J5" i="1"/>
  <c r="I5" i="1"/>
  <c r="G5" i="1"/>
  <c r="H5" i="1" s="1"/>
  <c r="F5" i="1"/>
  <c r="E5" i="1"/>
  <c r="D5" i="1"/>
  <c r="C5" i="1"/>
  <c r="B5" i="1"/>
  <c r="A5" i="1"/>
  <c r="AH4" i="1"/>
  <c r="Y4" i="1"/>
  <c r="Z4" i="1" s="1"/>
  <c r="W4" i="1"/>
  <c r="V4" i="1"/>
  <c r="T4" i="1"/>
  <c r="Q4" i="1"/>
  <c r="O4" i="1"/>
  <c r="N4" i="1"/>
  <c r="M4" i="1"/>
  <c r="L4" i="1"/>
  <c r="K4" i="1"/>
  <c r="J4" i="1"/>
  <c r="I4" i="1"/>
  <c r="G4" i="1"/>
  <c r="H4" i="1" s="1"/>
  <c r="F4" i="1"/>
  <c r="E4" i="1"/>
  <c r="D4" i="1"/>
  <c r="C4" i="1"/>
  <c r="B4" i="1"/>
  <c r="A4" i="1"/>
</calcChain>
</file>

<file path=xl/sharedStrings.xml><?xml version="1.0" encoding="utf-8"?>
<sst xmlns="http://schemas.openxmlformats.org/spreadsheetml/2006/main" count="2144" uniqueCount="87">
  <si>
    <t>B E L A N J A   S E T A H U N   S M A    N E G E R I   1   T E L U K D A L  A M    2 0 2 4</t>
  </si>
  <si>
    <t>No. Surat Pesan</t>
  </si>
  <si>
    <t>No BKU</t>
  </si>
  <si>
    <t>Kode Program</t>
  </si>
  <si>
    <t>Kode Rekening</t>
  </si>
  <si>
    <t>Tanggal Perencanaan</t>
  </si>
  <si>
    <t>Tanggal Pesanan</t>
  </si>
  <si>
    <t>Tanggal BAST</t>
  </si>
  <si>
    <t>Tanggal Pemeriksaan</t>
  </si>
  <si>
    <t>Tanggal Bayar</t>
  </si>
  <si>
    <t>Uraian Kegiatan</t>
  </si>
  <si>
    <t>Nama Barang</t>
  </si>
  <si>
    <t>Volume</t>
  </si>
  <si>
    <t>Satuan</t>
  </si>
  <si>
    <t>Harga Satuan</t>
  </si>
  <si>
    <t>Jumlah</t>
  </si>
  <si>
    <t>Kategori Belanja</t>
  </si>
  <si>
    <t>Spesifikasi Barang</t>
  </si>
  <si>
    <t>Harga Toko 1</t>
  </si>
  <si>
    <t>Harga Toko 2</t>
  </si>
  <si>
    <t>Nama Toko 1</t>
  </si>
  <si>
    <t>Nama Toko 2</t>
  </si>
  <si>
    <t>Direktur Toko 1</t>
  </si>
  <si>
    <t>Alamat Toko 1</t>
  </si>
  <si>
    <t>Alamat Toko 2</t>
  </si>
  <si>
    <t>Uraian Kwitansi</t>
  </si>
  <si>
    <t>Nama Pekerjaan / Kategori</t>
  </si>
  <si>
    <t>Harga Satuan sebelum pajak</t>
  </si>
  <si>
    <t>Jumlah Harga Sebelum Pajak</t>
  </si>
  <si>
    <t xml:space="preserve">Harga Total Asli </t>
  </si>
  <si>
    <t>Total Harga Sebelum DPP</t>
  </si>
  <si>
    <t>Total Harga Asli</t>
  </si>
  <si>
    <t>Alamat Surat Balasan Toko</t>
  </si>
  <si>
    <t>NO HP</t>
  </si>
  <si>
    <t>Air Mineral</t>
  </si>
  <si>
    <t>UD. JESSLYN</t>
  </si>
  <si>
    <t>Jl. Pasir Putih Pasar Telukdalam, Telukdalam Kab. Nias Selatan</t>
  </si>
  <si>
    <t>kotak</t>
  </si>
  <si>
    <t>Telukdalam</t>
  </si>
  <si>
    <t>Pemeliharaan</t>
  </si>
  <si>
    <t>lusin</t>
  </si>
  <si>
    <t>Peralatan Listrik</t>
  </si>
  <si>
    <t>buah</t>
  </si>
  <si>
    <t>Alat Tulis Kantor (ATK)</t>
  </si>
  <si>
    <t>bungkus</t>
  </si>
  <si>
    <t>08264720368</t>
  </si>
  <si>
    <t>082164895397</t>
  </si>
  <si>
    <t>pasang</t>
  </si>
  <si>
    <t>botol</t>
  </si>
  <si>
    <t>lembar</t>
  </si>
  <si>
    <t>rim</t>
  </si>
  <si>
    <t>pak</t>
  </si>
  <si>
    <t>Penggandaan</t>
  </si>
  <si>
    <t>Jasa Angkutan</t>
  </si>
  <si>
    <t>Alat Kebersihan</t>
  </si>
  <si>
    <t>unit</t>
  </si>
  <si>
    <t>Apotik Anugrah</t>
  </si>
  <si>
    <t>Jl. Jend A. Yani Kelurahan Pasar Telukdalam - Nias Selatan</t>
  </si>
  <si>
    <t>Kudapan</t>
  </si>
  <si>
    <t>Konsumsi</t>
  </si>
  <si>
    <t>Toko Kue Neng Geulis</t>
  </si>
  <si>
    <t>Jl. Imam Bonjol, Ps. Tlk. Dalam, Kec. Tlk. Dalam, Kabupaten Nias Selatan, Sumatera Utara 22865</t>
  </si>
  <si>
    <t>Rumah Makan Imanuel</t>
  </si>
  <si>
    <t>Jl. Saonigeho Km. 1  Kel. Pasar Telukdalam - Nias Selatan</t>
  </si>
  <si>
    <t>Spanduk</t>
  </si>
  <si>
    <t>dus</t>
  </si>
  <si>
    <t>CV. Marusaha Jaya Badiri</t>
  </si>
  <si>
    <t>Jl. Oswald Siahaan No. 6A. Aek Tolang Pandan</t>
  </si>
  <si>
    <t>UD. Nisel Reklame</t>
  </si>
  <si>
    <t>Balai Persekutuan BKPN</t>
  </si>
  <si>
    <t>Jalan Baru Kel. Pasar Telukdalam</t>
  </si>
  <si>
    <t>Jasa PLN</t>
  </si>
  <si>
    <t>BANK SUMUT</t>
  </si>
  <si>
    <t>bulan</t>
  </si>
  <si>
    <t>Jasa Internet</t>
  </si>
  <si>
    <t>David J. Sitinjak, S.Pd</t>
  </si>
  <si>
    <t>Honorarium</t>
  </si>
  <si>
    <t>jpl</t>
  </si>
  <si>
    <t>Jl. Diponegoro Kel. Pasar Telukdalam - Nias Selatan</t>
  </si>
  <si>
    <t>Buku Paket Siswa dan Guru</t>
  </si>
  <si>
    <t>hari</t>
  </si>
  <si>
    <t>Peralatan Sekolah</t>
  </si>
  <si>
    <t>Medan</t>
  </si>
  <si>
    <t>m3</t>
  </si>
  <si>
    <t>Kegiatan</t>
  </si>
  <si>
    <t>Bahan /Alat Pemeliharaan</t>
  </si>
  <si>
    <t>paket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</si>
</sst>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_);_(* \(#,##0\);_(* &quot;-&quot;_);_(@_)"/>
    <numFmt numFmtId="165" formatCode="dd\-mm\-yyyy;@"/>
    <numFmt numFmtId="166" formatCode="_-* #,##0_-;\-* #,##0_-;_-* &quot;-&quot;??_-;_-@_-"/>
  </numFmts>
  <fonts count="20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36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Calibri"/>
      <family val="2"/>
      <charset val="1"/>
      <scheme val="minor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10"/>
      <name val="Arial MT"/>
    </font>
    <font>
      <sz val="10"/>
      <name val="Arial MT"/>
      <family val="2"/>
    </font>
    <font>
      <sz val="10"/>
      <color rgb="FF000000"/>
      <name val="Arial MT"/>
      <family val="2"/>
    </font>
    <font>
      <b/>
      <sz val="10"/>
      <color rgb="FF000000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 MT"/>
    </font>
    <font>
      <sz val="10"/>
      <color theme="1"/>
      <name val="Times New Roman"/>
      <family val="1"/>
    </font>
    <font>
      <sz val="10"/>
      <color rgb="FF000000"/>
      <name val="Arial MT"/>
    </font>
    <font>
      <sz val="1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</borders>
  <cellStyleXfs count="6">
    <xf numFmtId="0" fontId="0" fillId="0" borderId="0"/>
    <xf numFmtId="43" fontId="8" fillId="0" borderId="0" applyFont="0" applyFill="0" applyBorder="0" applyAlignment="0" applyProtection="0"/>
    <xf numFmtId="0" fontId="4" fillId="0" borderId="0"/>
    <xf numFmtId="0" fontId="2" fillId="0" borderId="0"/>
    <xf numFmtId="164" fontId="8" fillId="0" borderId="0" applyFont="0" applyFill="0" applyBorder="0" applyAlignment="0" applyProtection="0"/>
    <xf numFmtId="0" fontId="1" fillId="0" borderId="0"/>
  </cellStyleXfs>
  <cellXfs count="137">
    <xf numFmtId="0" fontId="0" fillId="0" borderId="0" xfId="0"/>
    <xf numFmtId="0" fontId="4" fillId="0" borderId="0" xfId="2" applyAlignment="1">
      <alignment horizontal="left" vertical="top"/>
    </xf>
    <xf numFmtId="0" fontId="6" fillId="2" borderId="2" xfId="2" applyFont="1" applyFill="1" applyBorder="1" applyAlignment="1">
      <alignment horizontal="center" vertical="center" wrapText="1"/>
    </xf>
    <xf numFmtId="0" fontId="7" fillId="2" borderId="2" xfId="2" applyFont="1" applyFill="1" applyBorder="1" applyAlignment="1">
      <alignment horizontal="center" vertical="center" wrapText="1"/>
    </xf>
    <xf numFmtId="14" fontId="7" fillId="2" borderId="2" xfId="2" applyNumberFormat="1" applyFont="1" applyFill="1" applyBorder="1" applyAlignment="1">
      <alignment horizontal="center" vertical="center" wrapText="1"/>
    </xf>
    <xf numFmtId="0" fontId="7" fillId="2" borderId="2" xfId="3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3" fillId="2" borderId="2" xfId="4" applyFont="1" applyFill="1" applyBorder="1" applyAlignment="1">
      <alignment horizontal="center" vertical="center" wrapText="1"/>
    </xf>
    <xf numFmtId="164" fontId="7" fillId="2" borderId="2" xfId="4" applyFont="1" applyFill="1" applyBorder="1" applyAlignment="1">
      <alignment horizontal="center" vertical="center" wrapText="1"/>
    </xf>
    <xf numFmtId="0" fontId="7" fillId="0" borderId="0" xfId="2" applyFont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0" borderId="4" xfId="2" applyFont="1" applyBorder="1" applyAlignment="1">
      <alignment horizontal="center" vertical="center"/>
    </xf>
    <xf numFmtId="0" fontId="9" fillId="0" borderId="0" xfId="2" applyFont="1" applyAlignment="1">
      <alignment horizontal="center" vertical="center" wrapText="1"/>
    </xf>
    <xf numFmtId="0" fontId="9" fillId="0" borderId="0" xfId="2" applyFont="1" applyAlignment="1">
      <alignment horizontal="center" vertical="center"/>
    </xf>
    <xf numFmtId="0" fontId="10" fillId="0" borderId="0" xfId="2" applyFont="1" applyAlignment="1">
      <alignment horizontal="center" vertical="center"/>
    </xf>
    <xf numFmtId="1" fontId="11" fillId="4" borderId="5" xfId="2" quotePrefix="1" applyNumberFormat="1" applyFont="1" applyFill="1" applyBorder="1" applyAlignment="1">
      <alignment horizontal="center" vertical="center" wrapText="1"/>
    </xf>
    <xf numFmtId="0" fontId="11" fillId="4" borderId="6" xfId="2" applyFont="1" applyFill="1" applyBorder="1" applyAlignment="1">
      <alignment horizontal="center" vertical="center" wrapText="1"/>
    </xf>
    <xf numFmtId="0" fontId="11" fillId="4" borderId="7" xfId="2" applyFont="1" applyFill="1" applyBorder="1" applyAlignment="1">
      <alignment horizontal="center" vertical="center" wrapText="1"/>
    </xf>
    <xf numFmtId="0" fontId="12" fillId="4" borderId="6" xfId="2" applyFont="1" applyFill="1" applyBorder="1" applyAlignment="1">
      <alignment horizontal="left" vertical="center"/>
    </xf>
    <xf numFmtId="14" fontId="0" fillId="4" borderId="8" xfId="0" applyNumberFormat="1" applyFill="1" applyBorder="1" applyAlignment="1">
      <alignment horizontal="center" vertical="center"/>
    </xf>
    <xf numFmtId="14" fontId="11" fillId="4" borderId="5" xfId="2" applyNumberFormat="1" applyFont="1" applyFill="1" applyBorder="1" applyAlignment="1">
      <alignment horizontal="center" vertical="center"/>
    </xf>
    <xf numFmtId="165" fontId="13" fillId="4" borderId="8" xfId="2" applyNumberFormat="1" applyFont="1" applyFill="1" applyBorder="1" applyAlignment="1">
      <alignment horizontal="center" vertical="center" shrinkToFit="1"/>
    </xf>
    <xf numFmtId="0" fontId="11" fillId="4" borderId="5" xfId="2" applyFont="1" applyFill="1" applyBorder="1" applyAlignment="1">
      <alignment vertical="center" wrapText="1"/>
    </xf>
    <xf numFmtId="1" fontId="13" fillId="4" borderId="5" xfId="2" applyNumberFormat="1" applyFont="1" applyFill="1" applyBorder="1" applyAlignment="1">
      <alignment horizontal="center" vertical="center" shrinkToFit="1"/>
    </xf>
    <xf numFmtId="166" fontId="13" fillId="4" borderId="5" xfId="1" applyNumberFormat="1" applyFont="1" applyFill="1" applyBorder="1" applyAlignment="1">
      <alignment horizontal="center" vertical="center" shrinkToFit="1"/>
    </xf>
    <xf numFmtId="3" fontId="13" fillId="4" borderId="6" xfId="2" applyNumberFormat="1" applyFont="1" applyFill="1" applyBorder="1" applyAlignment="1">
      <alignment horizontal="right" vertical="center" shrinkToFit="1"/>
    </xf>
    <xf numFmtId="0" fontId="14" fillId="4" borderId="0" xfId="2" applyFont="1" applyFill="1" applyAlignment="1">
      <alignment horizontal="center" vertical="center"/>
    </xf>
    <xf numFmtId="0" fontId="15" fillId="4" borderId="9" xfId="5" applyFont="1" applyFill="1" applyBorder="1" applyAlignment="1">
      <alignment vertical="center"/>
    </xf>
    <xf numFmtId="3" fontId="16" fillId="4" borderId="9" xfId="2" applyNumberFormat="1" applyFont="1" applyFill="1" applyBorder="1" applyAlignment="1">
      <alignment horizontal="right" vertical="center" shrinkToFit="1"/>
    </xf>
    <xf numFmtId="3" fontId="17" fillId="4" borderId="9" xfId="2" applyNumberFormat="1" applyFont="1" applyFill="1" applyBorder="1" applyAlignment="1">
      <alignment horizontal="right" vertical="center"/>
    </xf>
    <xf numFmtId="3" fontId="17" fillId="4" borderId="9" xfId="2" applyNumberFormat="1" applyFont="1" applyFill="1" applyBorder="1" applyAlignment="1">
      <alignment horizontal="left" vertical="center"/>
    </xf>
    <xf numFmtId="0" fontId="17" fillId="4" borderId="9" xfId="2" applyFont="1" applyFill="1" applyBorder="1" applyAlignment="1">
      <alignment horizontal="left" vertical="center"/>
    </xf>
    <xf numFmtId="0" fontId="1" fillId="4" borderId="9" xfId="3" applyFont="1" applyFill="1" applyBorder="1" applyAlignment="1">
      <alignment horizontal="left" vertical="center"/>
    </xf>
    <xf numFmtId="1" fontId="16" fillId="4" borderId="9" xfId="2" applyNumberFormat="1" applyFont="1" applyFill="1" applyBorder="1" applyAlignment="1">
      <alignment horizontal="center" vertical="center"/>
    </xf>
    <xf numFmtId="164" fontId="8" fillId="4" borderId="9" xfId="4" applyFont="1" applyFill="1" applyBorder="1" applyAlignment="1">
      <alignment horizontal="center" vertical="center"/>
    </xf>
    <xf numFmtId="164" fontId="4" fillId="4" borderId="10" xfId="4" applyFont="1" applyFill="1" applyBorder="1" applyAlignment="1">
      <alignment horizontal="left" vertical="center"/>
    </xf>
    <xf numFmtId="3" fontId="18" fillId="4" borderId="8" xfId="2" applyNumberFormat="1" applyFont="1" applyFill="1" applyBorder="1" applyAlignment="1">
      <alignment horizontal="left" vertical="center" shrinkToFit="1"/>
    </xf>
    <xf numFmtId="3" fontId="4" fillId="4" borderId="0" xfId="2" quotePrefix="1" applyNumberFormat="1" applyFill="1" applyAlignment="1">
      <alignment horizontal="left" vertical="center"/>
    </xf>
    <xf numFmtId="0" fontId="4" fillId="4" borderId="0" xfId="2" applyFill="1" applyAlignment="1">
      <alignment horizontal="left" vertical="top"/>
    </xf>
    <xf numFmtId="1" fontId="11" fillId="0" borderId="5" xfId="2" quotePrefix="1" applyNumberFormat="1" applyFont="1" applyBorder="1" applyAlignment="1">
      <alignment horizontal="center" vertical="center" wrapText="1"/>
    </xf>
    <xf numFmtId="0" fontId="11" fillId="0" borderId="6" xfId="2" applyFont="1" applyBorder="1" applyAlignment="1">
      <alignment horizontal="center" vertical="center" wrapText="1"/>
    </xf>
    <xf numFmtId="0" fontId="11" fillId="0" borderId="7" xfId="2" applyFont="1" applyBorder="1" applyAlignment="1">
      <alignment horizontal="center" vertical="center" wrapText="1"/>
    </xf>
    <xf numFmtId="0" fontId="12" fillId="0" borderId="6" xfId="2" applyFont="1" applyBorder="1" applyAlignment="1">
      <alignment horizontal="left" vertical="center"/>
    </xf>
    <xf numFmtId="14" fontId="0" fillId="0" borderId="8" xfId="0" applyNumberFormat="1" applyBorder="1" applyAlignment="1">
      <alignment horizontal="center" vertical="center"/>
    </xf>
    <xf numFmtId="14" fontId="11" fillId="0" borderId="5" xfId="2" applyNumberFormat="1" applyFont="1" applyBorder="1" applyAlignment="1">
      <alignment horizontal="center" vertical="center"/>
    </xf>
    <xf numFmtId="165" fontId="13" fillId="0" borderId="8" xfId="2" applyNumberFormat="1" applyFont="1" applyBorder="1" applyAlignment="1">
      <alignment horizontal="center" vertical="center" shrinkToFit="1"/>
    </xf>
    <xf numFmtId="0" fontId="11" fillId="0" borderId="5" xfId="2" applyFont="1" applyBorder="1" applyAlignment="1">
      <alignment vertical="center" wrapText="1"/>
    </xf>
    <xf numFmtId="1" fontId="13" fillId="0" borderId="5" xfId="2" applyNumberFormat="1" applyFont="1" applyBorder="1" applyAlignment="1">
      <alignment horizontal="center" vertical="center" shrinkToFit="1"/>
    </xf>
    <xf numFmtId="166" fontId="13" fillId="0" borderId="5" xfId="1" applyNumberFormat="1" applyFont="1" applyFill="1" applyBorder="1" applyAlignment="1">
      <alignment horizontal="center" vertical="center" shrinkToFit="1"/>
    </xf>
    <xf numFmtId="3" fontId="13" fillId="0" borderId="6" xfId="2" applyNumberFormat="1" applyFont="1" applyBorder="1" applyAlignment="1">
      <alignment horizontal="right" vertical="center" shrinkToFit="1"/>
    </xf>
    <xf numFmtId="0" fontId="14" fillId="0" borderId="0" xfId="2" applyFont="1" applyAlignment="1">
      <alignment horizontal="center" vertical="center"/>
    </xf>
    <xf numFmtId="0" fontId="15" fillId="0" borderId="9" xfId="5" applyFont="1" applyBorder="1" applyAlignment="1">
      <alignment vertical="center"/>
    </xf>
    <xf numFmtId="3" fontId="16" fillId="0" borderId="9" xfId="2" applyNumberFormat="1" applyFont="1" applyBorder="1" applyAlignment="1">
      <alignment horizontal="right" vertical="center" shrinkToFit="1"/>
    </xf>
    <xf numFmtId="3" fontId="17" fillId="0" borderId="9" xfId="2" applyNumberFormat="1" applyFont="1" applyBorder="1" applyAlignment="1">
      <alignment horizontal="right" vertical="center"/>
    </xf>
    <xf numFmtId="3" fontId="17" fillId="0" borderId="9" xfId="2" applyNumberFormat="1" applyFont="1" applyBorder="1" applyAlignment="1">
      <alignment horizontal="left" vertical="center"/>
    </xf>
    <xf numFmtId="0" fontId="17" fillId="0" borderId="9" xfId="2" applyFont="1" applyBorder="1" applyAlignment="1">
      <alignment horizontal="left" vertical="center"/>
    </xf>
    <xf numFmtId="0" fontId="1" fillId="0" borderId="9" xfId="3" applyFont="1" applyBorder="1" applyAlignment="1">
      <alignment horizontal="left" vertical="center"/>
    </xf>
    <xf numFmtId="1" fontId="16" fillId="0" borderId="9" xfId="2" applyNumberFormat="1" applyFont="1" applyBorder="1" applyAlignment="1">
      <alignment horizontal="center" vertical="center"/>
    </xf>
    <xf numFmtId="164" fontId="8" fillId="0" borderId="9" xfId="4" applyFont="1" applyFill="1" applyBorder="1" applyAlignment="1">
      <alignment horizontal="center" vertical="center"/>
    </xf>
    <xf numFmtId="164" fontId="4" fillId="0" borderId="10" xfId="4" applyFont="1" applyFill="1" applyBorder="1" applyAlignment="1">
      <alignment horizontal="left" vertical="center"/>
    </xf>
    <xf numFmtId="3" fontId="18" fillId="0" borderId="8" xfId="2" applyNumberFormat="1" applyFont="1" applyBorder="1" applyAlignment="1">
      <alignment horizontal="left" vertical="center" shrinkToFit="1"/>
    </xf>
    <xf numFmtId="3" fontId="4" fillId="0" borderId="0" xfId="2" quotePrefix="1" applyNumberFormat="1" applyAlignment="1">
      <alignment horizontal="left" vertical="center"/>
    </xf>
    <xf numFmtId="1" fontId="11" fillId="5" borderId="5" xfId="2" quotePrefix="1" applyNumberFormat="1" applyFont="1" applyFill="1" applyBorder="1" applyAlignment="1">
      <alignment horizontal="center" vertical="center" wrapText="1"/>
    </xf>
    <xf numFmtId="0" fontId="11" fillId="5" borderId="6" xfId="2" applyFont="1" applyFill="1" applyBorder="1" applyAlignment="1">
      <alignment horizontal="center" vertical="center" wrapText="1"/>
    </xf>
    <xf numFmtId="0" fontId="11" fillId="5" borderId="7" xfId="2" applyFont="1" applyFill="1" applyBorder="1" applyAlignment="1">
      <alignment horizontal="center" vertical="center" wrapText="1"/>
    </xf>
    <xf numFmtId="0" fontId="12" fillId="5" borderId="6" xfId="2" applyFont="1" applyFill="1" applyBorder="1" applyAlignment="1">
      <alignment horizontal="left" vertical="center"/>
    </xf>
    <xf numFmtId="14" fontId="0" fillId="5" borderId="8" xfId="0" applyNumberFormat="1" applyFill="1" applyBorder="1" applyAlignment="1">
      <alignment horizontal="center" vertical="center"/>
    </xf>
    <xf numFmtId="14" fontId="11" fillId="5" borderId="5" xfId="2" applyNumberFormat="1" applyFont="1" applyFill="1" applyBorder="1" applyAlignment="1">
      <alignment horizontal="center" vertical="center"/>
    </xf>
    <xf numFmtId="165" fontId="13" fillId="5" borderId="8" xfId="2" applyNumberFormat="1" applyFont="1" applyFill="1" applyBorder="1" applyAlignment="1">
      <alignment horizontal="center" vertical="center" shrinkToFit="1"/>
    </xf>
    <xf numFmtId="0" fontId="11" fillId="5" borderId="5" xfId="2" applyFont="1" applyFill="1" applyBorder="1" applyAlignment="1">
      <alignment vertical="center" wrapText="1"/>
    </xf>
    <xf numFmtId="1" fontId="13" fillId="5" borderId="5" xfId="2" applyNumberFormat="1" applyFont="1" applyFill="1" applyBorder="1" applyAlignment="1">
      <alignment horizontal="center" vertical="center" shrinkToFit="1"/>
    </xf>
    <xf numFmtId="166" fontId="13" fillId="5" borderId="5" xfId="1" applyNumberFormat="1" applyFont="1" applyFill="1" applyBorder="1" applyAlignment="1">
      <alignment horizontal="center" vertical="center" shrinkToFit="1"/>
    </xf>
    <xf numFmtId="3" fontId="13" fillId="5" borderId="6" xfId="2" applyNumberFormat="1" applyFont="1" applyFill="1" applyBorder="1" applyAlignment="1">
      <alignment horizontal="right" vertical="center" shrinkToFit="1"/>
    </xf>
    <xf numFmtId="0" fontId="14" fillId="5" borderId="0" xfId="2" applyFont="1" applyFill="1" applyAlignment="1">
      <alignment horizontal="center" vertical="center"/>
    </xf>
    <xf numFmtId="0" fontId="15" fillId="5" borderId="9" xfId="5" applyFont="1" applyFill="1" applyBorder="1" applyAlignment="1">
      <alignment vertical="center"/>
    </xf>
    <xf numFmtId="3" fontId="16" fillId="5" borderId="9" xfId="2" applyNumberFormat="1" applyFont="1" applyFill="1" applyBorder="1" applyAlignment="1">
      <alignment horizontal="right" vertical="center" shrinkToFit="1"/>
    </xf>
    <xf numFmtId="3" fontId="17" fillId="5" borderId="9" xfId="2" applyNumberFormat="1" applyFont="1" applyFill="1" applyBorder="1" applyAlignment="1">
      <alignment horizontal="right" vertical="center"/>
    </xf>
    <xf numFmtId="3" fontId="17" fillId="5" borderId="9" xfId="2" applyNumberFormat="1" applyFont="1" applyFill="1" applyBorder="1" applyAlignment="1">
      <alignment horizontal="left" vertical="center"/>
    </xf>
    <xf numFmtId="0" fontId="17" fillId="5" borderId="9" xfId="2" applyFont="1" applyFill="1" applyBorder="1" applyAlignment="1">
      <alignment horizontal="left" vertical="center"/>
    </xf>
    <xf numFmtId="0" fontId="1" fillId="5" borderId="9" xfId="3" applyFont="1" applyFill="1" applyBorder="1" applyAlignment="1">
      <alignment horizontal="left" vertical="center"/>
    </xf>
    <xf numFmtId="1" fontId="16" fillId="5" borderId="9" xfId="2" applyNumberFormat="1" applyFont="1" applyFill="1" applyBorder="1" applyAlignment="1">
      <alignment horizontal="center" vertical="center"/>
    </xf>
    <xf numFmtId="164" fontId="8" fillId="5" borderId="9" xfId="4" applyFont="1" applyFill="1" applyBorder="1" applyAlignment="1">
      <alignment horizontal="center" vertical="center"/>
    </xf>
    <xf numFmtId="164" fontId="4" fillId="5" borderId="10" xfId="4" applyFont="1" applyFill="1" applyBorder="1" applyAlignment="1">
      <alignment horizontal="left" vertical="center"/>
    </xf>
    <xf numFmtId="3" fontId="18" fillId="5" borderId="8" xfId="2" applyNumberFormat="1" applyFont="1" applyFill="1" applyBorder="1" applyAlignment="1">
      <alignment horizontal="left" vertical="center" shrinkToFit="1"/>
    </xf>
    <xf numFmtId="3" fontId="4" fillId="5" borderId="0" xfId="2" quotePrefix="1" applyNumberFormat="1" applyFill="1" applyAlignment="1">
      <alignment horizontal="left" vertical="center"/>
    </xf>
    <xf numFmtId="164" fontId="4" fillId="5" borderId="0" xfId="2" applyNumberFormat="1" applyFill="1" applyAlignment="1">
      <alignment horizontal="left" vertical="top"/>
    </xf>
    <xf numFmtId="0" fontId="4" fillId="5" borderId="0" xfId="2" applyFill="1" applyAlignment="1">
      <alignment horizontal="left" vertical="top"/>
    </xf>
    <xf numFmtId="0" fontId="4" fillId="5" borderId="0" xfId="2" quotePrefix="1" applyFill="1" applyAlignment="1">
      <alignment horizontal="left" vertical="top"/>
    </xf>
    <xf numFmtId="3" fontId="4" fillId="5" borderId="0" xfId="2" applyNumberFormat="1" applyFill="1" applyAlignment="1">
      <alignment horizontal="left" vertical="top"/>
    </xf>
    <xf numFmtId="164" fontId="4" fillId="4" borderId="0" xfId="2" applyNumberFormat="1" applyFill="1" applyAlignment="1">
      <alignment horizontal="left" vertical="top"/>
    </xf>
    <xf numFmtId="164" fontId="4" fillId="0" borderId="0" xfId="2" applyNumberFormat="1" applyAlignment="1">
      <alignment horizontal="left" vertical="top"/>
    </xf>
    <xf numFmtId="3" fontId="0" fillId="0" borderId="8" xfId="0" applyNumberFormat="1" applyBorder="1" applyAlignment="1">
      <alignment vertical="center" wrapText="1"/>
    </xf>
    <xf numFmtId="3" fontId="16" fillId="6" borderId="9" xfId="2" applyNumberFormat="1" applyFont="1" applyFill="1" applyBorder="1" applyAlignment="1">
      <alignment horizontal="right" vertical="center" shrinkToFit="1"/>
    </xf>
    <xf numFmtId="3" fontId="17" fillId="6" borderId="9" xfId="2" applyNumberFormat="1" applyFont="1" applyFill="1" applyBorder="1" applyAlignment="1">
      <alignment horizontal="right" vertical="center"/>
    </xf>
    <xf numFmtId="0" fontId="17" fillId="6" borderId="9" xfId="2" applyFont="1" applyFill="1" applyBorder="1" applyAlignment="1">
      <alignment horizontal="left" vertical="center"/>
    </xf>
    <xf numFmtId="1" fontId="16" fillId="6" borderId="9" xfId="2" applyNumberFormat="1" applyFont="1" applyFill="1" applyBorder="1" applyAlignment="1">
      <alignment horizontal="center" vertical="center"/>
    </xf>
    <xf numFmtId="164" fontId="8" fillId="6" borderId="9" xfId="4" applyFont="1" applyFill="1" applyBorder="1" applyAlignment="1">
      <alignment horizontal="center" vertical="center"/>
    </xf>
    <xf numFmtId="164" fontId="4" fillId="6" borderId="10" xfId="4" applyFont="1" applyFill="1" applyBorder="1" applyAlignment="1">
      <alignment horizontal="left" vertical="center"/>
    </xf>
    <xf numFmtId="0" fontId="4" fillId="6" borderId="0" xfId="2" applyFill="1" applyAlignment="1">
      <alignment horizontal="left" vertical="top"/>
    </xf>
    <xf numFmtId="164" fontId="4" fillId="6" borderId="0" xfId="2" applyNumberFormat="1" applyFill="1" applyAlignment="1">
      <alignment horizontal="left" vertical="top"/>
    </xf>
    <xf numFmtId="3" fontId="4" fillId="0" borderId="0" xfId="2" applyNumberFormat="1" applyAlignment="1">
      <alignment horizontal="left" vertical="top"/>
    </xf>
    <xf numFmtId="0" fontId="19" fillId="0" borderId="0" xfId="2" applyFont="1" applyAlignment="1">
      <alignment horizontal="left" vertical="top"/>
    </xf>
    <xf numFmtId="0" fontId="19" fillId="5" borderId="0" xfId="2" applyFont="1" applyFill="1" applyAlignment="1">
      <alignment horizontal="left" vertical="top"/>
    </xf>
    <xf numFmtId="3" fontId="16" fillId="7" borderId="9" xfId="2" applyNumberFormat="1" applyFont="1" applyFill="1" applyBorder="1" applyAlignment="1">
      <alignment horizontal="right" vertical="center" shrinkToFit="1"/>
    </xf>
    <xf numFmtId="3" fontId="17" fillId="7" borderId="9" xfId="2" applyNumberFormat="1" applyFont="1" applyFill="1" applyBorder="1" applyAlignment="1">
      <alignment horizontal="right" vertical="center"/>
    </xf>
    <xf numFmtId="0" fontId="17" fillId="7" borderId="9" xfId="2" applyFont="1" applyFill="1" applyBorder="1" applyAlignment="1">
      <alignment horizontal="left" vertical="center"/>
    </xf>
    <xf numFmtId="1" fontId="16" fillId="7" borderId="9" xfId="2" applyNumberFormat="1" applyFont="1" applyFill="1" applyBorder="1" applyAlignment="1">
      <alignment horizontal="center" vertical="center"/>
    </xf>
    <xf numFmtId="164" fontId="8" fillId="7" borderId="9" xfId="4" applyFont="1" applyFill="1" applyBorder="1" applyAlignment="1">
      <alignment horizontal="center" vertical="center"/>
    </xf>
    <xf numFmtId="164" fontId="4" fillId="7" borderId="10" xfId="4" applyFont="1" applyFill="1" applyBorder="1" applyAlignment="1">
      <alignment horizontal="left" vertical="center"/>
    </xf>
    <xf numFmtId="0" fontId="4" fillId="7" borderId="0" xfId="2" applyFill="1" applyAlignment="1">
      <alignment horizontal="left" vertical="top"/>
    </xf>
    <xf numFmtId="1" fontId="11" fillId="8" borderId="5" xfId="2" quotePrefix="1" applyNumberFormat="1" applyFont="1" applyFill="1" applyBorder="1" applyAlignment="1">
      <alignment horizontal="center" vertical="center" wrapText="1"/>
    </xf>
    <xf numFmtId="0" fontId="11" fillId="8" borderId="6" xfId="2" applyFont="1" applyFill="1" applyBorder="1" applyAlignment="1">
      <alignment horizontal="center" vertical="center" wrapText="1"/>
    </xf>
    <xf numFmtId="0" fontId="11" fillId="8" borderId="7" xfId="2" applyFont="1" applyFill="1" applyBorder="1" applyAlignment="1">
      <alignment horizontal="center" vertical="center" wrapText="1"/>
    </xf>
    <xf numFmtId="0" fontId="12" fillId="8" borderId="6" xfId="2" applyFont="1" applyFill="1" applyBorder="1" applyAlignment="1">
      <alignment horizontal="left" vertical="center"/>
    </xf>
    <xf numFmtId="14" fontId="0" fillId="8" borderId="8" xfId="0" applyNumberFormat="1" applyFill="1" applyBorder="1" applyAlignment="1">
      <alignment horizontal="center" vertical="center"/>
    </xf>
    <xf numFmtId="14" fontId="11" fillId="8" borderId="5" xfId="2" applyNumberFormat="1" applyFont="1" applyFill="1" applyBorder="1" applyAlignment="1">
      <alignment horizontal="center" vertical="center"/>
    </xf>
    <xf numFmtId="165" fontId="13" fillId="8" borderId="8" xfId="2" applyNumberFormat="1" applyFont="1" applyFill="1" applyBorder="1" applyAlignment="1">
      <alignment horizontal="center" vertical="center" shrinkToFit="1"/>
    </xf>
    <xf numFmtId="0" fontId="11" fillId="8" borderId="5" xfId="2" applyFont="1" applyFill="1" applyBorder="1" applyAlignment="1">
      <alignment vertical="center" wrapText="1"/>
    </xf>
    <xf numFmtId="1" fontId="13" fillId="8" borderId="5" xfId="2" applyNumberFormat="1" applyFont="1" applyFill="1" applyBorder="1" applyAlignment="1">
      <alignment horizontal="center" vertical="center" shrinkToFit="1"/>
    </xf>
    <xf numFmtId="166" fontId="13" fillId="8" borderId="5" xfId="1" applyNumberFormat="1" applyFont="1" applyFill="1" applyBorder="1" applyAlignment="1">
      <alignment horizontal="center" vertical="center" shrinkToFit="1"/>
    </xf>
    <xf numFmtId="3" fontId="13" fillId="8" borderId="6" xfId="2" applyNumberFormat="1" applyFont="1" applyFill="1" applyBorder="1" applyAlignment="1">
      <alignment horizontal="right" vertical="center" shrinkToFit="1"/>
    </xf>
    <xf numFmtId="0" fontId="15" fillId="8" borderId="9" xfId="5" applyFont="1" applyFill="1" applyBorder="1" applyAlignment="1">
      <alignment vertical="center"/>
    </xf>
    <xf numFmtId="3" fontId="16" fillId="8" borderId="9" xfId="2" applyNumberFormat="1" applyFont="1" applyFill="1" applyBorder="1" applyAlignment="1">
      <alignment horizontal="right" vertical="center" shrinkToFit="1"/>
    </xf>
    <xf numFmtId="0" fontId="2" fillId="0" borderId="0" xfId="3" applyAlignment="1">
      <alignment horizontal="left" vertical="top"/>
    </xf>
    <xf numFmtId="0" fontId="0" fillId="0" borderId="0" xfId="0" applyAlignment="1">
      <alignment horizontal="center"/>
    </xf>
    <xf numFmtId="164" fontId="0" fillId="0" borderId="0" xfId="4" applyFont="1" applyFill="1" applyBorder="1" applyAlignment="1">
      <alignment horizontal="center"/>
    </xf>
    <xf numFmtId="0" fontId="4" fillId="0" borderId="0" xfId="2" applyAlignment="1">
      <alignment horizontal="center" vertical="center"/>
    </xf>
    <xf numFmtId="164" fontId="4" fillId="0" borderId="0" xfId="4" applyFont="1" applyFill="1" applyBorder="1" applyAlignment="1">
      <alignment horizontal="left" vertical="top"/>
    </xf>
    <xf numFmtId="0" fontId="4" fillId="0" borderId="0" xfId="2" applyAlignment="1">
      <alignment horizontal="right" vertical="top"/>
    </xf>
    <xf numFmtId="0" fontId="4" fillId="0" borderId="0" xfId="2" applyAlignment="1">
      <alignment horizontal="left" vertical="center"/>
    </xf>
    <xf numFmtId="0" fontId="4" fillId="0" borderId="0" xfId="2" applyAlignment="1">
      <alignment horizontal="center" vertical="top"/>
    </xf>
    <xf numFmtId="14" fontId="4" fillId="0" borderId="0" xfId="2" applyNumberFormat="1" applyAlignment="1">
      <alignment horizontal="left" vertical="top"/>
    </xf>
    <xf numFmtId="14" fontId="4" fillId="0" borderId="0" xfId="2" applyNumberFormat="1" applyAlignment="1">
      <alignment horizontal="center" vertical="top"/>
    </xf>
    <xf numFmtId="0" fontId="4" fillId="0" borderId="0" xfId="2" applyAlignment="1">
      <alignment horizontal="left" vertical="top" wrapText="1"/>
    </xf>
    <xf numFmtId="0" fontId="5" fillId="0" borderId="1" xfId="2" applyFont="1" applyBorder="1" applyAlignment="1">
      <alignment horizontal="center" vertical="top"/>
    </xf>
  </cellXfs>
  <cellStyles count="6">
    <cellStyle name="Comma" xfId="1" builtinId="3"/>
    <cellStyle name="Comma [0] 3" xfId="4" xr:uid="{77EB83E0-A2C2-4632-BFD2-54D21BD5525A}"/>
    <cellStyle name="Normal" xfId="0" builtinId="0"/>
    <cellStyle name="Normal 2 2" xfId="2" xr:uid="{D86E33A5-A340-4ECC-857B-B5D253DCA698}"/>
    <cellStyle name="Normal 2 2 2" xfId="3" xr:uid="{B079A908-37C5-427A-A614-22EA099E150A}"/>
    <cellStyle name="Normal 3 2 3" xfId="5" xr:uid="{25EE69E0-2B24-4DC2-8520-1E9BD159C4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ekolah\Permintaan%20BPK\APK%202025%20Sah\Cetak%2020%20Barang_%202025.xlsm" TargetMode="External"/><Relationship Id="rId1" Type="http://schemas.openxmlformats.org/officeDocument/2006/relationships/externalLinkPath" Target="APK%202025%20Sah/Cetak%2020%20Barang_%20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CK"/>
      <sheetName val="Master Januari-Desemebr 2024"/>
      <sheetName val="NO BPU"/>
      <sheetName val="Spesifikasi"/>
      <sheetName val="01PESAN"/>
      <sheetName val="Toko"/>
      <sheetName val="03RENCANA"/>
      <sheetName val="04SHP"/>
      <sheetName val="05BAT"/>
      <sheetName val="02BANDING"/>
      <sheetName val="Master"/>
      <sheetName val="Data2025"/>
      <sheetName val="Tabel Bantu"/>
      <sheetName val="Data Sekolah"/>
      <sheetName val="Sheet1"/>
      <sheetName val="Sheet3"/>
      <sheetName val="Sheet2"/>
      <sheetName val="Gagal Cetak"/>
    </sheetNames>
    <sheetDataSet>
      <sheetData sheetId="0"/>
      <sheetData sheetId="1">
        <row r="1">
          <cell r="A1" t="str">
            <v>No</v>
          </cell>
          <cell r="B1" t="str">
            <v>Tabel Bantu</v>
          </cell>
          <cell r="C1" t="str">
            <v>NO Pesan</v>
          </cell>
          <cell r="D1" t="str">
            <v>No BKU</v>
          </cell>
          <cell r="E1" t="str">
            <v>No. Urut</v>
          </cell>
          <cell r="F1" t="str">
            <v>No BAST</v>
          </cell>
          <cell r="G1" t="str">
            <v>Tanggal Perencanaan</v>
          </cell>
          <cell r="H1" t="str">
            <v>Tanggal Pesanan</v>
          </cell>
          <cell r="I1" t="str">
            <v>Tanggal BAST</v>
          </cell>
          <cell r="J1" t="str">
            <v>Tanggal Pemeriksaan</v>
          </cell>
          <cell r="K1" t="str">
            <v>Tanggal Bayar</v>
          </cell>
          <cell r="L1" t="str">
            <v>Kode Rekening</v>
          </cell>
          <cell r="M1" t="str">
            <v>Kode Kegiatan</v>
          </cell>
          <cell r="N1" t="str">
            <v>Kode Program</v>
          </cell>
          <cell r="O1" t="str">
            <v>Uraian</v>
          </cell>
          <cell r="P1" t="str">
            <v>Nama Barang</v>
          </cell>
          <cell r="Q1" t="str">
            <v>Kategori</v>
          </cell>
          <cell r="R1" t="str">
            <v>Spesiifikasi</v>
          </cell>
          <cell r="S1" t="str">
            <v>Volume</v>
          </cell>
          <cell r="T1" t="str">
            <v>Satuan</v>
          </cell>
          <cell r="U1" t="str">
            <v>Tarif Harga</v>
          </cell>
          <cell r="V1" t="str">
            <v>Jumlah</v>
          </cell>
          <cell r="W1" t="str">
            <v>Toko</v>
          </cell>
          <cell r="X1" t="str">
            <v>Direktur</v>
          </cell>
          <cell r="Y1" t="str">
            <v>No. Hp</v>
          </cell>
          <cell r="Z1" t="str">
            <v>Alamat</v>
          </cell>
          <cell r="AA1" t="str">
            <v>Harga Satuan sebelum pajak</v>
          </cell>
          <cell r="AB1" t="str">
            <v>Jumlah Harga Sebelum Pajak</v>
          </cell>
          <cell r="AC1" t="str">
            <v xml:space="preserve">Harga Total Asli </v>
          </cell>
          <cell r="AD1" t="str">
            <v>Total Harga DPP</v>
          </cell>
          <cell r="AE1" t="str">
            <v>Total Harga Asli</v>
          </cell>
          <cell r="AF1" t="str">
            <v>Harga satuan asli</v>
          </cell>
          <cell r="AG1" t="str">
            <v>Bulan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  <cell r="AA2">
            <v>27</v>
          </cell>
          <cell r="AB2">
            <v>28</v>
          </cell>
          <cell r="AC2">
            <v>29</v>
          </cell>
          <cell r="AD2">
            <v>30</v>
          </cell>
          <cell r="AE2">
            <v>31</v>
          </cell>
          <cell r="AF2">
            <v>32</v>
          </cell>
          <cell r="AG2">
            <v>33</v>
          </cell>
        </row>
        <row r="3">
          <cell r="A3">
            <v>1</v>
          </cell>
          <cell r="B3" t="str">
            <v>01</v>
          </cell>
          <cell r="C3" t="str">
            <v>01</v>
          </cell>
          <cell r="D3" t="str">
            <v>BPU01</v>
          </cell>
          <cell r="E3">
            <v>1</v>
          </cell>
          <cell r="F3" t="str">
            <v>01</v>
          </cell>
          <cell r="G3">
            <v>45296</v>
          </cell>
          <cell r="H3">
            <v>45297</v>
          </cell>
          <cell r="I3">
            <v>45297</v>
          </cell>
          <cell r="J3">
            <v>45297</v>
          </cell>
          <cell r="K3">
            <v>45314</v>
          </cell>
          <cell r="L3" t="str">
            <v>5.1.02.01.01.0024</v>
          </cell>
          <cell r="M3" t="str">
            <v>06.05.</v>
          </cell>
          <cell r="N3" t="str">
            <v>06.05.08.</v>
          </cell>
          <cell r="O3" t="str">
            <v>Binder Klip  nomor 111</v>
          </cell>
          <cell r="P3" t="str">
            <v>Binder Klip  nomor 111</v>
          </cell>
          <cell r="Q3" t="str">
            <v>Alat Tulis Kantor (ATK)</v>
          </cell>
          <cell r="R3" t="str">
            <v>Binder Clip No 111 (Length 5.0Cm, Width 5.0Cm, Height 5.0Cm, Weight 5Gr)</v>
          </cell>
          <cell r="S3">
            <v>5</v>
          </cell>
          <cell r="T3" t="str">
            <v>kotak</v>
          </cell>
          <cell r="U3">
            <v>11000</v>
          </cell>
          <cell r="V3">
            <v>55000</v>
          </cell>
          <cell r="W3" t="str">
            <v>UD. JOSUA</v>
          </cell>
          <cell r="X3" t="str">
            <v>Gestiwan Zebua</v>
          </cell>
          <cell r="Y3" t="str">
            <v>082166506229</v>
          </cell>
          <cell r="Z3" t="str">
            <v>Jl. Pasir Putih Pasar Telukdalam, Telukdalam Kab. Nias Selatan</v>
          </cell>
          <cell r="AG3">
            <v>4</v>
          </cell>
        </row>
        <row r="4">
          <cell r="A4">
            <v>2</v>
          </cell>
          <cell r="B4" t="str">
            <v>01</v>
          </cell>
          <cell r="C4" t="str">
            <v>01</v>
          </cell>
          <cell r="D4" t="str">
            <v>BPU01</v>
          </cell>
          <cell r="E4">
            <v>2</v>
          </cell>
          <cell r="F4" t="str">
            <v>01</v>
          </cell>
          <cell r="G4">
            <v>45296</v>
          </cell>
          <cell r="H4">
            <v>45297</v>
          </cell>
          <cell r="I4">
            <v>45297</v>
          </cell>
          <cell r="J4">
            <v>45297</v>
          </cell>
          <cell r="K4">
            <v>45314</v>
          </cell>
          <cell r="L4" t="str">
            <v>5.1.02.01.01.0024</v>
          </cell>
          <cell r="M4" t="str">
            <v>06.05.</v>
          </cell>
          <cell r="N4" t="str">
            <v>06.05.08.</v>
          </cell>
          <cell r="O4" t="str">
            <v>Ballpoint Drawing Pen 0,1 Snowman</v>
          </cell>
          <cell r="P4" t="str">
            <v>Ballpoint Drawing Pen 0,1 Snowman</v>
          </cell>
          <cell r="Q4" t="str">
            <v>Alat Tulis Kantor (ATK)</v>
          </cell>
          <cell r="R4" t="str">
            <v>Ballpoint Drawing Pen 0,1 Snowman (Dimensi, 1cm x 1cm x 1cm. Berat, 50g)</v>
          </cell>
          <cell r="S4">
            <v>1</v>
          </cell>
          <cell r="T4" t="str">
            <v>lusin</v>
          </cell>
          <cell r="U4">
            <v>95000</v>
          </cell>
          <cell r="V4">
            <v>95000</v>
          </cell>
          <cell r="W4" t="str">
            <v>UD. JOSUA</v>
          </cell>
          <cell r="X4" t="str">
            <v>Gestiwan Zebua</v>
          </cell>
          <cell r="Y4" t="str">
            <v>082166506229</v>
          </cell>
          <cell r="Z4" t="str">
            <v>Jl. Pasir Putih Pasar Telukdalam, Telukdalam Kab. Nias Selatan</v>
          </cell>
          <cell r="AG4">
            <v>4</v>
          </cell>
        </row>
        <row r="5">
          <cell r="A5">
            <v>3</v>
          </cell>
          <cell r="B5" t="str">
            <v>01</v>
          </cell>
          <cell r="C5" t="str">
            <v>01</v>
          </cell>
          <cell r="D5" t="str">
            <v>BPU01</v>
          </cell>
          <cell r="E5">
            <v>3</v>
          </cell>
          <cell r="F5" t="str">
            <v>01</v>
          </cell>
          <cell r="G5">
            <v>45296</v>
          </cell>
          <cell r="H5">
            <v>45297</v>
          </cell>
          <cell r="I5">
            <v>45297</v>
          </cell>
          <cell r="J5">
            <v>45297</v>
          </cell>
          <cell r="K5">
            <v>45314</v>
          </cell>
          <cell r="L5" t="str">
            <v>5.1.02.01.01.0024</v>
          </cell>
          <cell r="M5" t="str">
            <v>06.05.</v>
          </cell>
          <cell r="N5" t="str">
            <v>06.05.08.</v>
          </cell>
          <cell r="O5" t="str">
            <v>hardisk</v>
          </cell>
          <cell r="P5" t="str">
            <v>hardisk</v>
          </cell>
          <cell r="Q5" t="str">
            <v>Alat Tulis Kantor (ATK)</v>
          </cell>
          <cell r="R5" t="str">
            <v>Hardisk Siagate (Kapasitas 2TB -Port USB 3.0 -2.5 Inch)</v>
          </cell>
          <cell r="S5">
            <v>1</v>
          </cell>
          <cell r="T5" t="str">
            <v>buah</v>
          </cell>
          <cell r="U5">
            <v>2200000</v>
          </cell>
          <cell r="V5">
            <v>2200000</v>
          </cell>
          <cell r="W5" t="str">
            <v>UD. JOSUA</v>
          </cell>
          <cell r="X5" t="str">
            <v>Gestiwan Zebua</v>
          </cell>
          <cell r="Y5" t="str">
            <v>082166506229</v>
          </cell>
          <cell r="Z5" t="str">
            <v>Jl. Pasir Putih Pasar Telukdalam, Telukdalam Kab. Nias Selatan</v>
          </cell>
          <cell r="AG5">
            <v>1</v>
          </cell>
        </row>
        <row r="6">
          <cell r="A6">
            <v>4</v>
          </cell>
          <cell r="B6" t="str">
            <v>01</v>
          </cell>
          <cell r="C6" t="str">
            <v>01</v>
          </cell>
          <cell r="D6" t="str">
            <v>BPU01</v>
          </cell>
          <cell r="E6">
            <v>4</v>
          </cell>
          <cell r="F6" t="str">
            <v>01</v>
          </cell>
          <cell r="G6">
            <v>45296</v>
          </cell>
          <cell r="H6">
            <v>45297</v>
          </cell>
          <cell r="I6">
            <v>45297</v>
          </cell>
          <cell r="J6">
            <v>45297</v>
          </cell>
          <cell r="K6">
            <v>45314</v>
          </cell>
          <cell r="L6" t="str">
            <v>5.1.02.01.01.0024</v>
          </cell>
          <cell r="M6" t="str">
            <v>06.05.</v>
          </cell>
          <cell r="N6" t="str">
            <v>06.05.08.</v>
          </cell>
          <cell r="O6" t="str">
            <v>Stempel Cap</v>
          </cell>
          <cell r="P6" t="str">
            <v>Stempel Cap</v>
          </cell>
          <cell r="Q6" t="str">
            <v>Alat Tulis Kantor (ATK)</v>
          </cell>
          <cell r="R6" t="str">
            <v>Stempel Otomatis Diameter 40mm</v>
          </cell>
          <cell r="S6">
            <v>3</v>
          </cell>
          <cell r="T6" t="str">
            <v>buah</v>
          </cell>
          <cell r="U6">
            <v>120000</v>
          </cell>
          <cell r="V6">
            <v>360000</v>
          </cell>
          <cell r="W6" t="str">
            <v>UD. JOSUA</v>
          </cell>
          <cell r="X6" t="str">
            <v>Gestiwan Zebua</v>
          </cell>
          <cell r="Y6" t="str">
            <v>082166506229</v>
          </cell>
          <cell r="Z6" t="str">
            <v>Jl. Pasir Putih Pasar Telukdalam, Telukdalam Kab. Nias Selatan</v>
          </cell>
          <cell r="AG6">
            <v>1</v>
          </cell>
        </row>
        <row r="7">
          <cell r="A7">
            <v>5</v>
          </cell>
          <cell r="B7" t="str">
            <v>01</v>
          </cell>
          <cell r="C7" t="str">
            <v>01</v>
          </cell>
          <cell r="D7" t="str">
            <v>BPU01</v>
          </cell>
          <cell r="E7">
            <v>5</v>
          </cell>
          <cell r="F7" t="str">
            <v>01</v>
          </cell>
          <cell r="G7">
            <v>45296</v>
          </cell>
          <cell r="H7">
            <v>45297</v>
          </cell>
          <cell r="I7">
            <v>45297</v>
          </cell>
          <cell r="J7">
            <v>45297</v>
          </cell>
          <cell r="K7">
            <v>45314</v>
          </cell>
          <cell r="L7" t="str">
            <v>5.1.02.01.01.0024</v>
          </cell>
          <cell r="M7" t="str">
            <v>06.05.</v>
          </cell>
          <cell r="N7" t="str">
            <v>06.05.08.</v>
          </cell>
          <cell r="O7" t="str">
            <v>Stofmap Transparan tali</v>
          </cell>
          <cell r="P7" t="str">
            <v>Stofmap Transparan tali</v>
          </cell>
          <cell r="Q7" t="str">
            <v>Alat Tulis Kantor (ATK)</v>
          </cell>
          <cell r="R7" t="str">
            <v>Stofmap Transparan Tali (Length 5.0Cm, Width 5.0Cm, Height 5.0Cm, Weight 5Gr)</v>
          </cell>
          <cell r="S7">
            <v>100</v>
          </cell>
          <cell r="T7" t="str">
            <v>buah</v>
          </cell>
          <cell r="U7">
            <v>5500</v>
          </cell>
          <cell r="V7">
            <v>550000</v>
          </cell>
          <cell r="W7" t="str">
            <v>UD. JOSUA</v>
          </cell>
          <cell r="X7" t="str">
            <v>Gestiwan Zebua</v>
          </cell>
          <cell r="Y7" t="str">
            <v>082166506229</v>
          </cell>
          <cell r="Z7" t="str">
            <v>Jl. Pasir Putih Pasar Telukdalam, Telukdalam Kab. Nias Selatan</v>
          </cell>
          <cell r="AG7">
            <v>1</v>
          </cell>
        </row>
        <row r="8">
          <cell r="A8">
            <v>6</v>
          </cell>
          <cell r="B8" t="str">
            <v>01</v>
          </cell>
          <cell r="C8" t="str">
            <v>01</v>
          </cell>
          <cell r="D8" t="str">
            <v>BPU01</v>
          </cell>
          <cell r="E8">
            <v>6</v>
          </cell>
          <cell r="F8" t="str">
            <v>01</v>
          </cell>
          <cell r="G8">
            <v>45296</v>
          </cell>
          <cell r="H8">
            <v>45297</v>
          </cell>
          <cell r="I8">
            <v>45297</v>
          </cell>
          <cell r="J8">
            <v>45297</v>
          </cell>
          <cell r="K8">
            <v>45314</v>
          </cell>
          <cell r="L8" t="str">
            <v>5.1.02.01.01.0024</v>
          </cell>
          <cell r="M8" t="str">
            <v>06.05.</v>
          </cell>
          <cell r="N8" t="str">
            <v>06.05.08.</v>
          </cell>
          <cell r="O8" t="str">
            <v>Amplop Coklat Merk : GSU Ukuran Folio polos</v>
          </cell>
          <cell r="P8" t="str">
            <v>Amplop Coklat Merk : GSU Ukuran Folio polos</v>
          </cell>
          <cell r="Q8" t="str">
            <v>Alat Tulis Kantor (ATK)</v>
          </cell>
          <cell r="R8" t="str">
            <v>Amplop Coklat GSU Polos (Panjang: 25 cm. Lebar: 5 cm. Tinggi: 35 cm. Berat: 1000 gram)</v>
          </cell>
          <cell r="S8">
            <v>2</v>
          </cell>
          <cell r="T8" t="str">
            <v>bungkus</v>
          </cell>
          <cell r="U8">
            <v>60000</v>
          </cell>
          <cell r="V8">
            <v>120000</v>
          </cell>
          <cell r="W8" t="str">
            <v>UD. JOSUA</v>
          </cell>
          <cell r="X8" t="str">
            <v>Gestiwan Zebua</v>
          </cell>
          <cell r="Y8" t="str">
            <v>082166506229</v>
          </cell>
          <cell r="Z8" t="str">
            <v>Jl. Pasir Putih Pasar Telukdalam, Telukdalam Kab. Nias Selatan</v>
          </cell>
          <cell r="AG8">
            <v>1</v>
          </cell>
        </row>
        <row r="9">
          <cell r="A9">
            <v>7</v>
          </cell>
          <cell r="B9" t="str">
            <v>01</v>
          </cell>
          <cell r="C9" t="str">
            <v>01</v>
          </cell>
          <cell r="D9" t="str">
            <v>BPU01</v>
          </cell>
          <cell r="E9">
            <v>7</v>
          </cell>
          <cell r="F9" t="str">
            <v>01</v>
          </cell>
          <cell r="G9">
            <v>45296</v>
          </cell>
          <cell r="H9">
            <v>45297</v>
          </cell>
          <cell r="I9">
            <v>45297</v>
          </cell>
          <cell r="J9">
            <v>45297</v>
          </cell>
          <cell r="K9">
            <v>45314</v>
          </cell>
          <cell r="L9" t="str">
            <v>5.1.02.01.01.0024</v>
          </cell>
          <cell r="M9" t="str">
            <v>06.05.</v>
          </cell>
          <cell r="N9" t="str">
            <v>06.05.08.</v>
          </cell>
          <cell r="O9" t="str">
            <v>Stapler HD-10--</v>
          </cell>
          <cell r="P9" t="str">
            <v>Stapler HD-10--</v>
          </cell>
          <cell r="Q9" t="str">
            <v>Alat Tulis Kantor (ATK)</v>
          </cell>
          <cell r="R9" t="str">
            <v>Stapler Hd-10 (Size : 9.1 X 4.2 X 1.8 Cm, Berat. 0.07 Kg. Lebar. 10.0 Cm. Tinggi. 3.5 Cm)</v>
          </cell>
          <cell r="S9">
            <v>2</v>
          </cell>
          <cell r="T9" t="str">
            <v>buah</v>
          </cell>
          <cell r="U9">
            <v>20000</v>
          </cell>
          <cell r="V9">
            <v>40000</v>
          </cell>
          <cell r="W9" t="str">
            <v>UD. JOSUA</v>
          </cell>
          <cell r="X9" t="str">
            <v>Gestiwan Zebua</v>
          </cell>
          <cell r="Y9" t="str">
            <v>082166506229</v>
          </cell>
          <cell r="Z9" t="str">
            <v>Jl. Pasir Putih Pasar Telukdalam, Telukdalam Kab. Nias Selatan</v>
          </cell>
          <cell r="AG9">
            <v>1</v>
          </cell>
        </row>
        <row r="10">
          <cell r="A10">
            <v>8</v>
          </cell>
          <cell r="B10" t="str">
            <v>01</v>
          </cell>
          <cell r="C10" t="str">
            <v>01</v>
          </cell>
          <cell r="D10" t="str">
            <v>BPU01</v>
          </cell>
          <cell r="E10">
            <v>8</v>
          </cell>
          <cell r="F10" t="str">
            <v>01</v>
          </cell>
          <cell r="G10">
            <v>45296</v>
          </cell>
          <cell r="H10">
            <v>45297</v>
          </cell>
          <cell r="I10">
            <v>45297</v>
          </cell>
          <cell r="J10">
            <v>45297</v>
          </cell>
          <cell r="K10">
            <v>45314</v>
          </cell>
          <cell r="L10" t="str">
            <v>5.1.02.01.01.0024</v>
          </cell>
          <cell r="M10" t="str">
            <v>06.05.</v>
          </cell>
          <cell r="N10" t="str">
            <v>06.05.08.</v>
          </cell>
          <cell r="O10" t="str">
            <v>Kertas Lain-Lain Kertas Buffalo</v>
          </cell>
          <cell r="P10" t="str">
            <v>Kertas Lain-Lain Kertas Buffalo</v>
          </cell>
          <cell r="Q10" t="str">
            <v>Alat Tulis Kantor (ATK)</v>
          </cell>
          <cell r="R10" t="str">
            <v>Kertas Buffalo F4 (Length 21.0Cm, Width 33.0Cm, Height 7.0Cm, Weight 1006Gr)</v>
          </cell>
          <cell r="S10">
            <v>5</v>
          </cell>
          <cell r="T10" t="str">
            <v>bungkus</v>
          </cell>
          <cell r="U10">
            <v>31000</v>
          </cell>
          <cell r="V10">
            <v>155000</v>
          </cell>
          <cell r="W10" t="str">
            <v>UD. JOSUA</v>
          </cell>
          <cell r="X10" t="str">
            <v>Gestiwan Zebua</v>
          </cell>
          <cell r="Y10" t="str">
            <v>082166506229</v>
          </cell>
          <cell r="Z10" t="str">
            <v>Jl. Pasir Putih Pasar Telukdalam, Telukdalam Kab. Nias Selatan</v>
          </cell>
          <cell r="AG10">
            <v>1</v>
          </cell>
        </row>
        <row r="11">
          <cell r="A11">
            <v>9</v>
          </cell>
          <cell r="B11" t="str">
            <v>01</v>
          </cell>
          <cell r="C11" t="str">
            <v>01</v>
          </cell>
          <cell r="D11" t="str">
            <v>BPU01</v>
          </cell>
          <cell r="E11">
            <v>9</v>
          </cell>
          <cell r="F11" t="str">
            <v>01</v>
          </cell>
          <cell r="G11">
            <v>45296</v>
          </cell>
          <cell r="H11">
            <v>45297</v>
          </cell>
          <cell r="I11">
            <v>45297</v>
          </cell>
          <cell r="J11">
            <v>45297</v>
          </cell>
          <cell r="K11">
            <v>45314</v>
          </cell>
          <cell r="L11" t="str">
            <v>5.1.02.01.01.0024</v>
          </cell>
          <cell r="M11" t="str">
            <v>06.05.</v>
          </cell>
          <cell r="N11" t="str">
            <v>06.05.08.</v>
          </cell>
          <cell r="O11" t="str">
            <v>Bantalan Cap Kecil</v>
          </cell>
          <cell r="P11" t="str">
            <v>Bantalan Cap Kecil</v>
          </cell>
          <cell r="Q11" t="str">
            <v>Alat Tulis Kantor (ATK)</v>
          </cell>
          <cell r="R11" t="str">
            <v>Bantalan Cap Kecil ( Dimensi, 8Cm X 11Cm X 2Cm. Berat, 48G.)</v>
          </cell>
          <cell r="S11">
            <v>5</v>
          </cell>
          <cell r="T11" t="str">
            <v>buah</v>
          </cell>
          <cell r="U11">
            <v>10000</v>
          </cell>
          <cell r="V11">
            <v>50000</v>
          </cell>
          <cell r="W11" t="str">
            <v>UD. JOSUA</v>
          </cell>
          <cell r="X11" t="str">
            <v>Gestiwan Zebua</v>
          </cell>
          <cell r="Y11" t="str">
            <v>082166506229</v>
          </cell>
          <cell r="Z11" t="str">
            <v>Jl. Pasir Putih Pasar Telukdalam, Telukdalam Kab. Nias Selatan</v>
          </cell>
          <cell r="AG11">
            <v>1</v>
          </cell>
        </row>
        <row r="12">
          <cell r="A12">
            <v>10</v>
          </cell>
          <cell r="B12" t="str">
            <v>01</v>
          </cell>
          <cell r="C12" t="str">
            <v>01</v>
          </cell>
          <cell r="D12" t="str">
            <v>BPU01</v>
          </cell>
          <cell r="E12">
            <v>10</v>
          </cell>
          <cell r="F12" t="str">
            <v>01</v>
          </cell>
          <cell r="G12">
            <v>45296</v>
          </cell>
          <cell r="H12">
            <v>45297</v>
          </cell>
          <cell r="I12">
            <v>45297</v>
          </cell>
          <cell r="J12">
            <v>45297</v>
          </cell>
          <cell r="K12">
            <v>45314</v>
          </cell>
          <cell r="L12" t="str">
            <v>5.1.02.01.01.0024</v>
          </cell>
          <cell r="M12" t="str">
            <v>06.05.</v>
          </cell>
          <cell r="N12" t="str">
            <v>06.05.08.</v>
          </cell>
          <cell r="O12" t="str">
            <v>Baterey Kecil</v>
          </cell>
          <cell r="P12" t="str">
            <v>Baterey Kecil</v>
          </cell>
          <cell r="Q12" t="str">
            <v>Alat Tulis Kantor (ATK)</v>
          </cell>
          <cell r="R12" t="str">
            <v>Baterey Kecil (Type: Aa; Tegangan: 1.5 Volt; Ukuran: 14 X 50 Mm)</v>
          </cell>
          <cell r="S12">
            <v>2</v>
          </cell>
          <cell r="T12" t="str">
            <v>pasang</v>
          </cell>
          <cell r="U12">
            <v>20000</v>
          </cell>
          <cell r="V12">
            <v>40000</v>
          </cell>
          <cell r="W12" t="str">
            <v>UD. JOSUA</v>
          </cell>
          <cell r="X12" t="str">
            <v>Gestiwan Zebua</v>
          </cell>
          <cell r="Y12" t="str">
            <v>082166506229</v>
          </cell>
          <cell r="Z12" t="str">
            <v>Jl. Pasir Putih Pasar Telukdalam, Telukdalam Kab. Nias Selatan</v>
          </cell>
          <cell r="AG12">
            <v>1</v>
          </cell>
        </row>
        <row r="13">
          <cell r="A13">
            <v>11</v>
          </cell>
          <cell r="B13" t="str">
            <v>01</v>
          </cell>
          <cell r="C13" t="str">
            <v>01</v>
          </cell>
          <cell r="D13" t="str">
            <v>BPU01</v>
          </cell>
          <cell r="E13">
            <v>11</v>
          </cell>
          <cell r="F13" t="str">
            <v>01</v>
          </cell>
          <cell r="G13">
            <v>45296</v>
          </cell>
          <cell r="H13">
            <v>45297</v>
          </cell>
          <cell r="I13">
            <v>45297</v>
          </cell>
          <cell r="J13">
            <v>45297</v>
          </cell>
          <cell r="K13">
            <v>45314</v>
          </cell>
          <cell r="L13" t="str">
            <v>5.1.02.01.01.0024</v>
          </cell>
          <cell r="M13" t="str">
            <v>06.05.</v>
          </cell>
          <cell r="N13" t="str">
            <v>06.05.08.</v>
          </cell>
          <cell r="O13" t="str">
            <v>Tinta Printer Canon 741 Warna-741 Warna</v>
          </cell>
          <cell r="P13" t="str">
            <v>Tinta Printer Canon 741 Warna-741 Warna</v>
          </cell>
          <cell r="Q13" t="str">
            <v>Alat Tulis Kantor (ATK)</v>
          </cell>
          <cell r="R13" t="str">
            <v>Tinta Printer Canon Aiflo Warna (Length 5.0Cm, Width 5.0Cm, Height 5.0Cm, Weight 5Gr)</v>
          </cell>
          <cell r="S13">
            <v>12</v>
          </cell>
          <cell r="T13" t="str">
            <v>botol</v>
          </cell>
          <cell r="U13">
            <v>33000</v>
          </cell>
          <cell r="V13">
            <v>396000</v>
          </cell>
          <cell r="W13" t="str">
            <v>UD. JOSUA</v>
          </cell>
          <cell r="X13" t="str">
            <v>Gestiwan Zebua</v>
          </cell>
          <cell r="Y13" t="str">
            <v>082166506229</v>
          </cell>
          <cell r="Z13" t="str">
            <v>Jl. Pasir Putih Pasar Telukdalam, Telukdalam Kab. Nias Selatan</v>
          </cell>
          <cell r="AG13">
            <v>1</v>
          </cell>
        </row>
        <row r="14">
          <cell r="A14">
            <v>12</v>
          </cell>
          <cell r="B14" t="str">
            <v>01</v>
          </cell>
          <cell r="C14" t="str">
            <v>01</v>
          </cell>
          <cell r="D14" t="str">
            <v>BPU01</v>
          </cell>
          <cell r="E14">
            <v>12</v>
          </cell>
          <cell r="F14" t="str">
            <v>01</v>
          </cell>
          <cell r="G14">
            <v>45296</v>
          </cell>
          <cell r="H14">
            <v>45297</v>
          </cell>
          <cell r="I14">
            <v>45297</v>
          </cell>
          <cell r="J14">
            <v>45297</v>
          </cell>
          <cell r="K14">
            <v>45314</v>
          </cell>
          <cell r="L14" t="str">
            <v>5.1.02.01.01.0024</v>
          </cell>
          <cell r="M14" t="str">
            <v>06.05.</v>
          </cell>
          <cell r="N14" t="str">
            <v>06.05.08.</v>
          </cell>
          <cell r="O14" t="str">
            <v xml:space="preserve">Lakban Bening </v>
          </cell>
          <cell r="P14" t="str">
            <v>Lakban Bening Besar</v>
          </cell>
          <cell r="Q14" t="str">
            <v>Alat Tulis Kantor (ATK)</v>
          </cell>
          <cell r="R14" t="str">
            <v>Lakban Bening Besar (Length 5.0Cm, Width 5.0Cm, Height 5.0Cm, Weight 5Gr)</v>
          </cell>
          <cell r="S14">
            <v>5</v>
          </cell>
          <cell r="T14" t="str">
            <v>buah</v>
          </cell>
          <cell r="U14">
            <v>15000</v>
          </cell>
          <cell r="V14">
            <v>75000</v>
          </cell>
          <cell r="W14" t="str">
            <v>UD. JOSUA</v>
          </cell>
          <cell r="X14" t="str">
            <v>Gestiwan Zebua</v>
          </cell>
          <cell r="Y14" t="str">
            <v>082166506229</v>
          </cell>
          <cell r="Z14" t="str">
            <v>Jl. Pasir Putih Pasar Telukdalam, Telukdalam Kab. Nias Selatan</v>
          </cell>
          <cell r="AG14">
            <v>1</v>
          </cell>
        </row>
        <row r="15">
          <cell r="A15">
            <v>13</v>
          </cell>
          <cell r="B15" t="str">
            <v>01</v>
          </cell>
          <cell r="C15" t="str">
            <v>01</v>
          </cell>
          <cell r="D15" t="str">
            <v>BPU01</v>
          </cell>
          <cell r="E15">
            <v>13</v>
          </cell>
          <cell r="F15" t="str">
            <v>01</v>
          </cell>
          <cell r="G15">
            <v>45296</v>
          </cell>
          <cell r="H15">
            <v>45297</v>
          </cell>
          <cell r="I15">
            <v>45297</v>
          </cell>
          <cell r="J15">
            <v>45297</v>
          </cell>
          <cell r="K15">
            <v>45314</v>
          </cell>
          <cell r="L15" t="str">
            <v>5.1.02.01.01.0024</v>
          </cell>
          <cell r="M15" t="str">
            <v>06.05.</v>
          </cell>
          <cell r="N15" t="str">
            <v>06.05.08.</v>
          </cell>
          <cell r="O15" t="str">
            <v>Plastik Mika</v>
          </cell>
          <cell r="P15" t="str">
            <v>Plastik Mika</v>
          </cell>
          <cell r="Q15" t="str">
            <v>Alat Tulis Kantor (ATK)</v>
          </cell>
          <cell r="R15" t="str">
            <v>Plastik Mika Jilid F4 (Length 21.0Cm, Width 33.0Cm, Height 7.0Cm, Weight 548Gr)</v>
          </cell>
          <cell r="S15">
            <v>5</v>
          </cell>
          <cell r="T15" t="str">
            <v>buah</v>
          </cell>
          <cell r="U15">
            <v>10000</v>
          </cell>
          <cell r="V15">
            <v>300000</v>
          </cell>
          <cell r="W15" t="str">
            <v>UD. JOSUA</v>
          </cell>
          <cell r="X15" t="str">
            <v>Gestiwan Zebua</v>
          </cell>
          <cell r="Y15" t="str">
            <v>082166506229</v>
          </cell>
          <cell r="Z15" t="str">
            <v>Jl. Pasir Putih Pasar Telukdalam, Telukdalam Kab. Nias Selatan</v>
          </cell>
          <cell r="AG15">
            <v>1</v>
          </cell>
        </row>
        <row r="16">
          <cell r="A16">
            <v>14</v>
          </cell>
          <cell r="B16" t="str">
            <v>01</v>
          </cell>
          <cell r="C16" t="str">
            <v>01</v>
          </cell>
          <cell r="D16" t="str">
            <v>BPU01</v>
          </cell>
          <cell r="E16">
            <v>14</v>
          </cell>
          <cell r="F16" t="str">
            <v>01</v>
          </cell>
          <cell r="G16">
            <v>45296</v>
          </cell>
          <cell r="H16">
            <v>45297</v>
          </cell>
          <cell r="I16">
            <v>45297</v>
          </cell>
          <cell r="J16">
            <v>45297</v>
          </cell>
          <cell r="K16">
            <v>45314</v>
          </cell>
          <cell r="L16" t="str">
            <v>5.1.02.01.01.0024</v>
          </cell>
          <cell r="M16" t="str">
            <v>06.05.</v>
          </cell>
          <cell r="N16" t="str">
            <v>06.05.08.</v>
          </cell>
          <cell r="O16" t="str">
            <v>Bantalan Cap Besar</v>
          </cell>
          <cell r="P16" t="str">
            <v>Bantalan Cap Besar</v>
          </cell>
          <cell r="Q16" t="str">
            <v>Alat Tulis Kantor (ATK)</v>
          </cell>
          <cell r="R16" t="str">
            <v>Bantalan Cap Besar (Berat Produk 1 Kg, Panjang Produk 12 Cm, Lebar Produk 8 Cm, Tinggi Produk 12 Cm)</v>
          </cell>
          <cell r="S16">
            <v>5</v>
          </cell>
          <cell r="T16" t="str">
            <v>buah</v>
          </cell>
          <cell r="U16">
            <v>15000</v>
          </cell>
          <cell r="V16">
            <v>75000</v>
          </cell>
          <cell r="W16" t="str">
            <v>UD. JOSUA</v>
          </cell>
          <cell r="X16" t="str">
            <v>Gestiwan Zebua</v>
          </cell>
          <cell r="Y16" t="str">
            <v>082166506229</v>
          </cell>
          <cell r="Z16" t="str">
            <v>Jl. Pasir Putih Pasar Telukdalam, Telukdalam Kab. Nias Selatan</v>
          </cell>
          <cell r="AG16">
            <v>1</v>
          </cell>
        </row>
        <row r="17">
          <cell r="A17">
            <v>15</v>
          </cell>
          <cell r="B17" t="str">
            <v>01</v>
          </cell>
          <cell r="C17" t="str">
            <v>01</v>
          </cell>
          <cell r="D17" t="str">
            <v>BPU01</v>
          </cell>
          <cell r="E17">
            <v>15</v>
          </cell>
          <cell r="F17" t="str">
            <v>01</v>
          </cell>
          <cell r="G17">
            <v>45296</v>
          </cell>
          <cell r="H17">
            <v>45297</v>
          </cell>
          <cell r="I17">
            <v>45297</v>
          </cell>
          <cell r="J17">
            <v>45297</v>
          </cell>
          <cell r="K17">
            <v>45314</v>
          </cell>
          <cell r="L17" t="str">
            <v>5.1.02.01.01.0024</v>
          </cell>
          <cell r="M17" t="str">
            <v>06.05.</v>
          </cell>
          <cell r="N17" t="str">
            <v>06.05.08.</v>
          </cell>
          <cell r="O17" t="str">
            <v>Binder Klip  nomor 107</v>
          </cell>
          <cell r="P17" t="str">
            <v>Binder Klip  nomor 107</v>
          </cell>
          <cell r="Q17" t="str">
            <v>Alat Tulis Kantor (ATK)</v>
          </cell>
          <cell r="R17" t="str">
            <v>Binder Klip 107 (Merk : Joyko. Size : 40 x 19 x 17 mm. Berat : 0.1 kg.)</v>
          </cell>
          <cell r="S17">
            <v>5</v>
          </cell>
          <cell r="T17" t="str">
            <v>kotak</v>
          </cell>
          <cell r="U17">
            <v>7500</v>
          </cell>
          <cell r="V17">
            <v>37500</v>
          </cell>
          <cell r="W17" t="str">
            <v>UD. JOSUA</v>
          </cell>
          <cell r="X17" t="str">
            <v>Gestiwan Zebua</v>
          </cell>
          <cell r="Y17" t="str">
            <v>082166506229</v>
          </cell>
          <cell r="Z17" t="str">
            <v>Jl. Pasir Putih Pasar Telukdalam, Telukdalam Kab. Nias Selatan</v>
          </cell>
          <cell r="AG17">
            <v>1</v>
          </cell>
        </row>
        <row r="18">
          <cell r="A18">
            <v>16</v>
          </cell>
          <cell r="B18" t="str">
            <v>01</v>
          </cell>
          <cell r="C18" t="str">
            <v>01</v>
          </cell>
          <cell r="D18" t="str">
            <v>BPU01</v>
          </cell>
          <cell r="E18">
            <v>16</v>
          </cell>
          <cell r="F18" t="str">
            <v>01</v>
          </cell>
          <cell r="G18">
            <v>45296</v>
          </cell>
          <cell r="H18">
            <v>45297</v>
          </cell>
          <cell r="I18">
            <v>45297</v>
          </cell>
          <cell r="J18">
            <v>45297</v>
          </cell>
          <cell r="K18">
            <v>45314</v>
          </cell>
          <cell r="L18" t="str">
            <v>5.1.02.01.01.0024</v>
          </cell>
          <cell r="M18" t="str">
            <v>06.05.</v>
          </cell>
          <cell r="N18" t="str">
            <v>06.05.08.</v>
          </cell>
          <cell r="O18" t="str">
            <v>Amplop Coklat Merk : Garda Ukuran Cabinet</v>
          </cell>
          <cell r="P18" t="str">
            <v>Amplop Coklat Merk : Garda Ukuran Cabinet</v>
          </cell>
          <cell r="Q18" t="str">
            <v>Alat Tulis Kantor (ATK)</v>
          </cell>
          <cell r="R18" t="str">
            <v>Amplop Coklat (Merk : Garda Ukuran Cabinet. Ukuran : 110 x 240 mm. Isi : 100 lbr)</v>
          </cell>
          <cell r="S18">
            <v>3</v>
          </cell>
          <cell r="T18" t="str">
            <v>bungkus</v>
          </cell>
          <cell r="U18">
            <v>23000</v>
          </cell>
          <cell r="V18">
            <v>69000</v>
          </cell>
          <cell r="W18" t="str">
            <v>UD. JOSUA</v>
          </cell>
          <cell r="X18" t="str">
            <v>Gestiwan Zebua</v>
          </cell>
          <cell r="Y18" t="str">
            <v>082166506229</v>
          </cell>
          <cell r="Z18" t="str">
            <v>Jl. Pasir Putih Pasar Telukdalam, Telukdalam Kab. Nias Selatan</v>
          </cell>
          <cell r="AG18">
            <v>1</v>
          </cell>
        </row>
        <row r="19">
          <cell r="A19">
            <v>17</v>
          </cell>
          <cell r="B19" t="str">
            <v>01</v>
          </cell>
          <cell r="C19" t="str">
            <v>01</v>
          </cell>
          <cell r="D19" t="str">
            <v>BPU01</v>
          </cell>
          <cell r="E19">
            <v>17</v>
          </cell>
          <cell r="F19" t="str">
            <v>01</v>
          </cell>
          <cell r="G19">
            <v>45296</v>
          </cell>
          <cell r="H19">
            <v>45297</v>
          </cell>
          <cell r="I19">
            <v>45297</v>
          </cell>
          <cell r="J19">
            <v>45297</v>
          </cell>
          <cell r="K19">
            <v>45314</v>
          </cell>
          <cell r="L19" t="str">
            <v>5.1.02.01.01.0024</v>
          </cell>
          <cell r="M19" t="str">
            <v>06.05.</v>
          </cell>
          <cell r="N19" t="str">
            <v>06.05.08.</v>
          </cell>
          <cell r="O19" t="str">
            <v>Kertas Label</v>
          </cell>
          <cell r="P19" t="str">
            <v>Kertas Label</v>
          </cell>
          <cell r="Q19" t="str">
            <v>Alat Tulis Kantor (ATK)</v>
          </cell>
          <cell r="R19" t="str">
            <v>Kertas Label (Dimensi, 14cm x 20.5cm x 0.2cm. Berat, 50g. Kertas Sticker label kecil panjang no 99 (0,5cm x 3,5cm))</v>
          </cell>
          <cell r="S19">
            <v>5</v>
          </cell>
          <cell r="T19" t="str">
            <v>lembar</v>
          </cell>
          <cell r="U19">
            <v>25000</v>
          </cell>
          <cell r="V19">
            <v>125000</v>
          </cell>
          <cell r="W19" t="str">
            <v>UD. JOSUA</v>
          </cell>
          <cell r="X19" t="str">
            <v>Gestiwan Zebua</v>
          </cell>
          <cell r="Y19" t="str">
            <v>082166506229</v>
          </cell>
          <cell r="Z19" t="str">
            <v>Jl. Pasir Putih Pasar Telukdalam, Telukdalam Kab. Nias Selatan</v>
          </cell>
          <cell r="AG19">
            <v>1</v>
          </cell>
        </row>
        <row r="20">
          <cell r="A20">
            <v>18</v>
          </cell>
          <cell r="B20" t="str">
            <v>01</v>
          </cell>
          <cell r="C20" t="str">
            <v>01</v>
          </cell>
          <cell r="D20" t="str">
            <v>BPU01</v>
          </cell>
          <cell r="E20">
            <v>18</v>
          </cell>
          <cell r="F20" t="str">
            <v>01</v>
          </cell>
          <cell r="G20">
            <v>45296</v>
          </cell>
          <cell r="H20">
            <v>45297</v>
          </cell>
          <cell r="I20">
            <v>45297</v>
          </cell>
          <cell r="J20">
            <v>45297</v>
          </cell>
          <cell r="K20">
            <v>45314</v>
          </cell>
          <cell r="L20" t="str">
            <v>5.1.02.01.01.0024</v>
          </cell>
          <cell r="M20" t="str">
            <v>06.05.</v>
          </cell>
          <cell r="N20" t="str">
            <v>06.05.08.</v>
          </cell>
          <cell r="O20" t="str">
            <v>Spidol Refil Spidol White Board Snowman</v>
          </cell>
          <cell r="P20" t="str">
            <v>Spidol Refil Spidol White Board Snowman</v>
          </cell>
          <cell r="Q20" t="str">
            <v>Alat Tulis Kantor (ATK)</v>
          </cell>
          <cell r="R20" t="str">
            <v>Spidol Refil Spidol White Board Snowman (Panjang. : 10 Cm ; Lebar. : 5 Cm ; Tinggi. : 7 Cm ; Berat. : 500 Gr)</v>
          </cell>
          <cell r="S20">
            <v>10</v>
          </cell>
          <cell r="T20" t="str">
            <v>buah</v>
          </cell>
          <cell r="U20">
            <v>20900</v>
          </cell>
          <cell r="V20">
            <v>209000</v>
          </cell>
          <cell r="W20" t="str">
            <v>UD. JOSUA</v>
          </cell>
          <cell r="X20" t="str">
            <v>Gestiwan Zebua</v>
          </cell>
          <cell r="Y20" t="str">
            <v>082166506229</v>
          </cell>
          <cell r="Z20" t="str">
            <v>Jl. Pasir Putih Pasar Telukdalam, Telukdalam Kab. Nias Selatan</v>
          </cell>
          <cell r="AG20">
            <v>1</v>
          </cell>
        </row>
        <row r="21">
          <cell r="A21">
            <v>19</v>
          </cell>
          <cell r="B21" t="str">
            <v>01</v>
          </cell>
          <cell r="C21" t="str">
            <v>01</v>
          </cell>
          <cell r="D21" t="str">
            <v>BPU01</v>
          </cell>
          <cell r="E21">
            <v>19</v>
          </cell>
          <cell r="F21" t="str">
            <v>01</v>
          </cell>
          <cell r="G21">
            <v>45296</v>
          </cell>
          <cell r="H21">
            <v>45297</v>
          </cell>
          <cell r="I21">
            <v>45297</v>
          </cell>
          <cell r="J21">
            <v>45297</v>
          </cell>
          <cell r="K21">
            <v>45314</v>
          </cell>
          <cell r="L21" t="str">
            <v>5.1.02.01.01.0024</v>
          </cell>
          <cell r="M21" t="str">
            <v>06.05.</v>
          </cell>
          <cell r="N21" t="str">
            <v>06.05.08.</v>
          </cell>
          <cell r="O21" t="str">
            <v>Binder Klip Merk : KENKO nomor 105</v>
          </cell>
          <cell r="P21" t="str">
            <v>Binder Klip Merk : KENKO nomor 105</v>
          </cell>
          <cell r="Q21" t="str">
            <v>Alat Tulis Kantor (ATK)</v>
          </cell>
          <cell r="R21" t="str">
            <v>Binder Klip (Merk : Kenko Nomor 105 - Bahan : Besi - Ukuran : 15 x 25 mm - Isi : 12 Pcs - Berat : 35 Gram)</v>
          </cell>
          <cell r="S21">
            <v>2</v>
          </cell>
          <cell r="T21" t="str">
            <v>kotak</v>
          </cell>
          <cell r="U21">
            <v>5000</v>
          </cell>
          <cell r="V21">
            <v>10000</v>
          </cell>
          <cell r="W21" t="str">
            <v>UD. JOSUA</v>
          </cell>
          <cell r="X21" t="str">
            <v>Gestiwan Zebua</v>
          </cell>
          <cell r="Y21" t="str">
            <v>082166506229</v>
          </cell>
          <cell r="Z21" t="str">
            <v>Jl. Pasir Putih Pasar Telukdalam, Telukdalam Kab. Nias Selatan</v>
          </cell>
          <cell r="AG21">
            <v>1</v>
          </cell>
        </row>
        <row r="22">
          <cell r="A22">
            <v>20</v>
          </cell>
          <cell r="B22" t="str">
            <v>01</v>
          </cell>
          <cell r="C22" t="str">
            <v>01</v>
          </cell>
          <cell r="D22" t="str">
            <v>BPU01</v>
          </cell>
          <cell r="E22">
            <v>20</v>
          </cell>
          <cell r="F22" t="str">
            <v>01</v>
          </cell>
          <cell r="G22">
            <v>45296</v>
          </cell>
          <cell r="H22">
            <v>45297</v>
          </cell>
          <cell r="I22">
            <v>45297</v>
          </cell>
          <cell r="J22">
            <v>45297</v>
          </cell>
          <cell r="K22">
            <v>45314</v>
          </cell>
          <cell r="L22" t="str">
            <v>5.1.02.01.01.0024</v>
          </cell>
          <cell r="M22" t="str">
            <v>06.05.</v>
          </cell>
          <cell r="N22" t="str">
            <v>06.05.08.</v>
          </cell>
          <cell r="O22" t="str">
            <v>Ballpoint Pilot G2</v>
          </cell>
          <cell r="P22" t="str">
            <v>Ballpoint Pilot G2</v>
          </cell>
          <cell r="Q22" t="str">
            <v>Alat Tulis Kantor (ATK)</v>
          </cell>
          <cell r="R22" t="str">
            <v>Ballpoint Pilot G2 (Length 5.0Cm, Width 5.0Cm, Height 5.0Cm, Weight 5Gr)</v>
          </cell>
          <cell r="S22">
            <v>1</v>
          </cell>
          <cell r="T22" t="str">
            <v>lusin</v>
          </cell>
          <cell r="U22">
            <v>235000</v>
          </cell>
          <cell r="V22">
            <v>235000</v>
          </cell>
          <cell r="W22" t="str">
            <v>UD. JOSUA</v>
          </cell>
          <cell r="X22" t="str">
            <v>Gestiwan Zebua</v>
          </cell>
          <cell r="Y22" t="str">
            <v>082166506229</v>
          </cell>
          <cell r="Z22" t="str">
            <v>Jl. Pasir Putih Pasar Telukdalam, Telukdalam Kab. Nias Selatan</v>
          </cell>
          <cell r="AG22">
            <v>1</v>
          </cell>
        </row>
        <row r="23">
          <cell r="A23">
            <v>21</v>
          </cell>
          <cell r="B23" t="str">
            <v>01</v>
          </cell>
          <cell r="C23" t="str">
            <v>01</v>
          </cell>
          <cell r="D23" t="str">
            <v>BPU01</v>
          </cell>
          <cell r="E23">
            <v>21</v>
          </cell>
          <cell r="F23" t="str">
            <v>01</v>
          </cell>
          <cell r="G23">
            <v>45296</v>
          </cell>
          <cell r="H23">
            <v>45297</v>
          </cell>
          <cell r="I23">
            <v>45297</v>
          </cell>
          <cell r="J23">
            <v>45297</v>
          </cell>
          <cell r="K23">
            <v>45314</v>
          </cell>
          <cell r="L23" t="str">
            <v>5.1.02.01.01.0024</v>
          </cell>
          <cell r="M23" t="str">
            <v>06.05.</v>
          </cell>
          <cell r="N23" t="str">
            <v>06.05.08.</v>
          </cell>
          <cell r="O23" t="str">
            <v>Ballpoint Boldiner Standar</v>
          </cell>
          <cell r="P23" t="str">
            <v>Ballpoint Boldiner Standar</v>
          </cell>
          <cell r="Q23" t="str">
            <v>Alat Tulis Kantor (ATK)</v>
          </cell>
          <cell r="R23" t="str">
            <v xml:space="preserve">Ballpoint Boldiner Standar  (Satuan. 300 Gram ; Dimensi Ukuran. 15X5X7.5Cm. (Berat Volume: 0.09Kg) </v>
          </cell>
          <cell r="S23">
            <v>2</v>
          </cell>
          <cell r="T23" t="str">
            <v>lusin</v>
          </cell>
          <cell r="U23">
            <v>225000</v>
          </cell>
          <cell r="V23">
            <v>450000</v>
          </cell>
          <cell r="W23" t="str">
            <v>UD. JOSUA</v>
          </cell>
          <cell r="X23" t="str">
            <v>Gestiwan Zebua</v>
          </cell>
          <cell r="Y23" t="str">
            <v>082166506229</v>
          </cell>
          <cell r="Z23" t="str">
            <v>Jl. Pasir Putih Pasar Telukdalam, Telukdalam Kab. Nias Selatan</v>
          </cell>
          <cell r="AG23">
            <v>1</v>
          </cell>
        </row>
        <row r="24">
          <cell r="A24">
            <v>22</v>
          </cell>
          <cell r="B24" t="str">
            <v>01</v>
          </cell>
          <cell r="C24" t="str">
            <v>01</v>
          </cell>
          <cell r="D24" t="str">
            <v>BPU01</v>
          </cell>
          <cell r="E24">
            <v>22</v>
          </cell>
          <cell r="F24" t="str">
            <v>01</v>
          </cell>
          <cell r="G24">
            <v>45296</v>
          </cell>
          <cell r="H24">
            <v>45297</v>
          </cell>
          <cell r="I24">
            <v>45297</v>
          </cell>
          <cell r="J24">
            <v>45297</v>
          </cell>
          <cell r="K24">
            <v>45314</v>
          </cell>
          <cell r="L24" t="str">
            <v>5.1.02.01.01.0024</v>
          </cell>
          <cell r="M24" t="str">
            <v>06.05.</v>
          </cell>
          <cell r="N24" t="str">
            <v>06.05.08.</v>
          </cell>
          <cell r="O24" t="str">
            <v>C. Tinta Printer EPSON Tinta Printer Epson Blue</v>
          </cell>
          <cell r="P24" t="str">
            <v>C. Tinta Printer EPSON Tinta Printer Epson Blue</v>
          </cell>
          <cell r="Q24" t="str">
            <v>Alat Tulis Kantor (ATK)</v>
          </cell>
          <cell r="R24" t="str">
            <v>Tinta Printer Epson 664 Biru (Length 5.0Cm, Width 5.0Cm, Height 5.0Cm, Weight 5Gr)</v>
          </cell>
          <cell r="S24">
            <v>4</v>
          </cell>
          <cell r="T24" t="str">
            <v>botol</v>
          </cell>
          <cell r="U24">
            <v>110000</v>
          </cell>
          <cell r="V24">
            <v>440000</v>
          </cell>
          <cell r="W24" t="str">
            <v>UD. JOSUA</v>
          </cell>
          <cell r="X24" t="str">
            <v>Gestiwan Zebua</v>
          </cell>
          <cell r="Y24" t="str">
            <v>082166506229</v>
          </cell>
          <cell r="Z24" t="str">
            <v>Jl. Pasir Putih Pasar Telukdalam, Telukdalam Kab. Nias Selatan</v>
          </cell>
          <cell r="AG24">
            <v>1</v>
          </cell>
        </row>
        <row r="25">
          <cell r="A25">
            <v>23</v>
          </cell>
          <cell r="B25" t="str">
            <v>01</v>
          </cell>
          <cell r="C25" t="str">
            <v>01</v>
          </cell>
          <cell r="D25" t="str">
            <v>BPU01</v>
          </cell>
          <cell r="E25">
            <v>23</v>
          </cell>
          <cell r="F25" t="str">
            <v>01</v>
          </cell>
          <cell r="G25">
            <v>45296</v>
          </cell>
          <cell r="H25">
            <v>45297</v>
          </cell>
          <cell r="I25">
            <v>45297</v>
          </cell>
          <cell r="J25">
            <v>45297</v>
          </cell>
          <cell r="K25">
            <v>45314</v>
          </cell>
          <cell r="L25" t="str">
            <v>5.1.02.01.01.0024</v>
          </cell>
          <cell r="M25" t="str">
            <v>06.05.</v>
          </cell>
          <cell r="N25" t="str">
            <v>06.05.08.</v>
          </cell>
          <cell r="O25" t="str">
            <v>Map Binder</v>
          </cell>
          <cell r="P25" t="str">
            <v>Map Binder</v>
          </cell>
          <cell r="Q25" t="str">
            <v>Alat Tulis Kantor (ATK)</v>
          </cell>
          <cell r="R25" t="str">
            <v>Map Binder (Length 5.0Cm, Width 5.0Cm, Height 5.0Cm, Weight 5Gr)</v>
          </cell>
          <cell r="S25">
            <v>12</v>
          </cell>
          <cell r="T25" t="str">
            <v>buah</v>
          </cell>
          <cell r="U25">
            <v>35500</v>
          </cell>
          <cell r="V25">
            <v>426000</v>
          </cell>
          <cell r="W25" t="str">
            <v>UD. JOSUA</v>
          </cell>
          <cell r="X25" t="str">
            <v>Gestiwan Zebua</v>
          </cell>
          <cell r="Y25" t="str">
            <v>082166506229</v>
          </cell>
          <cell r="Z25" t="str">
            <v>Jl. Pasir Putih Pasar Telukdalam, Telukdalam Kab. Nias Selatan</v>
          </cell>
          <cell r="AG25">
            <v>1</v>
          </cell>
        </row>
        <row r="26">
          <cell r="A26">
            <v>24</v>
          </cell>
          <cell r="B26" t="str">
            <v>01</v>
          </cell>
          <cell r="C26" t="str">
            <v>01</v>
          </cell>
          <cell r="D26" t="str">
            <v>BPU01</v>
          </cell>
          <cell r="E26">
            <v>24</v>
          </cell>
          <cell r="F26" t="str">
            <v>01</v>
          </cell>
          <cell r="G26">
            <v>45296</v>
          </cell>
          <cell r="H26">
            <v>45297</v>
          </cell>
          <cell r="I26">
            <v>45297</v>
          </cell>
          <cell r="J26">
            <v>45297</v>
          </cell>
          <cell r="K26">
            <v>45314</v>
          </cell>
          <cell r="L26" t="str">
            <v>5.1.02.01.01.0024</v>
          </cell>
          <cell r="M26" t="str">
            <v>06.05.</v>
          </cell>
          <cell r="N26" t="str">
            <v>06.05.08.</v>
          </cell>
          <cell r="O26" t="str">
            <v>Stempel Manual</v>
          </cell>
          <cell r="P26" t="str">
            <v>Stempel Manual</v>
          </cell>
          <cell r="Q26" t="str">
            <v>Alat Tulis Kantor (ATK)</v>
          </cell>
          <cell r="R26" t="str">
            <v>Stempel Kayu(Bahan: Kayu. Ukuran: 40mm)</v>
          </cell>
          <cell r="S26">
            <v>5</v>
          </cell>
          <cell r="T26" t="str">
            <v>buah</v>
          </cell>
          <cell r="U26">
            <v>100000</v>
          </cell>
          <cell r="V26">
            <v>500000</v>
          </cell>
          <cell r="W26" t="str">
            <v>UD. JOSUA</v>
          </cell>
          <cell r="X26" t="str">
            <v>Gestiwan Zebua</v>
          </cell>
          <cell r="Y26" t="str">
            <v>082166506229</v>
          </cell>
          <cell r="Z26" t="str">
            <v>Jl. Pasir Putih Pasar Telukdalam, Telukdalam Kab. Nias Selatan</v>
          </cell>
          <cell r="AG26">
            <v>1</v>
          </cell>
        </row>
        <row r="27">
          <cell r="A27">
            <v>25</v>
          </cell>
          <cell r="B27" t="str">
            <v>01</v>
          </cell>
          <cell r="C27" t="str">
            <v>01</v>
          </cell>
          <cell r="D27" t="str">
            <v>BPU01</v>
          </cell>
          <cell r="E27">
            <v>25</v>
          </cell>
          <cell r="F27" t="str">
            <v>01</v>
          </cell>
          <cell r="G27">
            <v>45296</v>
          </cell>
          <cell r="H27">
            <v>45297</v>
          </cell>
          <cell r="I27">
            <v>45297</v>
          </cell>
          <cell r="J27">
            <v>45297</v>
          </cell>
          <cell r="K27">
            <v>45314</v>
          </cell>
          <cell r="L27" t="str">
            <v>5.1.02.01.01.0024</v>
          </cell>
          <cell r="M27" t="str">
            <v>06.05.</v>
          </cell>
          <cell r="N27" t="str">
            <v>06.05.08.</v>
          </cell>
          <cell r="O27" t="str">
            <v>Stapler Stapler No, 50 MAX</v>
          </cell>
          <cell r="P27" t="str">
            <v>Stapler Stapler No, 50 MAX</v>
          </cell>
          <cell r="Q27" t="str">
            <v>Alat Tulis Kantor (ATK)</v>
          </cell>
          <cell r="R27" t="str">
            <v>Stapler 50 (Length 5.0Cm, Width 5.0Cm, Height 5.0Cm, Weight 5Gr)</v>
          </cell>
          <cell r="S27">
            <v>2</v>
          </cell>
          <cell r="T27" t="str">
            <v>buah</v>
          </cell>
          <cell r="U27">
            <v>25000</v>
          </cell>
          <cell r="V27">
            <v>50000</v>
          </cell>
          <cell r="W27" t="str">
            <v>UD. JOSUA</v>
          </cell>
          <cell r="X27" t="str">
            <v>Gestiwan Zebua</v>
          </cell>
          <cell r="Y27" t="str">
            <v>082166506229</v>
          </cell>
          <cell r="Z27" t="str">
            <v>Jl. Pasir Putih Pasar Telukdalam, Telukdalam Kab. Nias Selatan</v>
          </cell>
          <cell r="AG27">
            <v>1</v>
          </cell>
        </row>
        <row r="28">
          <cell r="A28">
            <v>26</v>
          </cell>
          <cell r="B28" t="str">
            <v>01</v>
          </cell>
          <cell r="C28" t="str">
            <v>01</v>
          </cell>
          <cell r="D28" t="str">
            <v>BPU01</v>
          </cell>
          <cell r="E28">
            <v>26</v>
          </cell>
          <cell r="F28" t="str">
            <v>01</v>
          </cell>
          <cell r="G28">
            <v>45296</v>
          </cell>
          <cell r="H28">
            <v>45297</v>
          </cell>
          <cell r="I28">
            <v>45297</v>
          </cell>
          <cell r="J28">
            <v>45297</v>
          </cell>
          <cell r="K28">
            <v>45314</v>
          </cell>
          <cell r="L28" t="str">
            <v>5.1.02.01.01.0024</v>
          </cell>
          <cell r="M28" t="str">
            <v>06.05.</v>
          </cell>
          <cell r="N28" t="str">
            <v>06.05.08.</v>
          </cell>
          <cell r="O28" t="str">
            <v>Amplop Coklat Merk : GSU Ukuran : 1/2 folio, bergaris</v>
          </cell>
          <cell r="P28" t="str">
            <v>Amplop Coklat Merk : GSU Ukuran : 1/2 folio, bergaris</v>
          </cell>
          <cell r="Q28" t="str">
            <v>Alat Tulis Kantor (ATK)</v>
          </cell>
          <cell r="R28" t="str">
            <v>Amplop Coklat (Merk : GSU. Ukuran: 1/2 Folio. Isi: 100 Lbr)</v>
          </cell>
          <cell r="S28">
            <v>1</v>
          </cell>
          <cell r="T28" t="str">
            <v>bungkus</v>
          </cell>
          <cell r="U28">
            <v>45000</v>
          </cell>
          <cell r="V28">
            <v>45000</v>
          </cell>
          <cell r="W28" t="str">
            <v>UD. JOSUA</v>
          </cell>
          <cell r="X28" t="str">
            <v>Gestiwan Zebua</v>
          </cell>
          <cell r="Y28" t="str">
            <v>082166506229</v>
          </cell>
          <cell r="Z28" t="str">
            <v>Jl. Pasir Putih Pasar Telukdalam, Telukdalam Kab. Nias Selatan</v>
          </cell>
          <cell r="AG28">
            <v>1</v>
          </cell>
        </row>
        <row r="29">
          <cell r="A29">
            <v>27</v>
          </cell>
          <cell r="B29" t="str">
            <v>01</v>
          </cell>
          <cell r="C29" t="str">
            <v>01</v>
          </cell>
          <cell r="D29" t="str">
            <v>BPU01</v>
          </cell>
          <cell r="E29">
            <v>27</v>
          </cell>
          <cell r="F29" t="str">
            <v>01</v>
          </cell>
          <cell r="G29">
            <v>45296</v>
          </cell>
          <cell r="H29">
            <v>45297</v>
          </cell>
          <cell r="I29">
            <v>45297</v>
          </cell>
          <cell r="J29">
            <v>45297</v>
          </cell>
          <cell r="K29">
            <v>45314</v>
          </cell>
          <cell r="L29" t="str">
            <v>5.1.02.01.01.0024</v>
          </cell>
          <cell r="M29" t="str">
            <v>06.05.</v>
          </cell>
          <cell r="N29" t="str">
            <v>06.05.08.</v>
          </cell>
          <cell r="O29" t="str">
            <v>Lakban Hitam--</v>
          </cell>
          <cell r="P29" t="str">
            <v>Lakban Hitam--</v>
          </cell>
          <cell r="Q29" t="str">
            <v>Alat Tulis Kantor (ATK)</v>
          </cell>
          <cell r="R29" t="str">
            <v>Lakban Hitam (Length 5.0Cm, Width 5.0Cm, Height 5.0Cm, Weight 5Gr)</v>
          </cell>
          <cell r="S29">
            <v>5</v>
          </cell>
          <cell r="T29" t="str">
            <v>buah</v>
          </cell>
          <cell r="U29">
            <v>15500</v>
          </cell>
          <cell r="V29">
            <v>77500</v>
          </cell>
          <cell r="W29" t="str">
            <v>UD. JOSUA</v>
          </cell>
          <cell r="X29" t="str">
            <v>Gestiwan Zebua</v>
          </cell>
          <cell r="Y29" t="str">
            <v>082166506229</v>
          </cell>
          <cell r="Z29" t="str">
            <v>Jl. Pasir Putih Pasar Telukdalam, Telukdalam Kab. Nias Selatan</v>
          </cell>
          <cell r="AG29">
            <v>1</v>
          </cell>
        </row>
        <row r="30">
          <cell r="A30">
            <v>28</v>
          </cell>
          <cell r="B30" t="str">
            <v>01</v>
          </cell>
          <cell r="C30" t="str">
            <v>01</v>
          </cell>
          <cell r="D30" t="str">
            <v>BPU01</v>
          </cell>
          <cell r="E30">
            <v>28</v>
          </cell>
          <cell r="F30" t="str">
            <v>01</v>
          </cell>
          <cell r="G30">
            <v>45296</v>
          </cell>
          <cell r="H30">
            <v>45297</v>
          </cell>
          <cell r="I30">
            <v>45297</v>
          </cell>
          <cell r="J30">
            <v>45297</v>
          </cell>
          <cell r="K30">
            <v>45314</v>
          </cell>
          <cell r="L30" t="str">
            <v>5.1.02.01.01.0024</v>
          </cell>
          <cell r="M30" t="str">
            <v>06.05.</v>
          </cell>
          <cell r="N30" t="str">
            <v>06.05.08.</v>
          </cell>
          <cell r="O30" t="str">
            <v>Paper Clip No 1  Paper Clip No 3</v>
          </cell>
          <cell r="P30" t="str">
            <v>Paper Clip No 1  Paper Clip No 3</v>
          </cell>
          <cell r="Q30" t="str">
            <v>Alat Tulis Kantor (ATK)</v>
          </cell>
          <cell r="R30" t="str">
            <v>Paper Clip No 3 (Length 5.0Cm, Width 5.0Cm, Height 5.0Cm, Weight 5Gr)</v>
          </cell>
          <cell r="S30">
            <v>5</v>
          </cell>
          <cell r="T30" t="str">
            <v>kotak</v>
          </cell>
          <cell r="U30">
            <v>6000</v>
          </cell>
          <cell r="V30">
            <v>30000</v>
          </cell>
          <cell r="W30" t="str">
            <v>UD. JOSUA</v>
          </cell>
          <cell r="X30" t="str">
            <v>Gestiwan Zebua</v>
          </cell>
          <cell r="Y30" t="str">
            <v>082166506229</v>
          </cell>
          <cell r="Z30" t="str">
            <v>Jl. Pasir Putih Pasar Telukdalam, Telukdalam Kab. Nias Selatan</v>
          </cell>
          <cell r="AG30">
            <v>1</v>
          </cell>
        </row>
        <row r="31">
          <cell r="A31">
            <v>29</v>
          </cell>
          <cell r="B31" t="str">
            <v>01</v>
          </cell>
          <cell r="C31" t="str">
            <v>01</v>
          </cell>
          <cell r="D31" t="str">
            <v>BPU01</v>
          </cell>
          <cell r="E31">
            <v>29</v>
          </cell>
          <cell r="F31" t="str">
            <v>01</v>
          </cell>
          <cell r="G31">
            <v>45296</v>
          </cell>
          <cell r="H31">
            <v>45297</v>
          </cell>
          <cell r="I31">
            <v>45297</v>
          </cell>
          <cell r="J31">
            <v>45297</v>
          </cell>
          <cell r="K31">
            <v>45314</v>
          </cell>
          <cell r="L31" t="str">
            <v>5.1.02.01.01.0024</v>
          </cell>
          <cell r="M31" t="str">
            <v>06.05.</v>
          </cell>
          <cell r="N31" t="str">
            <v>06.05.08.</v>
          </cell>
          <cell r="O31" t="str">
            <v>Lakban Hitam uk 2 " Warna hitam uk. 2 "</v>
          </cell>
          <cell r="P31" t="str">
            <v>Lakban Hitam uk 2 " Warna hitam uk. 2 "</v>
          </cell>
          <cell r="Q31" t="str">
            <v>Alat Tulis Kantor (ATK)</v>
          </cell>
          <cell r="R31" t="str">
            <v>Lakban Warna Uk 2" Warna Coklat Cofiie (Ukuran 90Yard Lebar : 48Mm)</v>
          </cell>
          <cell r="S31">
            <v>5</v>
          </cell>
          <cell r="T31" t="str">
            <v>buah</v>
          </cell>
          <cell r="U31">
            <v>25000</v>
          </cell>
          <cell r="V31">
            <v>125000</v>
          </cell>
          <cell r="W31" t="str">
            <v>UD. JOSUA</v>
          </cell>
          <cell r="X31" t="str">
            <v>Gestiwan Zebua</v>
          </cell>
          <cell r="Y31" t="str">
            <v>082166506229</v>
          </cell>
          <cell r="Z31" t="str">
            <v>Jl. Pasir Putih Pasar Telukdalam, Telukdalam Kab. Nias Selatan</v>
          </cell>
          <cell r="AG31">
            <v>1</v>
          </cell>
        </row>
        <row r="32">
          <cell r="A32">
            <v>30</v>
          </cell>
          <cell r="B32" t="str">
            <v>01</v>
          </cell>
          <cell r="C32" t="str">
            <v>01</v>
          </cell>
          <cell r="D32" t="str">
            <v>BPU01</v>
          </cell>
          <cell r="E32">
            <v>30</v>
          </cell>
          <cell r="F32" t="str">
            <v>01</v>
          </cell>
          <cell r="G32">
            <v>45296</v>
          </cell>
          <cell r="H32">
            <v>45297</v>
          </cell>
          <cell r="I32">
            <v>45297</v>
          </cell>
          <cell r="J32">
            <v>45297</v>
          </cell>
          <cell r="K32">
            <v>45314</v>
          </cell>
          <cell r="L32" t="str">
            <v>5.1.02.01.01.0024</v>
          </cell>
          <cell r="M32" t="str">
            <v>06.05.</v>
          </cell>
          <cell r="N32" t="str">
            <v>06.05.08.</v>
          </cell>
          <cell r="O32" t="str">
            <v>Kertas StensiI</v>
          </cell>
          <cell r="P32" t="str">
            <v>Kertas StensiI</v>
          </cell>
          <cell r="Q32" t="str">
            <v>Alat Tulis Kantor (ATK)</v>
          </cell>
          <cell r="R32" t="str">
            <v>Kertas Stencil Folio (Length 33.0Cm, Width 21.0Cm, Height 5.0Cm, Weight 1400Gr)</v>
          </cell>
          <cell r="S32">
            <v>10</v>
          </cell>
          <cell r="T32" t="str">
            <v>bungkus</v>
          </cell>
          <cell r="U32">
            <v>50000</v>
          </cell>
          <cell r="V32">
            <v>500000</v>
          </cell>
          <cell r="W32" t="str">
            <v>UD. JOSUA</v>
          </cell>
          <cell r="X32" t="str">
            <v>Gestiwan Zebua</v>
          </cell>
          <cell r="Y32" t="str">
            <v>082166506229</v>
          </cell>
          <cell r="Z32" t="str">
            <v>Jl. Pasir Putih Pasar Telukdalam, Telukdalam Kab. Nias Selatan</v>
          </cell>
          <cell r="AG32">
            <v>1</v>
          </cell>
        </row>
        <row r="33">
          <cell r="A33">
            <v>31</v>
          </cell>
          <cell r="B33" t="str">
            <v>01</v>
          </cell>
          <cell r="C33" t="str">
            <v>01</v>
          </cell>
          <cell r="D33" t="str">
            <v>BPU01</v>
          </cell>
          <cell r="E33">
            <v>31</v>
          </cell>
          <cell r="F33" t="str">
            <v>01</v>
          </cell>
          <cell r="G33">
            <v>45296</v>
          </cell>
          <cell r="H33">
            <v>45297</v>
          </cell>
          <cell r="I33">
            <v>45297</v>
          </cell>
          <cell r="J33">
            <v>45297</v>
          </cell>
          <cell r="K33">
            <v>45314</v>
          </cell>
          <cell r="L33" t="str">
            <v>5.1.02.01.01.0024</v>
          </cell>
          <cell r="M33" t="str">
            <v>06.05.</v>
          </cell>
          <cell r="N33" t="str">
            <v>06.05.08.</v>
          </cell>
          <cell r="O33" t="str">
            <v>Spidol White board</v>
          </cell>
          <cell r="P33" t="str">
            <v>Spidol White board</v>
          </cell>
          <cell r="Q33" t="str">
            <v>Alat Tulis Kantor (ATK)</v>
          </cell>
          <cell r="R33" t="str">
            <v>Spidol White Board (Berat Produk 0.5 Kg, Panjang Produk 10 Cm, Lebar Produk 3 Cm, Tinggi Produk 10 Cm)</v>
          </cell>
          <cell r="S33">
            <v>2</v>
          </cell>
          <cell r="T33" t="str">
            <v>lusin</v>
          </cell>
          <cell r="U33">
            <v>120000</v>
          </cell>
          <cell r="V33">
            <v>240000</v>
          </cell>
          <cell r="W33" t="str">
            <v>UD. JOSUA</v>
          </cell>
          <cell r="X33" t="str">
            <v>Gestiwan Zebua</v>
          </cell>
          <cell r="Y33" t="str">
            <v>082166506229</v>
          </cell>
          <cell r="Z33" t="str">
            <v>Jl. Pasir Putih Pasar Telukdalam, Telukdalam Kab. Nias Selatan</v>
          </cell>
          <cell r="AG33">
            <v>1</v>
          </cell>
        </row>
        <row r="34">
          <cell r="A34">
            <v>32</v>
          </cell>
          <cell r="B34" t="str">
            <v>01</v>
          </cell>
          <cell r="C34" t="str">
            <v>01</v>
          </cell>
          <cell r="D34" t="str">
            <v>BPU01</v>
          </cell>
          <cell r="E34">
            <v>32</v>
          </cell>
          <cell r="F34" t="str">
            <v>01</v>
          </cell>
          <cell r="G34">
            <v>45296</v>
          </cell>
          <cell r="H34">
            <v>45297</v>
          </cell>
          <cell r="I34">
            <v>45297</v>
          </cell>
          <cell r="J34">
            <v>45297</v>
          </cell>
          <cell r="K34">
            <v>45314</v>
          </cell>
          <cell r="L34" t="str">
            <v>5.1.02.01.01.0024</v>
          </cell>
          <cell r="M34" t="str">
            <v>06.05.</v>
          </cell>
          <cell r="N34" t="str">
            <v>06.05.08.</v>
          </cell>
          <cell r="O34" t="str">
            <v>Pisau Cutter Kenko L-500</v>
          </cell>
          <cell r="P34" t="str">
            <v>Pisau Cutter Kenko L-500</v>
          </cell>
          <cell r="Q34" t="str">
            <v>Alat Tulis Kantor (ATK)</v>
          </cell>
          <cell r="R34" t="str">
            <v>Pisau Cutter L-500 (Merk: Kenko. Dimension: 15.50cm x 2.70cm x 1.00cm. Weight: 71.00g)</v>
          </cell>
          <cell r="S34">
            <v>2</v>
          </cell>
          <cell r="T34" t="str">
            <v>buah</v>
          </cell>
          <cell r="U34">
            <v>15000</v>
          </cell>
          <cell r="V34">
            <v>30000</v>
          </cell>
          <cell r="W34" t="str">
            <v>UD. JOSUA</v>
          </cell>
          <cell r="X34" t="str">
            <v>Gestiwan Zebua</v>
          </cell>
          <cell r="Y34" t="str">
            <v>082166506229</v>
          </cell>
          <cell r="Z34" t="str">
            <v>Jl. Pasir Putih Pasar Telukdalam, Telukdalam Kab. Nias Selatan</v>
          </cell>
          <cell r="AG34">
            <v>1</v>
          </cell>
        </row>
        <row r="35">
          <cell r="A35">
            <v>33</v>
          </cell>
          <cell r="B35" t="str">
            <v>01</v>
          </cell>
          <cell r="C35" t="str">
            <v>01</v>
          </cell>
          <cell r="D35" t="str">
            <v>BPU01</v>
          </cell>
          <cell r="E35">
            <v>33</v>
          </cell>
          <cell r="F35" t="str">
            <v>01</v>
          </cell>
          <cell r="G35">
            <v>45296</v>
          </cell>
          <cell r="H35">
            <v>45297</v>
          </cell>
          <cell r="I35">
            <v>45297</v>
          </cell>
          <cell r="J35">
            <v>45297</v>
          </cell>
          <cell r="K35">
            <v>45314</v>
          </cell>
          <cell r="L35" t="str">
            <v>5.1.02.01.01.0024</v>
          </cell>
          <cell r="M35" t="str">
            <v>06.05.</v>
          </cell>
          <cell r="N35" t="str">
            <v>06.05.08.</v>
          </cell>
          <cell r="O35" t="str">
            <v>Lem Fox isi 500 gram--</v>
          </cell>
          <cell r="P35" t="str">
            <v>Lem Fox isi 500 gram--</v>
          </cell>
          <cell r="Q35" t="str">
            <v>Alat Tulis Kantor (ATK)</v>
          </cell>
          <cell r="R35" t="str">
            <v>Lem Fox Isi 500 Gram (Bahan Pvc, Berat 500Gr, Ukuran Botol Putih 500Gr)</v>
          </cell>
          <cell r="S35">
            <v>2</v>
          </cell>
          <cell r="T35" t="str">
            <v>buah</v>
          </cell>
          <cell r="U35">
            <v>35400</v>
          </cell>
          <cell r="V35">
            <v>70800</v>
          </cell>
          <cell r="W35" t="str">
            <v>UD. JOSUA</v>
          </cell>
          <cell r="X35" t="str">
            <v>Gestiwan Zebua</v>
          </cell>
          <cell r="Y35" t="str">
            <v>082166506229</v>
          </cell>
          <cell r="Z35" t="str">
            <v>Jl. Pasir Putih Pasar Telukdalam, Telukdalam Kab. Nias Selatan</v>
          </cell>
          <cell r="AG35">
            <v>1</v>
          </cell>
        </row>
        <row r="36">
          <cell r="A36">
            <v>34</v>
          </cell>
          <cell r="B36" t="str">
            <v>01</v>
          </cell>
          <cell r="C36" t="str">
            <v>01</v>
          </cell>
          <cell r="D36" t="str">
            <v>BPU01</v>
          </cell>
          <cell r="E36">
            <v>34</v>
          </cell>
          <cell r="F36" t="str">
            <v>01</v>
          </cell>
          <cell r="G36">
            <v>45296</v>
          </cell>
          <cell r="H36">
            <v>45297</v>
          </cell>
          <cell r="I36">
            <v>45297</v>
          </cell>
          <cell r="J36">
            <v>45297</v>
          </cell>
          <cell r="K36">
            <v>45314</v>
          </cell>
          <cell r="L36" t="str">
            <v>5.1.02.01.01.0024</v>
          </cell>
          <cell r="M36" t="str">
            <v>06.05.</v>
          </cell>
          <cell r="N36" t="str">
            <v>06.05.08.</v>
          </cell>
          <cell r="O36" t="str">
            <v>Buku Ekspedisi 100</v>
          </cell>
          <cell r="P36" t="str">
            <v>Buku Ekspedisi 100</v>
          </cell>
          <cell r="Q36" t="str">
            <v>Alat Tulis Kantor (ATK)</v>
          </cell>
          <cell r="R36" t="str">
            <v>Buku Ekspedisi 100 (Berat Satuan. 400 Gram ; Dimensi Ukuran. 32X11X1Cm)</v>
          </cell>
          <cell r="S36">
            <v>6</v>
          </cell>
          <cell r="T36" t="str">
            <v>buah</v>
          </cell>
          <cell r="U36">
            <v>15000</v>
          </cell>
          <cell r="V36">
            <v>90000</v>
          </cell>
          <cell r="W36" t="str">
            <v>UD. JOSUA</v>
          </cell>
          <cell r="X36" t="str">
            <v>Gestiwan Zebua</v>
          </cell>
          <cell r="Y36" t="str">
            <v>082166506229</v>
          </cell>
          <cell r="Z36" t="str">
            <v>Jl. Pasir Putih Pasar Telukdalam, Telukdalam Kab. Nias Selatan</v>
          </cell>
          <cell r="AG36">
            <v>1</v>
          </cell>
        </row>
        <row r="37">
          <cell r="A37">
            <v>35</v>
          </cell>
          <cell r="B37" t="str">
            <v>01</v>
          </cell>
          <cell r="C37" t="str">
            <v>01</v>
          </cell>
          <cell r="D37" t="str">
            <v>BPU01</v>
          </cell>
          <cell r="E37">
            <v>35</v>
          </cell>
          <cell r="F37" t="str">
            <v>01</v>
          </cell>
          <cell r="G37">
            <v>45296</v>
          </cell>
          <cell r="H37">
            <v>45297</v>
          </cell>
          <cell r="I37">
            <v>45297</v>
          </cell>
          <cell r="J37">
            <v>45297</v>
          </cell>
          <cell r="K37">
            <v>45314</v>
          </cell>
          <cell r="L37" t="str">
            <v>5.1.02.01.01.0024</v>
          </cell>
          <cell r="M37" t="str">
            <v>06.05.</v>
          </cell>
          <cell r="N37" t="str">
            <v>06.05.08.</v>
          </cell>
          <cell r="O37" t="str">
            <v>Binder Klip  nomor 260</v>
          </cell>
          <cell r="P37" t="str">
            <v>Binder Klip  nomor 260</v>
          </cell>
          <cell r="Q37" t="str">
            <v>Alat Tulis Kantor (ATK)</v>
          </cell>
          <cell r="R37" t="str">
            <v>Binder Klip  nomor 260 (Merk: Kenko. size : 9,5cm x 5cm x 15cm Weight : 268 gram)</v>
          </cell>
          <cell r="S37">
            <v>10</v>
          </cell>
          <cell r="T37" t="str">
            <v>kotak</v>
          </cell>
          <cell r="U37">
            <v>20000</v>
          </cell>
          <cell r="V37">
            <v>200000</v>
          </cell>
          <cell r="W37" t="str">
            <v>UD. JOSUA</v>
          </cell>
          <cell r="X37" t="str">
            <v>Gestiwan Zebua</v>
          </cell>
          <cell r="Y37" t="str">
            <v>082166506229</v>
          </cell>
          <cell r="Z37" t="str">
            <v>Jl. Pasir Putih Pasar Telukdalam, Telukdalam Kab. Nias Selatan</v>
          </cell>
          <cell r="AG37">
            <v>1</v>
          </cell>
        </row>
        <row r="38">
          <cell r="A38">
            <v>36</v>
          </cell>
          <cell r="B38" t="str">
            <v>01</v>
          </cell>
          <cell r="C38" t="str">
            <v>01</v>
          </cell>
          <cell r="D38" t="str">
            <v>BPU01</v>
          </cell>
          <cell r="E38">
            <v>36</v>
          </cell>
          <cell r="F38" t="str">
            <v>01</v>
          </cell>
          <cell r="G38">
            <v>45296</v>
          </cell>
          <cell r="H38">
            <v>45297</v>
          </cell>
          <cell r="I38">
            <v>45297</v>
          </cell>
          <cell r="J38">
            <v>45297</v>
          </cell>
          <cell r="K38">
            <v>45314</v>
          </cell>
          <cell r="L38" t="str">
            <v>5.1.02.01.01.0024</v>
          </cell>
          <cell r="M38" t="str">
            <v>06.05.</v>
          </cell>
          <cell r="N38" t="str">
            <v>06.05.08.</v>
          </cell>
          <cell r="O38" t="str">
            <v>C. Tinta Printer EPSON Tinta Printer Epson Yellow</v>
          </cell>
          <cell r="P38" t="str">
            <v>C. Tinta Printer EPSON Tinta Printer Epson Yellow</v>
          </cell>
          <cell r="Q38" t="str">
            <v>Alat Tulis Kantor (ATK)</v>
          </cell>
          <cell r="R38" t="str">
            <v>Tinta Printer Epson 664 Kuning (Length 5.0Cm, Width 5.0Cm, Height 5.0Cm, Weight 5Gr)</v>
          </cell>
          <cell r="S38">
            <v>4</v>
          </cell>
          <cell r="T38" t="str">
            <v>botol</v>
          </cell>
          <cell r="U38">
            <v>110000</v>
          </cell>
          <cell r="V38">
            <v>440000</v>
          </cell>
          <cell r="W38" t="str">
            <v>UD. JOSUA</v>
          </cell>
          <cell r="X38" t="str">
            <v>Gestiwan Zebua</v>
          </cell>
          <cell r="Y38" t="str">
            <v>082166506229</v>
          </cell>
          <cell r="Z38" t="str">
            <v>Jl. Pasir Putih Pasar Telukdalam, Telukdalam Kab. Nias Selatan</v>
          </cell>
          <cell r="AG38">
            <v>1</v>
          </cell>
        </row>
        <row r="39">
          <cell r="A39">
            <v>37</v>
          </cell>
          <cell r="B39" t="str">
            <v>01</v>
          </cell>
          <cell r="C39" t="str">
            <v>01</v>
          </cell>
          <cell r="D39" t="str">
            <v>BPU01</v>
          </cell>
          <cell r="E39">
            <v>37</v>
          </cell>
          <cell r="F39" t="str">
            <v>01</v>
          </cell>
          <cell r="G39">
            <v>45296</v>
          </cell>
          <cell r="H39">
            <v>45297</v>
          </cell>
          <cell r="I39">
            <v>45297</v>
          </cell>
          <cell r="J39">
            <v>45297</v>
          </cell>
          <cell r="K39">
            <v>45314</v>
          </cell>
          <cell r="L39" t="str">
            <v>5.1.02.01.01.0024</v>
          </cell>
          <cell r="M39" t="str">
            <v>06.05.</v>
          </cell>
          <cell r="N39" t="str">
            <v>06.05.08.</v>
          </cell>
          <cell r="O39" t="str">
            <v>PAPER CLIP  Paper Clip No 1</v>
          </cell>
          <cell r="P39" t="str">
            <v>PAPER CLIP  Paper Clip No 1</v>
          </cell>
          <cell r="Q39" t="str">
            <v>Alat Tulis Kantor (ATK)</v>
          </cell>
          <cell r="R39" t="str">
            <v>Paper Clip No 1 (Length 5.0Cm, Width 5.0Cm, Height 5.0Cm, Weight 5Gr)</v>
          </cell>
          <cell r="S39">
            <v>5</v>
          </cell>
          <cell r="T39" t="str">
            <v>kotak</v>
          </cell>
          <cell r="U39">
            <v>5000</v>
          </cell>
          <cell r="V39">
            <v>25000</v>
          </cell>
          <cell r="W39" t="str">
            <v>UD. JOSUA</v>
          </cell>
          <cell r="X39" t="str">
            <v>Gestiwan Zebua</v>
          </cell>
          <cell r="Y39" t="str">
            <v>082166506229</v>
          </cell>
          <cell r="Z39" t="str">
            <v>Jl. Pasir Putih Pasar Telukdalam, Telukdalam Kab. Nias Selatan</v>
          </cell>
          <cell r="AG39">
            <v>1</v>
          </cell>
        </row>
        <row r="40">
          <cell r="A40">
            <v>38</v>
          </cell>
          <cell r="B40" t="str">
            <v>01</v>
          </cell>
          <cell r="C40" t="str">
            <v>01</v>
          </cell>
          <cell r="D40" t="str">
            <v>BPU01</v>
          </cell>
          <cell r="E40">
            <v>38</v>
          </cell>
          <cell r="F40" t="str">
            <v>01</v>
          </cell>
          <cell r="G40">
            <v>45296</v>
          </cell>
          <cell r="H40">
            <v>45297</v>
          </cell>
          <cell r="I40">
            <v>45297</v>
          </cell>
          <cell r="J40">
            <v>45297</v>
          </cell>
          <cell r="K40">
            <v>45314</v>
          </cell>
          <cell r="L40" t="str">
            <v>5.1.02.01.01.0024</v>
          </cell>
          <cell r="M40" t="str">
            <v>06.05.</v>
          </cell>
          <cell r="N40" t="str">
            <v>06.05.08.</v>
          </cell>
          <cell r="O40" t="str">
            <v>Tinta Stempel</v>
          </cell>
          <cell r="P40" t="str">
            <v>Tinta Stempel</v>
          </cell>
          <cell r="Q40" t="str">
            <v>Alat Tulis Kantor (ATK)</v>
          </cell>
          <cell r="R40" t="str">
            <v>Tinta Stempel (Ukuran Produk 105 X 35 X 35 Mm, Isi 1 Botol 50 Ml, Berat Satuan 85 Gram)</v>
          </cell>
          <cell r="S40">
            <v>5</v>
          </cell>
          <cell r="T40" t="str">
            <v>botol</v>
          </cell>
          <cell r="U40">
            <v>20000</v>
          </cell>
          <cell r="V40">
            <v>100000</v>
          </cell>
          <cell r="W40" t="str">
            <v>UD. JOSUA</v>
          </cell>
          <cell r="X40" t="str">
            <v>Gestiwan Zebua</v>
          </cell>
          <cell r="Y40" t="str">
            <v>082166506229</v>
          </cell>
          <cell r="Z40" t="str">
            <v>Jl. Pasir Putih Pasar Telukdalam, Telukdalam Kab. Nias Selatan</v>
          </cell>
          <cell r="AG40">
            <v>1</v>
          </cell>
        </row>
        <row r="41">
          <cell r="A41">
            <v>39</v>
          </cell>
          <cell r="B41" t="str">
            <v>01</v>
          </cell>
          <cell r="C41" t="str">
            <v>01</v>
          </cell>
          <cell r="D41" t="str">
            <v>BPU01</v>
          </cell>
          <cell r="E41">
            <v>39</v>
          </cell>
          <cell r="F41" t="str">
            <v>01</v>
          </cell>
          <cell r="G41">
            <v>45296</v>
          </cell>
          <cell r="H41">
            <v>45297</v>
          </cell>
          <cell r="I41">
            <v>45297</v>
          </cell>
          <cell r="J41">
            <v>45297</v>
          </cell>
          <cell r="K41">
            <v>45314</v>
          </cell>
          <cell r="L41" t="str">
            <v>5.1.02.01.01.0024</v>
          </cell>
          <cell r="M41" t="str">
            <v>06.05.</v>
          </cell>
          <cell r="N41" t="str">
            <v>06.05.08.</v>
          </cell>
          <cell r="O41" t="str">
            <v>Kertas HVS 80 gram Merk : Paper One A4, Ukuran : 8,27" x 11,69", Isi : 500 lembar</v>
          </cell>
          <cell r="P41" t="str">
            <v>Kertas HVS 80 gram Merk : Paper One A4, Ukuran : 8,27" x 11,69", Isi : 500 lembar</v>
          </cell>
          <cell r="Q41" t="str">
            <v>Alat Tulis Kantor (ATK)</v>
          </cell>
          <cell r="R41" t="str">
            <v>Kertas Hvs A4 80Gsm Paper One (Length 30.0Cm, Width 21.0Cm, Height 7.0Cm, Weight 2394Gr)</v>
          </cell>
          <cell r="S41">
            <v>40</v>
          </cell>
          <cell r="T41" t="str">
            <v>rim</v>
          </cell>
          <cell r="U41">
            <v>50000</v>
          </cell>
          <cell r="V41">
            <v>2000000</v>
          </cell>
          <cell r="W41" t="str">
            <v>UD. JOSUA</v>
          </cell>
          <cell r="X41" t="str">
            <v>Gestiwan Zebua</v>
          </cell>
          <cell r="Y41" t="str">
            <v>082166506229</v>
          </cell>
          <cell r="Z41" t="str">
            <v>Jl. Pasir Putih Pasar Telukdalam, Telukdalam Kab. Nias Selatan</v>
          </cell>
          <cell r="AG41">
            <v>1</v>
          </cell>
        </row>
        <row r="42">
          <cell r="A42">
            <v>40</v>
          </cell>
          <cell r="B42" t="str">
            <v>01</v>
          </cell>
          <cell r="C42" t="str">
            <v>01</v>
          </cell>
          <cell r="D42" t="str">
            <v>BPU01</v>
          </cell>
          <cell r="E42">
            <v>40</v>
          </cell>
          <cell r="F42" t="str">
            <v>01</v>
          </cell>
          <cell r="G42">
            <v>45296</v>
          </cell>
          <cell r="H42">
            <v>45297</v>
          </cell>
          <cell r="I42">
            <v>45297</v>
          </cell>
          <cell r="J42">
            <v>45297</v>
          </cell>
          <cell r="K42">
            <v>45314</v>
          </cell>
          <cell r="L42" t="str">
            <v>5.1.02.01.01.0024</v>
          </cell>
          <cell r="M42" t="str">
            <v>06.05.</v>
          </cell>
          <cell r="N42" t="str">
            <v>06.05.08.</v>
          </cell>
          <cell r="O42" t="str">
            <v>Materai 10.000</v>
          </cell>
          <cell r="P42" t="str">
            <v>Materai 10.000</v>
          </cell>
          <cell r="Q42" t="str">
            <v>Alat Tulis Kantor (ATK)</v>
          </cell>
          <cell r="R42" t="str">
            <v>Materai 10.000 (Dimensi, 3.2Cm X 4.7Cm X 0Cm. Berat, 5Gr)</v>
          </cell>
          <cell r="S42">
            <v>100</v>
          </cell>
          <cell r="T42" t="str">
            <v>buah</v>
          </cell>
          <cell r="U42">
            <v>12000</v>
          </cell>
          <cell r="V42">
            <v>1200000</v>
          </cell>
          <cell r="W42" t="str">
            <v>UD. JOSUA</v>
          </cell>
          <cell r="X42" t="str">
            <v>Gestiwan Zebua</v>
          </cell>
          <cell r="Y42" t="str">
            <v>082166506229</v>
          </cell>
          <cell r="Z42" t="str">
            <v>Jl. Pasir Putih Pasar Telukdalam, Telukdalam Kab. Nias Selatan</v>
          </cell>
          <cell r="AG42">
            <v>1</v>
          </cell>
        </row>
        <row r="43">
          <cell r="A43">
            <v>41</v>
          </cell>
          <cell r="B43" t="str">
            <v>01</v>
          </cell>
          <cell r="C43" t="str">
            <v>01</v>
          </cell>
          <cell r="D43" t="str">
            <v>BPU01</v>
          </cell>
          <cell r="E43">
            <v>41</v>
          </cell>
          <cell r="F43" t="str">
            <v>01</v>
          </cell>
          <cell r="G43">
            <v>45296</v>
          </cell>
          <cell r="H43">
            <v>45297</v>
          </cell>
          <cell r="I43">
            <v>45297</v>
          </cell>
          <cell r="J43">
            <v>45297</v>
          </cell>
          <cell r="K43">
            <v>45314</v>
          </cell>
          <cell r="L43" t="str">
            <v>5.1.02.01.01.0024</v>
          </cell>
          <cell r="M43" t="str">
            <v>06.05.</v>
          </cell>
          <cell r="N43" t="str">
            <v>06.05.08.</v>
          </cell>
          <cell r="O43" t="str">
            <v>Stofmap Transparan</v>
          </cell>
          <cell r="P43" t="str">
            <v>Stofmap Transparan</v>
          </cell>
          <cell r="Q43" t="str">
            <v>Alat Tulis Kantor (ATK)</v>
          </cell>
          <cell r="R43" t="str">
            <v>Stofmap Transparan (Length 5.0Cm, Width 5.0Cm, Height 5.0Cm, Weight 5Gr)</v>
          </cell>
          <cell r="S43">
            <v>100</v>
          </cell>
          <cell r="T43" t="str">
            <v>buah</v>
          </cell>
          <cell r="U43">
            <v>5500</v>
          </cell>
          <cell r="V43">
            <v>550000</v>
          </cell>
          <cell r="W43" t="str">
            <v>UD. JOSUA</v>
          </cell>
          <cell r="X43" t="str">
            <v>Gestiwan Zebua</v>
          </cell>
          <cell r="Y43" t="str">
            <v>082166506229</v>
          </cell>
          <cell r="Z43" t="str">
            <v>Jl. Pasir Putih Pasar Telukdalam, Telukdalam Kab. Nias Selatan</v>
          </cell>
          <cell r="AG43">
            <v>1</v>
          </cell>
        </row>
        <row r="44">
          <cell r="A44">
            <v>42</v>
          </cell>
          <cell r="B44" t="str">
            <v>01</v>
          </cell>
          <cell r="C44" t="str">
            <v>01</v>
          </cell>
          <cell r="D44" t="str">
            <v>BPU01</v>
          </cell>
          <cell r="E44">
            <v>42</v>
          </cell>
          <cell r="F44" t="str">
            <v>01</v>
          </cell>
          <cell r="G44">
            <v>45296</v>
          </cell>
          <cell r="H44">
            <v>45297</v>
          </cell>
          <cell r="I44">
            <v>45297</v>
          </cell>
          <cell r="J44">
            <v>45297</v>
          </cell>
          <cell r="K44">
            <v>45314</v>
          </cell>
          <cell r="L44" t="str">
            <v>5.1.02.01.01.0024</v>
          </cell>
          <cell r="M44" t="str">
            <v>06.05.</v>
          </cell>
          <cell r="N44" t="str">
            <v>06.05.08.</v>
          </cell>
          <cell r="O44" t="str">
            <v>Amplop Panjang Putih Polos Merk : Jaya Ukuran : 11 x 23 cm</v>
          </cell>
          <cell r="P44" t="str">
            <v>Amplop Panjang Putih Polos Merk : Jaya Ukuran : 11 x 23 cm</v>
          </cell>
          <cell r="Q44" t="str">
            <v>Alat Tulis Kantor (ATK)</v>
          </cell>
          <cell r="R44" t="str">
            <v>Amplop Putih Panjang (Length 5.0Cm, Width 5.0Cm, Height 5.0Cm, Weight 5Gr)</v>
          </cell>
          <cell r="S44">
            <v>1</v>
          </cell>
          <cell r="T44" t="str">
            <v>kotak</v>
          </cell>
          <cell r="U44">
            <v>48000</v>
          </cell>
          <cell r="V44">
            <v>48000</v>
          </cell>
          <cell r="W44" t="str">
            <v>UD. JOSUA</v>
          </cell>
          <cell r="X44" t="str">
            <v>Gestiwan Zebua</v>
          </cell>
          <cell r="Y44" t="str">
            <v>082166506229</v>
          </cell>
          <cell r="Z44" t="str">
            <v>Jl. Pasir Putih Pasar Telukdalam, Telukdalam Kab. Nias Selatan</v>
          </cell>
          <cell r="AG44">
            <v>1</v>
          </cell>
        </row>
        <row r="45">
          <cell r="A45">
            <v>43</v>
          </cell>
          <cell r="B45" t="str">
            <v>01</v>
          </cell>
          <cell r="C45" t="str">
            <v>01</v>
          </cell>
          <cell r="D45" t="str">
            <v>BPU01</v>
          </cell>
          <cell r="E45">
            <v>43</v>
          </cell>
          <cell r="F45" t="str">
            <v>01</v>
          </cell>
          <cell r="G45">
            <v>45296</v>
          </cell>
          <cell r="H45">
            <v>45297</v>
          </cell>
          <cell r="I45">
            <v>45297</v>
          </cell>
          <cell r="J45">
            <v>45297</v>
          </cell>
          <cell r="K45">
            <v>45314</v>
          </cell>
          <cell r="L45" t="str">
            <v>5.1.02.01.01.0024</v>
          </cell>
          <cell r="M45" t="str">
            <v>06.05.</v>
          </cell>
          <cell r="N45" t="str">
            <v>06.05.08.</v>
          </cell>
          <cell r="O45" t="str">
            <v>canon catridge 741-catridge 741</v>
          </cell>
          <cell r="P45" t="str">
            <v>canon catridge 741-catridge 741</v>
          </cell>
          <cell r="Q45" t="str">
            <v>Alat Tulis Kantor (ATK)</v>
          </cell>
          <cell r="R45" t="str">
            <v>Canon Catridge 741 ((Cyan, Magenta, Yellow). Daya Tampung Tinta: 4 Ml. Berat Produk: 160 Gr)</v>
          </cell>
          <cell r="S45">
            <v>4</v>
          </cell>
          <cell r="T45" t="str">
            <v>buah</v>
          </cell>
          <cell r="U45">
            <v>425000</v>
          </cell>
          <cell r="V45">
            <v>1700000</v>
          </cell>
          <cell r="W45" t="str">
            <v>UD. JOSUA</v>
          </cell>
          <cell r="X45" t="str">
            <v>Gestiwan Zebua</v>
          </cell>
          <cell r="Y45" t="str">
            <v>082166506229</v>
          </cell>
          <cell r="Z45" t="str">
            <v>Jl. Pasir Putih Pasar Telukdalam, Telukdalam Kab. Nias Selatan</v>
          </cell>
          <cell r="AG45">
            <v>1</v>
          </cell>
        </row>
        <row r="46">
          <cell r="A46">
            <v>44</v>
          </cell>
          <cell r="B46" t="str">
            <v>01</v>
          </cell>
          <cell r="C46" t="str">
            <v>01</v>
          </cell>
          <cell r="D46" t="str">
            <v>BPU01</v>
          </cell>
          <cell r="E46">
            <v>44</v>
          </cell>
          <cell r="F46" t="str">
            <v>01</v>
          </cell>
          <cell r="G46">
            <v>45296</v>
          </cell>
          <cell r="H46">
            <v>45297</v>
          </cell>
          <cell r="I46">
            <v>45297</v>
          </cell>
          <cell r="J46">
            <v>45297</v>
          </cell>
          <cell r="K46">
            <v>45314</v>
          </cell>
          <cell r="L46" t="str">
            <v>5.1.02.01.01.0024</v>
          </cell>
          <cell r="M46" t="str">
            <v>06.05.</v>
          </cell>
          <cell r="N46" t="str">
            <v>06.05.08.</v>
          </cell>
          <cell r="O46" t="str">
            <v>Kertas Post-It Warna Warni  Sign Here</v>
          </cell>
          <cell r="P46" t="str">
            <v>Kertas Post-It Warna Warni  Sign Here</v>
          </cell>
          <cell r="Q46" t="str">
            <v>Alat Tulis Kantor (ATK)</v>
          </cell>
          <cell r="R46" t="str">
            <v>Kertas Post-it/Sticky Note (ukuran: 2 x 4.8 cm)</v>
          </cell>
          <cell r="S46">
            <v>5</v>
          </cell>
          <cell r="T46" t="str">
            <v>buah</v>
          </cell>
          <cell r="U46">
            <v>22800</v>
          </cell>
          <cell r="V46">
            <v>114000</v>
          </cell>
          <cell r="W46" t="str">
            <v>UD. JOSUA</v>
          </cell>
          <cell r="X46" t="str">
            <v>Gestiwan Zebua</v>
          </cell>
          <cell r="Y46" t="str">
            <v>082166506229</v>
          </cell>
          <cell r="Z46" t="str">
            <v>Jl. Pasir Putih Pasar Telukdalam, Telukdalam Kab. Nias Selatan</v>
          </cell>
          <cell r="AG46">
            <v>1</v>
          </cell>
        </row>
        <row r="47">
          <cell r="A47">
            <v>45</v>
          </cell>
          <cell r="B47" t="str">
            <v>01</v>
          </cell>
          <cell r="C47" t="str">
            <v>01</v>
          </cell>
          <cell r="D47" t="str">
            <v>BPU01</v>
          </cell>
          <cell r="E47">
            <v>45</v>
          </cell>
          <cell r="F47" t="str">
            <v>01</v>
          </cell>
          <cell r="G47">
            <v>45296</v>
          </cell>
          <cell r="H47">
            <v>45297</v>
          </cell>
          <cell r="I47">
            <v>45297</v>
          </cell>
          <cell r="J47">
            <v>45297</v>
          </cell>
          <cell r="K47">
            <v>45314</v>
          </cell>
          <cell r="L47" t="str">
            <v>5.1.02.01.01.0024</v>
          </cell>
          <cell r="M47" t="str">
            <v>06.05.</v>
          </cell>
          <cell r="N47" t="str">
            <v>06.05.08.</v>
          </cell>
          <cell r="O47" t="str">
            <v>Lakban Bening</v>
          </cell>
          <cell r="P47" t="str">
            <v>Lakban Bening Kecil</v>
          </cell>
          <cell r="Q47" t="str">
            <v>Alat Tulis Kantor (ATK)</v>
          </cell>
          <cell r="R47" t="str">
            <v>Lakban Bening Kecil (Length 5.0Cm, Width 5.0Cm, Height 5.0Cm, Weight 5Gr)</v>
          </cell>
          <cell r="S47">
            <v>5</v>
          </cell>
          <cell r="T47" t="str">
            <v>buah</v>
          </cell>
          <cell r="U47">
            <v>10000</v>
          </cell>
          <cell r="V47">
            <v>50000</v>
          </cell>
          <cell r="W47" t="str">
            <v>UD. JOSUA</v>
          </cell>
          <cell r="X47" t="str">
            <v>Gestiwan Zebua</v>
          </cell>
          <cell r="Y47" t="str">
            <v>082166506229</v>
          </cell>
          <cell r="Z47" t="str">
            <v>Jl. Pasir Putih Pasar Telukdalam, Telukdalam Kab. Nias Selatan</v>
          </cell>
          <cell r="AG47">
            <v>1</v>
          </cell>
        </row>
        <row r="48">
          <cell r="A48">
            <v>46</v>
          </cell>
          <cell r="B48" t="str">
            <v>01</v>
          </cell>
          <cell r="C48" t="str">
            <v>01</v>
          </cell>
          <cell r="D48" t="str">
            <v>BPU01</v>
          </cell>
          <cell r="E48">
            <v>46</v>
          </cell>
          <cell r="F48" t="str">
            <v>01</v>
          </cell>
          <cell r="G48">
            <v>45296</v>
          </cell>
          <cell r="H48">
            <v>45297</v>
          </cell>
          <cell r="I48">
            <v>45297</v>
          </cell>
          <cell r="J48">
            <v>45297</v>
          </cell>
          <cell r="K48">
            <v>45314</v>
          </cell>
          <cell r="L48" t="str">
            <v>5.1.02.01.01.0024</v>
          </cell>
          <cell r="M48" t="str">
            <v>06.05.</v>
          </cell>
          <cell r="N48" t="str">
            <v>06.05.08.</v>
          </cell>
          <cell r="O48" t="str">
            <v>Binder Klip  nomor 200</v>
          </cell>
          <cell r="P48" t="str">
            <v>Binder Klip  nomor 200</v>
          </cell>
          <cell r="Q48" t="str">
            <v>Alat Tulis Kantor (ATK)</v>
          </cell>
          <cell r="R48" t="str">
            <v>Binder Clip Nomor 200 (Length 5.0Cm, Width 5.0Cm, Height 5.0Cm, Weight 5Gr)</v>
          </cell>
          <cell r="S48">
            <v>10</v>
          </cell>
          <cell r="T48" t="str">
            <v>kotak</v>
          </cell>
          <cell r="U48">
            <v>16500</v>
          </cell>
          <cell r="V48">
            <v>165000</v>
          </cell>
          <cell r="W48" t="str">
            <v>UD. JOSUA</v>
          </cell>
          <cell r="X48" t="str">
            <v>Gestiwan Zebua</v>
          </cell>
          <cell r="Y48" t="str">
            <v>082166506229</v>
          </cell>
          <cell r="Z48" t="str">
            <v>Jl. Pasir Putih Pasar Telukdalam, Telukdalam Kab. Nias Selatan</v>
          </cell>
          <cell r="AG48">
            <v>1</v>
          </cell>
        </row>
        <row r="49">
          <cell r="A49">
            <v>47</v>
          </cell>
          <cell r="B49" t="str">
            <v>01</v>
          </cell>
          <cell r="C49" t="str">
            <v>01</v>
          </cell>
          <cell r="D49" t="str">
            <v>BPU01</v>
          </cell>
          <cell r="E49">
            <v>47</v>
          </cell>
          <cell r="F49" t="str">
            <v>01</v>
          </cell>
          <cell r="G49">
            <v>45296</v>
          </cell>
          <cell r="H49">
            <v>45297</v>
          </cell>
          <cell r="I49">
            <v>45297</v>
          </cell>
          <cell r="J49">
            <v>45297</v>
          </cell>
          <cell r="K49">
            <v>45314</v>
          </cell>
          <cell r="L49" t="str">
            <v>5.1.02.01.01.0024</v>
          </cell>
          <cell r="M49" t="str">
            <v>06.05.</v>
          </cell>
          <cell r="N49" t="str">
            <v>06.05.08.</v>
          </cell>
          <cell r="O49" t="str">
            <v>Baterey Tanggung</v>
          </cell>
          <cell r="P49" t="str">
            <v>Baterey Tanggung</v>
          </cell>
          <cell r="Q49" t="str">
            <v>Alat Tulis Kantor (ATK)</v>
          </cell>
          <cell r="R49" t="str">
            <v>Baterai Tanggung (Length 5.0Cm, Width 5.0Cm, Height 5.0Cm, Weight 5Gr)</v>
          </cell>
          <cell r="S49">
            <v>5</v>
          </cell>
          <cell r="T49" t="str">
            <v>pasang</v>
          </cell>
          <cell r="U49">
            <v>20000</v>
          </cell>
          <cell r="V49">
            <v>100000</v>
          </cell>
          <cell r="W49" t="str">
            <v>UD. JOSUA</v>
          </cell>
          <cell r="X49" t="str">
            <v>Gestiwan Zebua</v>
          </cell>
          <cell r="Y49" t="str">
            <v>082166506229</v>
          </cell>
          <cell r="Z49" t="str">
            <v>Jl. Pasir Putih Pasar Telukdalam, Telukdalam Kab. Nias Selatan</v>
          </cell>
          <cell r="AG49">
            <v>1</v>
          </cell>
        </row>
        <row r="50">
          <cell r="A50">
            <v>48</v>
          </cell>
          <cell r="B50" t="str">
            <v>01</v>
          </cell>
          <cell r="C50" t="str">
            <v>01</v>
          </cell>
          <cell r="D50" t="str">
            <v>BPU01</v>
          </cell>
          <cell r="E50">
            <v>48</v>
          </cell>
          <cell r="F50" t="str">
            <v>01</v>
          </cell>
          <cell r="G50">
            <v>45296</v>
          </cell>
          <cell r="H50">
            <v>45297</v>
          </cell>
          <cell r="I50">
            <v>45297</v>
          </cell>
          <cell r="J50">
            <v>45297</v>
          </cell>
          <cell r="K50">
            <v>45314</v>
          </cell>
          <cell r="L50" t="str">
            <v>5.1.02.01.01.0024</v>
          </cell>
          <cell r="M50" t="str">
            <v>06.05.</v>
          </cell>
          <cell r="N50" t="str">
            <v>06.05.08.</v>
          </cell>
          <cell r="O50" t="str">
            <v>C. Tinta Printer EPSON Toner Epson 664 Black</v>
          </cell>
          <cell r="P50" t="str">
            <v>C. Tinta Printer EPSON Toner Epson 664 Black</v>
          </cell>
          <cell r="Q50" t="str">
            <v>Alat Tulis Kantor (ATK)</v>
          </cell>
          <cell r="R50" t="str">
            <v>Tinta Printer Epson 664 Hitam (Length 5.0Cm, Width 5.0Cm, Height 5.0Cm, Weight 5Gr)</v>
          </cell>
          <cell r="S50">
            <v>6</v>
          </cell>
          <cell r="T50" t="str">
            <v>botol</v>
          </cell>
          <cell r="U50">
            <v>85000</v>
          </cell>
          <cell r="V50">
            <v>510000</v>
          </cell>
          <cell r="W50" t="str">
            <v>UD. JOSUA</v>
          </cell>
          <cell r="X50" t="str">
            <v>Gestiwan Zebua</v>
          </cell>
          <cell r="Y50" t="str">
            <v>082166506229</v>
          </cell>
          <cell r="Z50" t="str">
            <v>Jl. Pasir Putih Pasar Telukdalam, Telukdalam Kab. Nias Selatan</v>
          </cell>
          <cell r="AG50">
            <v>1</v>
          </cell>
        </row>
        <row r="51">
          <cell r="A51">
            <v>49</v>
          </cell>
          <cell r="B51" t="str">
            <v>01</v>
          </cell>
          <cell r="C51" t="str">
            <v>01</v>
          </cell>
          <cell r="D51" t="str">
            <v>BPU01</v>
          </cell>
          <cell r="E51">
            <v>49</v>
          </cell>
          <cell r="F51" t="str">
            <v>01</v>
          </cell>
          <cell r="G51">
            <v>45296</v>
          </cell>
          <cell r="H51">
            <v>45297</v>
          </cell>
          <cell r="I51">
            <v>45297</v>
          </cell>
          <cell r="J51">
            <v>45297</v>
          </cell>
          <cell r="K51">
            <v>45314</v>
          </cell>
          <cell r="L51" t="str">
            <v>5.1.02.01.01.0024</v>
          </cell>
          <cell r="M51" t="str">
            <v>06.05.</v>
          </cell>
          <cell r="N51" t="str">
            <v>06.05.08.</v>
          </cell>
          <cell r="O51" t="str">
            <v>Isi Staples Sedang</v>
          </cell>
          <cell r="P51" t="str">
            <v>Isi Staples Sedang</v>
          </cell>
          <cell r="Q51" t="str">
            <v>Alat Tulis Kantor (ATK)</v>
          </cell>
          <cell r="R51" t="str">
            <v>Isi Staples Sedang (Dimensi, 2Cm X 4Cm X 1Cm. Berat, 5G.)</v>
          </cell>
          <cell r="S51">
            <v>2</v>
          </cell>
          <cell r="T51" t="str">
            <v>kotak</v>
          </cell>
          <cell r="U51">
            <v>40000</v>
          </cell>
          <cell r="V51">
            <v>80000</v>
          </cell>
          <cell r="W51" t="str">
            <v>UD. JOSUA</v>
          </cell>
          <cell r="X51" t="str">
            <v>Gestiwan Zebua</v>
          </cell>
          <cell r="Y51" t="str">
            <v>082166506229</v>
          </cell>
          <cell r="Z51" t="str">
            <v>Jl. Pasir Putih Pasar Telukdalam, Telukdalam Kab. Nias Selatan</v>
          </cell>
          <cell r="AG51">
            <v>1</v>
          </cell>
        </row>
        <row r="52">
          <cell r="A52">
            <v>50</v>
          </cell>
          <cell r="B52" t="str">
            <v>01</v>
          </cell>
          <cell r="C52" t="str">
            <v>01</v>
          </cell>
          <cell r="D52" t="str">
            <v>BPU01</v>
          </cell>
          <cell r="E52">
            <v>50</v>
          </cell>
          <cell r="F52" t="str">
            <v>01</v>
          </cell>
          <cell r="G52">
            <v>45296</v>
          </cell>
          <cell r="H52">
            <v>45297</v>
          </cell>
          <cell r="I52">
            <v>45297</v>
          </cell>
          <cell r="J52">
            <v>45297</v>
          </cell>
          <cell r="K52">
            <v>45314</v>
          </cell>
          <cell r="L52" t="str">
            <v>5.1.02.01.01.0024</v>
          </cell>
          <cell r="M52" t="str">
            <v>06.05.</v>
          </cell>
          <cell r="N52" t="str">
            <v>06.05.08.</v>
          </cell>
          <cell r="O52" t="str">
            <v>Kertas Warna Blank Folio, Ukuran : 8,5 x 14",  70 gram</v>
          </cell>
          <cell r="P52" t="str">
            <v>Kertas Warna Blank Folio, Ukuran : 8,5 x 14",  70 gram</v>
          </cell>
          <cell r="Q52" t="str">
            <v>Alat Tulis Kantor (ATK)</v>
          </cell>
          <cell r="R52" t="str">
            <v>Kertas Hvs Warna 70 Gsm (Length 21.0Cm, Width 33.0Cm, Height 7.0Cm, Weight 2400Gr)</v>
          </cell>
          <cell r="S52">
            <v>2</v>
          </cell>
          <cell r="T52" t="str">
            <v>rim</v>
          </cell>
          <cell r="U52">
            <v>90000</v>
          </cell>
          <cell r="V52">
            <v>180000</v>
          </cell>
          <cell r="W52" t="str">
            <v>UD. JOSUA</v>
          </cell>
          <cell r="X52" t="str">
            <v>Gestiwan Zebua</v>
          </cell>
          <cell r="Y52" t="str">
            <v>082166506229</v>
          </cell>
          <cell r="Z52" t="str">
            <v>Jl. Pasir Putih Pasar Telukdalam, Telukdalam Kab. Nias Selatan</v>
          </cell>
          <cell r="AG52">
            <v>1</v>
          </cell>
        </row>
        <row r="53">
          <cell r="A53">
            <v>51</v>
          </cell>
          <cell r="B53" t="str">
            <v>01</v>
          </cell>
          <cell r="C53" t="str">
            <v>01</v>
          </cell>
          <cell r="D53" t="str">
            <v>BPU01</v>
          </cell>
          <cell r="E53">
            <v>51</v>
          </cell>
          <cell r="F53" t="str">
            <v>01</v>
          </cell>
          <cell r="G53">
            <v>45296</v>
          </cell>
          <cell r="H53">
            <v>45297</v>
          </cell>
          <cell r="I53">
            <v>45297</v>
          </cell>
          <cell r="J53">
            <v>45297</v>
          </cell>
          <cell r="K53">
            <v>45314</v>
          </cell>
          <cell r="L53" t="str">
            <v>5.1.02.01.01.0024</v>
          </cell>
          <cell r="M53" t="str">
            <v>06.05.</v>
          </cell>
          <cell r="N53" t="str">
            <v>06.05.08.</v>
          </cell>
          <cell r="O53" t="str">
            <v>Sampul Plastik</v>
          </cell>
          <cell r="P53" t="str">
            <v>Sampul Plastik</v>
          </cell>
          <cell r="Q53" t="str">
            <v>Alat Tulis Kantor (ATK)</v>
          </cell>
          <cell r="R53" t="str">
            <v>Sampul Plastik (Length 5.0Cm, Width 5.0Cm, Height 5.0Cm, Weight 5Gr)</v>
          </cell>
          <cell r="S53">
            <v>5</v>
          </cell>
          <cell r="T53" t="str">
            <v>bungkus</v>
          </cell>
          <cell r="U53">
            <v>65000</v>
          </cell>
          <cell r="V53">
            <v>325000</v>
          </cell>
          <cell r="W53" t="str">
            <v>UD. JOSUA</v>
          </cell>
          <cell r="X53" t="str">
            <v>Gestiwan Zebua</v>
          </cell>
          <cell r="Y53" t="str">
            <v>082166506229</v>
          </cell>
          <cell r="Z53" t="str">
            <v>Jl. Pasir Putih Pasar Telukdalam, Telukdalam Kab. Nias Selatan</v>
          </cell>
          <cell r="AG53">
            <v>1</v>
          </cell>
        </row>
        <row r="54">
          <cell r="A54">
            <v>52</v>
          </cell>
          <cell r="B54" t="str">
            <v>01</v>
          </cell>
          <cell r="C54" t="str">
            <v>01</v>
          </cell>
          <cell r="D54" t="str">
            <v>BPU01</v>
          </cell>
          <cell r="E54">
            <v>52</v>
          </cell>
          <cell r="F54" t="str">
            <v>01</v>
          </cell>
          <cell r="G54">
            <v>45296</v>
          </cell>
          <cell r="H54">
            <v>45297</v>
          </cell>
          <cell r="I54">
            <v>45297</v>
          </cell>
          <cell r="J54">
            <v>45297</v>
          </cell>
          <cell r="K54">
            <v>45314</v>
          </cell>
          <cell r="L54" t="str">
            <v>5.1.02.01.01.0024</v>
          </cell>
          <cell r="M54" t="str">
            <v>06.05.</v>
          </cell>
          <cell r="N54" t="str">
            <v>06.05.08.</v>
          </cell>
          <cell r="O54" t="str">
            <v>Box File Merk : Bantex Ukuran : 115x270x325 mm</v>
          </cell>
          <cell r="P54" t="str">
            <v>Box File Merk : Bantex Ukuran : 115x270x325 mm</v>
          </cell>
          <cell r="Q54" t="str">
            <v>Alat Tulis Kantor (ATK)</v>
          </cell>
          <cell r="R54" t="str">
            <v>Box File (Merk : Bantex Ukuran : 115x270x325 mm)</v>
          </cell>
          <cell r="S54">
            <v>4</v>
          </cell>
          <cell r="T54" t="str">
            <v>buah</v>
          </cell>
          <cell r="U54">
            <v>59800</v>
          </cell>
          <cell r="V54">
            <v>239200</v>
          </cell>
          <cell r="W54" t="str">
            <v>UD. JOSUA</v>
          </cell>
          <cell r="X54" t="str">
            <v>Gestiwan Zebua</v>
          </cell>
          <cell r="Y54" t="str">
            <v>082166506229</v>
          </cell>
          <cell r="Z54" t="str">
            <v>Jl. Pasir Putih Pasar Telukdalam, Telukdalam Kab. Nias Selatan</v>
          </cell>
          <cell r="AG54">
            <v>1</v>
          </cell>
        </row>
        <row r="55">
          <cell r="A55">
            <v>53</v>
          </cell>
          <cell r="B55" t="str">
            <v>01</v>
          </cell>
          <cell r="C55" t="str">
            <v>01</v>
          </cell>
          <cell r="D55" t="str">
            <v>BPU01</v>
          </cell>
          <cell r="E55">
            <v>53</v>
          </cell>
          <cell r="F55" t="str">
            <v>01</v>
          </cell>
          <cell r="G55">
            <v>45296</v>
          </cell>
          <cell r="H55">
            <v>45297</v>
          </cell>
          <cell r="I55">
            <v>45297</v>
          </cell>
          <cell r="J55">
            <v>45297</v>
          </cell>
          <cell r="K55">
            <v>45314</v>
          </cell>
          <cell r="L55" t="str">
            <v>5.1.02.01.01.0024</v>
          </cell>
          <cell r="M55" t="str">
            <v>06.05.</v>
          </cell>
          <cell r="N55" t="str">
            <v>06.05.08.</v>
          </cell>
          <cell r="O55" t="str">
            <v>Catridge Printer Epson T 014--</v>
          </cell>
          <cell r="P55" t="str">
            <v>Catridge Printer Epson T 014--</v>
          </cell>
          <cell r="Q55" t="str">
            <v>Alat Tulis Kantor (ATK)</v>
          </cell>
          <cell r="R55" t="str">
            <v>Catridge Printer Epson T 014 (Tipe: T6641 Black, T6642 Cyan, T6643 Magenta, T6644 Yellow; Isi: 70 Ml)</v>
          </cell>
          <cell r="S55">
            <v>4</v>
          </cell>
          <cell r="T55" t="str">
            <v>botol</v>
          </cell>
          <cell r="U55">
            <v>310000</v>
          </cell>
          <cell r="V55">
            <v>1240000</v>
          </cell>
          <cell r="W55" t="str">
            <v>UD. JOSUA</v>
          </cell>
          <cell r="X55" t="str">
            <v>Gestiwan Zebua</v>
          </cell>
          <cell r="Y55" t="str">
            <v>082166506229</v>
          </cell>
          <cell r="Z55" t="str">
            <v>Jl. Pasir Putih Pasar Telukdalam, Telukdalam Kab. Nias Selatan</v>
          </cell>
          <cell r="AG55">
            <v>1</v>
          </cell>
        </row>
        <row r="56">
          <cell r="A56">
            <v>54</v>
          </cell>
          <cell r="B56" t="str">
            <v>01</v>
          </cell>
          <cell r="C56" t="str">
            <v>01</v>
          </cell>
          <cell r="D56" t="str">
            <v>BPU01</v>
          </cell>
          <cell r="E56">
            <v>54</v>
          </cell>
          <cell r="F56" t="str">
            <v>01</v>
          </cell>
          <cell r="G56">
            <v>45296</v>
          </cell>
          <cell r="H56">
            <v>45297</v>
          </cell>
          <cell r="I56">
            <v>45297</v>
          </cell>
          <cell r="J56">
            <v>45297</v>
          </cell>
          <cell r="K56">
            <v>45314</v>
          </cell>
          <cell r="L56" t="str">
            <v>5.1.02.01.01.0024</v>
          </cell>
          <cell r="M56" t="str">
            <v>06.05.</v>
          </cell>
          <cell r="N56" t="str">
            <v>06.05.08.</v>
          </cell>
          <cell r="O56" t="str">
            <v>USB FLASH DISK USB/Flash Disk 4GB</v>
          </cell>
          <cell r="P56" t="str">
            <v>USB FLASH DISK USB/Flash Disk 4GB</v>
          </cell>
          <cell r="Q56" t="str">
            <v>Alat Tulis Kantor (ATK)</v>
          </cell>
          <cell r="R56" t="str">
            <v>Usb Flash Disk Usb/Flash Disk 4Gb (Ukuran 50 X 15 X 6 Mm, Berat 26 Gr)</v>
          </cell>
          <cell r="S56">
            <v>1</v>
          </cell>
          <cell r="T56" t="str">
            <v>buah</v>
          </cell>
          <cell r="U56">
            <v>80000</v>
          </cell>
          <cell r="V56">
            <v>80000</v>
          </cell>
          <cell r="W56" t="str">
            <v>UD. JOSUA</v>
          </cell>
          <cell r="X56" t="str">
            <v>Gestiwan Zebua</v>
          </cell>
          <cell r="Y56" t="str">
            <v>082166506229</v>
          </cell>
          <cell r="Z56" t="str">
            <v>Jl. Pasir Putih Pasar Telukdalam, Telukdalam Kab. Nias Selatan</v>
          </cell>
          <cell r="AG56">
            <v>1</v>
          </cell>
        </row>
        <row r="57">
          <cell r="A57">
            <v>55</v>
          </cell>
          <cell r="B57" t="str">
            <v>01</v>
          </cell>
          <cell r="C57" t="str">
            <v>01</v>
          </cell>
          <cell r="D57" t="str">
            <v>BPU01</v>
          </cell>
          <cell r="E57">
            <v>55</v>
          </cell>
          <cell r="F57" t="str">
            <v>01</v>
          </cell>
          <cell r="G57">
            <v>45296</v>
          </cell>
          <cell r="H57">
            <v>45297</v>
          </cell>
          <cell r="I57">
            <v>45297</v>
          </cell>
          <cell r="J57">
            <v>45297</v>
          </cell>
          <cell r="K57">
            <v>45314</v>
          </cell>
          <cell r="L57" t="str">
            <v>5.1.02.01.01.0024</v>
          </cell>
          <cell r="M57" t="str">
            <v>06.05.</v>
          </cell>
          <cell r="N57" t="str">
            <v>06.05.08.</v>
          </cell>
          <cell r="O57" t="str">
            <v>Lakban warna Uk 2" Warna Coklat Cofiie</v>
          </cell>
          <cell r="P57" t="str">
            <v>Lakban warna Uk 2" Warna Coklat Cofiie</v>
          </cell>
          <cell r="Q57" t="str">
            <v>Alat Tulis Kantor (ATK)</v>
          </cell>
          <cell r="R57" t="str">
            <v>Lakban Warna Uk 2" Warna Coklat Cofiie (Ukuran 90Yard Lebar : 48Mm)</v>
          </cell>
          <cell r="S57">
            <v>3</v>
          </cell>
          <cell r="T57" t="str">
            <v>buah</v>
          </cell>
          <cell r="U57">
            <v>20000</v>
          </cell>
          <cell r="V57">
            <v>60000</v>
          </cell>
          <cell r="W57" t="str">
            <v>UD. JOSUA</v>
          </cell>
          <cell r="X57" t="str">
            <v>Gestiwan Zebua</v>
          </cell>
          <cell r="Y57" t="str">
            <v>082166506229</v>
          </cell>
          <cell r="Z57" t="str">
            <v>Jl. Pasir Putih Pasar Telukdalam, Telukdalam Kab. Nias Selatan</v>
          </cell>
          <cell r="AG57">
            <v>1</v>
          </cell>
        </row>
        <row r="58">
          <cell r="A58">
            <v>56</v>
          </cell>
          <cell r="B58" t="str">
            <v>01</v>
          </cell>
          <cell r="C58" t="str">
            <v>01</v>
          </cell>
          <cell r="D58" t="str">
            <v>BPU01</v>
          </cell>
          <cell r="E58">
            <v>56</v>
          </cell>
          <cell r="F58" t="str">
            <v>01</v>
          </cell>
          <cell r="G58">
            <v>45296</v>
          </cell>
          <cell r="H58">
            <v>45297</v>
          </cell>
          <cell r="I58">
            <v>45297</v>
          </cell>
          <cell r="J58">
            <v>45297</v>
          </cell>
          <cell r="K58">
            <v>45314</v>
          </cell>
          <cell r="L58" t="str">
            <v>5.1.02.01.01.0024</v>
          </cell>
          <cell r="M58" t="str">
            <v>06.05.</v>
          </cell>
          <cell r="N58" t="str">
            <v>06.05.08.</v>
          </cell>
          <cell r="O58" t="str">
            <v>gunting kertas-ukuran : panjang 21cm x lebar 8cm, stainless steel</v>
          </cell>
          <cell r="P58" t="str">
            <v>gunting kertas-ukuran : panjang 21cm x lebar 8cm, stainless steel</v>
          </cell>
          <cell r="Q58" t="str">
            <v>Alat Tulis Kantor (ATK)</v>
          </cell>
          <cell r="R58" t="str">
            <v>Gunting Sedang (Length 5.0Cm, Width 5.0Cm, Height 5.0Cm, Weight 5Gr)</v>
          </cell>
          <cell r="S58">
            <v>2</v>
          </cell>
          <cell r="T58" t="str">
            <v>buah</v>
          </cell>
          <cell r="U58">
            <v>20000</v>
          </cell>
          <cell r="V58">
            <v>40000</v>
          </cell>
          <cell r="W58" t="str">
            <v>UD. JOSUA</v>
          </cell>
          <cell r="X58" t="str">
            <v>Gestiwan Zebua</v>
          </cell>
          <cell r="Y58" t="str">
            <v>082166506229</v>
          </cell>
          <cell r="Z58" t="str">
            <v>Jl. Pasir Putih Pasar Telukdalam, Telukdalam Kab. Nias Selatan</v>
          </cell>
          <cell r="AG58">
            <v>1</v>
          </cell>
        </row>
        <row r="59">
          <cell r="A59">
            <v>57</v>
          </cell>
          <cell r="B59" t="str">
            <v>01</v>
          </cell>
          <cell r="C59" t="str">
            <v>01</v>
          </cell>
          <cell r="D59" t="str">
            <v>BPU01</v>
          </cell>
          <cell r="E59">
            <v>57</v>
          </cell>
          <cell r="F59" t="str">
            <v>01</v>
          </cell>
          <cell r="G59">
            <v>45296</v>
          </cell>
          <cell r="H59">
            <v>45297</v>
          </cell>
          <cell r="I59">
            <v>45297</v>
          </cell>
          <cell r="J59">
            <v>45297</v>
          </cell>
          <cell r="K59">
            <v>45314</v>
          </cell>
          <cell r="L59" t="str">
            <v>5.1.02.01.01.0024</v>
          </cell>
          <cell r="M59" t="str">
            <v>06.05.</v>
          </cell>
          <cell r="N59" t="str">
            <v>06.05.08.</v>
          </cell>
          <cell r="O59" t="str">
            <v>Penghapus White Board</v>
          </cell>
          <cell r="P59" t="str">
            <v>Penghapus White Board</v>
          </cell>
          <cell r="Q59" t="str">
            <v>Alat Tulis Kantor (ATK)</v>
          </cell>
          <cell r="R59" t="str">
            <v>Penghapus White Board (Ukuran : 55 X 120 X 38 Mm - Berat : 30 Gram)</v>
          </cell>
          <cell r="S59">
            <v>30</v>
          </cell>
          <cell r="T59" t="str">
            <v>buah</v>
          </cell>
          <cell r="U59">
            <v>10000</v>
          </cell>
          <cell r="V59">
            <v>300000</v>
          </cell>
          <cell r="W59" t="str">
            <v>UD. JOSUA</v>
          </cell>
          <cell r="X59" t="str">
            <v>Gestiwan Zebua</v>
          </cell>
          <cell r="Y59" t="str">
            <v>082166506229</v>
          </cell>
          <cell r="Z59" t="str">
            <v>Jl. Pasir Putih Pasar Telukdalam, Telukdalam Kab. Nias Selatan</v>
          </cell>
          <cell r="AG59">
            <v>1</v>
          </cell>
        </row>
        <row r="60">
          <cell r="A60">
            <v>58</v>
          </cell>
          <cell r="B60" t="str">
            <v>01</v>
          </cell>
          <cell r="C60" t="str">
            <v>01</v>
          </cell>
          <cell r="D60" t="str">
            <v>BPU01</v>
          </cell>
          <cell r="E60">
            <v>58</v>
          </cell>
          <cell r="F60" t="str">
            <v>01</v>
          </cell>
          <cell r="G60">
            <v>45296</v>
          </cell>
          <cell r="H60">
            <v>45297</v>
          </cell>
          <cell r="I60">
            <v>45297</v>
          </cell>
          <cell r="J60">
            <v>45297</v>
          </cell>
          <cell r="K60">
            <v>45314</v>
          </cell>
          <cell r="L60" t="str">
            <v>5.1.02.01.01.0024</v>
          </cell>
          <cell r="M60" t="str">
            <v>06.05.</v>
          </cell>
          <cell r="N60" t="str">
            <v>06.05.08.</v>
          </cell>
          <cell r="O60" t="str">
            <v>Ballpoint Standard AE7</v>
          </cell>
          <cell r="P60" t="str">
            <v>Ballpoint Standard AE7</v>
          </cell>
          <cell r="Q60" t="str">
            <v>Alat Tulis Kantor (ATK)</v>
          </cell>
          <cell r="R60" t="str">
            <v>Ballpoint Standard Ae7 (Ukuran: 0.5 Mm Warna: Hitam 1 , Lebar Produk 6 Cm, Tinggi Produk 4 Cm)</v>
          </cell>
          <cell r="S60">
            <v>2</v>
          </cell>
          <cell r="T60" t="str">
            <v>lusin</v>
          </cell>
          <cell r="U60">
            <v>20000</v>
          </cell>
          <cell r="V60">
            <v>40000</v>
          </cell>
          <cell r="W60" t="str">
            <v>UD. JOSUA</v>
          </cell>
          <cell r="X60" t="str">
            <v>Gestiwan Zebua</v>
          </cell>
          <cell r="Y60" t="str">
            <v>082166506229</v>
          </cell>
          <cell r="Z60" t="str">
            <v>Jl. Pasir Putih Pasar Telukdalam, Telukdalam Kab. Nias Selatan</v>
          </cell>
          <cell r="AG60">
            <v>1</v>
          </cell>
        </row>
        <row r="61">
          <cell r="A61">
            <v>59</v>
          </cell>
          <cell r="B61" t="str">
            <v>01</v>
          </cell>
          <cell r="C61" t="str">
            <v>01</v>
          </cell>
          <cell r="D61" t="str">
            <v>BPU01</v>
          </cell>
          <cell r="E61">
            <v>59</v>
          </cell>
          <cell r="F61" t="str">
            <v>01</v>
          </cell>
          <cell r="G61">
            <v>45296</v>
          </cell>
          <cell r="H61">
            <v>45297</v>
          </cell>
          <cell r="I61">
            <v>45297</v>
          </cell>
          <cell r="J61">
            <v>45297</v>
          </cell>
          <cell r="K61">
            <v>45314</v>
          </cell>
          <cell r="L61" t="str">
            <v>5.1.02.01.01.0024</v>
          </cell>
          <cell r="M61" t="str">
            <v>06.05.</v>
          </cell>
          <cell r="N61" t="str">
            <v>06.05.08.</v>
          </cell>
          <cell r="O61" t="str">
            <v>C. Tinta Printer EPSON Tinta Printer Epson Read</v>
          </cell>
          <cell r="P61" t="str">
            <v>C. Tinta Printer EPSON Tinta Printer Epson Read</v>
          </cell>
          <cell r="Q61" t="str">
            <v>Alat Tulis Kantor (ATK)</v>
          </cell>
          <cell r="R61" t="str">
            <v>Tnta Printer Epson 664 Merah (Length 5.0Cm, Width 5.0Cm, Height 5.0Cm, Weight 5Gr)</v>
          </cell>
          <cell r="S61">
            <v>4</v>
          </cell>
          <cell r="T61" t="str">
            <v>botol</v>
          </cell>
          <cell r="U61">
            <v>110000</v>
          </cell>
          <cell r="V61">
            <v>440000</v>
          </cell>
          <cell r="W61" t="str">
            <v>UD. JOSUA</v>
          </cell>
          <cell r="X61" t="str">
            <v>Gestiwan Zebua</v>
          </cell>
          <cell r="Y61" t="str">
            <v>082166506229</v>
          </cell>
          <cell r="Z61" t="str">
            <v>Jl. Pasir Putih Pasar Telukdalam, Telukdalam Kab. Nias Selatan</v>
          </cell>
          <cell r="AG61">
            <v>1</v>
          </cell>
        </row>
        <row r="62">
          <cell r="A62">
            <v>60</v>
          </cell>
          <cell r="B62" t="str">
            <v>01</v>
          </cell>
          <cell r="C62" t="str">
            <v>01</v>
          </cell>
          <cell r="D62" t="str">
            <v>BPU01</v>
          </cell>
          <cell r="E62">
            <v>60</v>
          </cell>
          <cell r="F62" t="str">
            <v>01</v>
          </cell>
          <cell r="G62">
            <v>45296</v>
          </cell>
          <cell r="H62">
            <v>45297</v>
          </cell>
          <cell r="I62">
            <v>45297</v>
          </cell>
          <cell r="J62">
            <v>45297</v>
          </cell>
          <cell r="K62">
            <v>45314</v>
          </cell>
          <cell r="L62" t="str">
            <v>5.1.02.01.01.0024</v>
          </cell>
          <cell r="M62" t="str">
            <v>06.05.</v>
          </cell>
          <cell r="N62" t="str">
            <v>06.05.08.</v>
          </cell>
          <cell r="O62" t="str">
            <v>Stofmap Kertas</v>
          </cell>
          <cell r="P62" t="str">
            <v>Stofmap Kertas</v>
          </cell>
          <cell r="Q62" t="str">
            <v>Alat Tulis Kantor (ATK)</v>
          </cell>
          <cell r="R62" t="str">
            <v>Stofmap Kertas (Length 5.0Cm, Width 5.0Cm, Height 5.0Cm, Weight 5Gr)</v>
          </cell>
          <cell r="S62">
            <v>1</v>
          </cell>
          <cell r="T62" t="str">
            <v>pak</v>
          </cell>
          <cell r="U62">
            <v>87500</v>
          </cell>
          <cell r="V62">
            <v>87500</v>
          </cell>
          <cell r="W62" t="str">
            <v>UD. JOSUA</v>
          </cell>
          <cell r="X62" t="str">
            <v>Gestiwan Zebua</v>
          </cell>
          <cell r="Y62" t="str">
            <v>082166506229</v>
          </cell>
          <cell r="Z62" t="str">
            <v>Jl. Pasir Putih Pasar Telukdalam, Telukdalam Kab. Nias Selatan</v>
          </cell>
          <cell r="AG62">
            <v>1</v>
          </cell>
        </row>
        <row r="63">
          <cell r="A63">
            <v>61</v>
          </cell>
          <cell r="B63" t="str">
            <v>01</v>
          </cell>
          <cell r="C63" t="str">
            <v>01</v>
          </cell>
          <cell r="D63" t="str">
            <v>BPU01</v>
          </cell>
          <cell r="E63">
            <v>61</v>
          </cell>
          <cell r="F63" t="str">
            <v>01</v>
          </cell>
          <cell r="G63">
            <v>45296</v>
          </cell>
          <cell r="H63">
            <v>45297</v>
          </cell>
          <cell r="I63">
            <v>45297</v>
          </cell>
          <cell r="J63">
            <v>45297</v>
          </cell>
          <cell r="K63">
            <v>45314</v>
          </cell>
          <cell r="L63" t="str">
            <v>5.1.02.01.01.0024</v>
          </cell>
          <cell r="M63" t="str">
            <v>06.05.</v>
          </cell>
          <cell r="N63" t="str">
            <v>06.05.08.</v>
          </cell>
          <cell r="O63" t="str">
            <v>lakban hitam-ukuran : lebar 2 inch, panjang 12m, bahan : kain</v>
          </cell>
          <cell r="P63" t="str">
            <v>lakban hitam-ukuran : lebar 2 inch, panjang 12m, bahan : kain</v>
          </cell>
          <cell r="Q63" t="str">
            <v>Alat Tulis Kantor (ATK)</v>
          </cell>
          <cell r="R63" t="str">
            <v>Lakban Hitam (Length 5.0Cm, Width 5.0Cm, Height 5.0Cm, Weight 5Gr)</v>
          </cell>
          <cell r="S63">
            <v>4</v>
          </cell>
          <cell r="T63" t="str">
            <v>buah</v>
          </cell>
          <cell r="U63">
            <v>12500</v>
          </cell>
          <cell r="V63">
            <v>50000</v>
          </cell>
          <cell r="W63" t="str">
            <v>UD. JOSUA</v>
          </cell>
          <cell r="X63" t="str">
            <v>Gestiwan Zebua</v>
          </cell>
          <cell r="Y63" t="str">
            <v>082166506229</v>
          </cell>
          <cell r="Z63" t="str">
            <v>Jl. Pasir Putih Pasar Telukdalam, Telukdalam Kab. Nias Selatan</v>
          </cell>
          <cell r="AG63">
            <v>1</v>
          </cell>
        </row>
        <row r="64">
          <cell r="A64">
            <v>62</v>
          </cell>
          <cell r="B64" t="str">
            <v>01</v>
          </cell>
          <cell r="C64" t="str">
            <v>01</v>
          </cell>
          <cell r="D64" t="str">
            <v>BPU01</v>
          </cell>
          <cell r="E64">
            <v>62</v>
          </cell>
          <cell r="F64" t="str">
            <v>01</v>
          </cell>
          <cell r="G64">
            <v>45296</v>
          </cell>
          <cell r="H64">
            <v>45297</v>
          </cell>
          <cell r="I64">
            <v>45297</v>
          </cell>
          <cell r="J64">
            <v>45297</v>
          </cell>
          <cell r="K64">
            <v>45314</v>
          </cell>
          <cell r="L64" t="str">
            <v>5.1.02.01.01.0024</v>
          </cell>
          <cell r="M64" t="str">
            <v>06.05.</v>
          </cell>
          <cell r="N64" t="str">
            <v>06.05.08.</v>
          </cell>
          <cell r="O64" t="str">
            <v>Lakban Besar</v>
          </cell>
          <cell r="P64" t="str">
            <v>Lakban Besar</v>
          </cell>
          <cell r="Q64" t="str">
            <v>Alat Tulis Kantor (ATK)</v>
          </cell>
          <cell r="R64" t="str">
            <v xml:space="preserve"> Lakban Hitam besar Kain (Daimaru 2 inch / 48 mm x 12 m)</v>
          </cell>
          <cell r="S64">
            <v>5</v>
          </cell>
          <cell r="T64" t="str">
            <v>buah</v>
          </cell>
          <cell r="U64">
            <v>25000</v>
          </cell>
          <cell r="V64">
            <v>125000</v>
          </cell>
          <cell r="W64" t="str">
            <v>UD. JOSUA</v>
          </cell>
          <cell r="X64" t="str">
            <v>Gestiwan Zebua</v>
          </cell>
          <cell r="Y64" t="str">
            <v>082166506229</v>
          </cell>
          <cell r="Z64" t="str">
            <v>Jl. Pasir Putih Pasar Telukdalam, Telukdalam Kab. Nias Selatan</v>
          </cell>
          <cell r="AG64">
            <v>1</v>
          </cell>
        </row>
        <row r="65">
          <cell r="A65">
            <v>63</v>
          </cell>
          <cell r="B65" t="str">
            <v>01</v>
          </cell>
          <cell r="C65" t="str">
            <v>01</v>
          </cell>
          <cell r="D65" t="str">
            <v>BPU01</v>
          </cell>
          <cell r="E65">
            <v>63</v>
          </cell>
          <cell r="F65" t="str">
            <v>01</v>
          </cell>
          <cell r="G65">
            <v>45296</v>
          </cell>
          <cell r="H65">
            <v>45297</v>
          </cell>
          <cell r="I65">
            <v>45297</v>
          </cell>
          <cell r="J65">
            <v>45297</v>
          </cell>
          <cell r="K65">
            <v>45314</v>
          </cell>
          <cell r="L65" t="str">
            <v>5.1.02.01.01.0024</v>
          </cell>
          <cell r="M65" t="str">
            <v>06.05.</v>
          </cell>
          <cell r="N65" t="str">
            <v>06.05.08.</v>
          </cell>
          <cell r="O65" t="str">
            <v>Buku Induk/Inventaris 35 cm x 50 cm</v>
          </cell>
          <cell r="P65" t="str">
            <v>Buku Induk/Inventaris 35 cm x 50 cm</v>
          </cell>
          <cell r="Q65" t="str">
            <v>Alat Tulis Kantor (ATK)</v>
          </cell>
          <cell r="R65" t="str">
            <v>Buku Induk/Inventaris 35 Cm X 50 Cm (Lebar : 50 Cm, Tinggi : 4 Cm, Berat : 1000 Gr)</v>
          </cell>
          <cell r="S65">
            <v>2</v>
          </cell>
          <cell r="T65" t="str">
            <v>buah</v>
          </cell>
          <cell r="U65">
            <v>50000</v>
          </cell>
          <cell r="V65">
            <v>100000</v>
          </cell>
          <cell r="W65" t="str">
            <v>UD. JOSUA</v>
          </cell>
          <cell r="X65" t="str">
            <v>Gestiwan Zebua</v>
          </cell>
          <cell r="Y65" t="str">
            <v>082166506229</v>
          </cell>
          <cell r="Z65" t="str">
            <v>Jl. Pasir Putih Pasar Telukdalam, Telukdalam Kab. Nias Selatan</v>
          </cell>
          <cell r="AG65">
            <v>1</v>
          </cell>
        </row>
        <row r="66">
          <cell r="A66">
            <v>64</v>
          </cell>
          <cell r="B66" t="str">
            <v>01</v>
          </cell>
          <cell r="C66" t="str">
            <v>01</v>
          </cell>
          <cell r="D66" t="str">
            <v>BPU01</v>
          </cell>
          <cell r="E66">
            <v>64</v>
          </cell>
          <cell r="F66" t="str">
            <v>01</v>
          </cell>
          <cell r="G66">
            <v>45296</v>
          </cell>
          <cell r="H66">
            <v>45297</v>
          </cell>
          <cell r="I66">
            <v>45297</v>
          </cell>
          <cell r="J66">
            <v>45297</v>
          </cell>
          <cell r="K66">
            <v>45314</v>
          </cell>
          <cell r="L66" t="str">
            <v>5.1.02.01.01.0024</v>
          </cell>
          <cell r="M66" t="str">
            <v>06.05.</v>
          </cell>
          <cell r="N66" t="str">
            <v>06.05.08.</v>
          </cell>
          <cell r="O66" t="str">
            <v>Tinta Printer Canon 740 Hitam-740 Hitam</v>
          </cell>
          <cell r="P66" t="str">
            <v>Tinta Printer Canon 740 Hitam-740 Hitam</v>
          </cell>
          <cell r="Q66" t="str">
            <v>Alat Tulis Kantor (ATK)</v>
          </cell>
          <cell r="R66" t="str">
            <v>Tinta Printer Cano Aiflo Hitam (Length 5.0Cm, Width 5.0Cm, Height 5.0Cm, Weight 5Gr)</v>
          </cell>
          <cell r="S66">
            <v>8</v>
          </cell>
          <cell r="T66" t="str">
            <v>botol</v>
          </cell>
          <cell r="U66">
            <v>30000</v>
          </cell>
          <cell r="V66">
            <v>240000</v>
          </cell>
          <cell r="W66" t="str">
            <v>UD. JOSUA</v>
          </cell>
          <cell r="X66" t="str">
            <v>Gestiwan Zebua</v>
          </cell>
          <cell r="Y66" t="str">
            <v>082166506229</v>
          </cell>
          <cell r="Z66" t="str">
            <v>Jl. Pasir Putih Pasar Telukdalam, Telukdalam Kab. Nias Selatan</v>
          </cell>
          <cell r="AG66">
            <v>1</v>
          </cell>
        </row>
        <row r="67">
          <cell r="A67">
            <v>65</v>
          </cell>
          <cell r="B67" t="str">
            <v>01</v>
          </cell>
          <cell r="C67" t="str">
            <v>01</v>
          </cell>
          <cell r="D67" t="str">
            <v>BPU01</v>
          </cell>
          <cell r="E67">
            <v>65</v>
          </cell>
          <cell r="F67" t="str">
            <v>01</v>
          </cell>
          <cell r="G67">
            <v>45296</v>
          </cell>
          <cell r="H67">
            <v>45297</v>
          </cell>
          <cell r="I67">
            <v>45297</v>
          </cell>
          <cell r="J67">
            <v>45297</v>
          </cell>
          <cell r="K67">
            <v>45314</v>
          </cell>
          <cell r="L67" t="str">
            <v>5.1.02.01.01.0024</v>
          </cell>
          <cell r="M67" t="str">
            <v>06.05.</v>
          </cell>
          <cell r="N67" t="str">
            <v>06.05.08.</v>
          </cell>
          <cell r="O67" t="str">
            <v>Kertas HVS 60 gram Merk : Paper One HVS F4 uk. 8.27"x11.69"</v>
          </cell>
          <cell r="P67" t="str">
            <v>Kertas HVS 60 gram Merk : Paper One HVS F4 uk. 8.27"x11.69"</v>
          </cell>
          <cell r="Q67" t="str">
            <v>Alat Tulis Kantor (ATK)</v>
          </cell>
          <cell r="R67" t="str">
            <v>Kertas Hvs 60Gsm Paper One F4 (Length 33.0Cm, Width 21.0Cm, Height 7.0Cm, Weight 1400Gr)</v>
          </cell>
          <cell r="S67">
            <v>10</v>
          </cell>
          <cell r="T67" t="str">
            <v>rim</v>
          </cell>
          <cell r="U67">
            <v>48500</v>
          </cell>
          <cell r="V67">
            <v>485000</v>
          </cell>
          <cell r="W67" t="str">
            <v>UD. JOSUA</v>
          </cell>
          <cell r="X67" t="str">
            <v>Gestiwan Zebua</v>
          </cell>
          <cell r="Y67" t="str">
            <v>082166506229</v>
          </cell>
          <cell r="Z67" t="str">
            <v>Jl. Pasir Putih Pasar Telukdalam, Telukdalam Kab. Nias Selatan</v>
          </cell>
          <cell r="AG67">
            <v>1</v>
          </cell>
        </row>
        <row r="68">
          <cell r="A68">
            <v>66</v>
          </cell>
          <cell r="B68" t="str">
            <v>01</v>
          </cell>
          <cell r="C68" t="str">
            <v>01</v>
          </cell>
          <cell r="D68" t="str">
            <v>BPU01</v>
          </cell>
          <cell r="E68">
            <v>66</v>
          </cell>
          <cell r="F68" t="str">
            <v>01</v>
          </cell>
          <cell r="G68">
            <v>45296</v>
          </cell>
          <cell r="H68">
            <v>45297</v>
          </cell>
          <cell r="I68">
            <v>45297</v>
          </cell>
          <cell r="J68">
            <v>45297</v>
          </cell>
          <cell r="K68">
            <v>45314</v>
          </cell>
          <cell r="L68" t="str">
            <v>5.1.02.01.01.0024</v>
          </cell>
          <cell r="M68" t="str">
            <v>06.05.</v>
          </cell>
          <cell r="N68" t="str">
            <v>06.05.08.</v>
          </cell>
          <cell r="O68" t="str">
            <v>Binder Klip Ordner</v>
          </cell>
          <cell r="P68" t="str">
            <v>Binder Klip Ordner</v>
          </cell>
          <cell r="Q68" t="str">
            <v>Alat Tulis Kantor (ATK)</v>
          </cell>
          <cell r="R68" t="str">
            <v>Binder Klip Ordner (Length 5.0Cm, Width 5.0Cm, Height 5.0Cm, Weight 5Gr)</v>
          </cell>
          <cell r="S68">
            <v>6</v>
          </cell>
          <cell r="T68" t="str">
            <v>buah</v>
          </cell>
          <cell r="U68">
            <v>49500</v>
          </cell>
          <cell r="V68">
            <v>297000</v>
          </cell>
          <cell r="W68" t="str">
            <v>UD. JOSUA</v>
          </cell>
          <cell r="X68" t="str">
            <v>Gestiwan Zebua</v>
          </cell>
          <cell r="Y68" t="str">
            <v>082166506229</v>
          </cell>
          <cell r="Z68" t="str">
            <v>Jl. Pasir Putih Pasar Telukdalam, Telukdalam Kab. Nias Selatan</v>
          </cell>
          <cell r="AG68">
            <v>1</v>
          </cell>
        </row>
        <row r="69">
          <cell r="A69">
            <v>67</v>
          </cell>
          <cell r="B69" t="str">
            <v>01</v>
          </cell>
          <cell r="C69" t="str">
            <v>01</v>
          </cell>
          <cell r="D69" t="str">
            <v>BPU01</v>
          </cell>
          <cell r="E69">
            <v>67</v>
          </cell>
          <cell r="F69" t="str">
            <v>01</v>
          </cell>
          <cell r="G69">
            <v>45296</v>
          </cell>
          <cell r="H69">
            <v>45297</v>
          </cell>
          <cell r="I69">
            <v>45297</v>
          </cell>
          <cell r="J69">
            <v>45297</v>
          </cell>
          <cell r="K69">
            <v>45314</v>
          </cell>
          <cell r="L69" t="str">
            <v>5.1.02.01.01.0024</v>
          </cell>
          <cell r="M69" t="str">
            <v>06.05.</v>
          </cell>
          <cell r="N69" t="str">
            <v>06.05.08.</v>
          </cell>
          <cell r="O69" t="str">
            <v>Isi Staples besar</v>
          </cell>
          <cell r="P69" t="str">
            <v>Isi Staples besar</v>
          </cell>
          <cell r="Q69" t="str">
            <v>Alat Tulis Kantor (ATK)</v>
          </cell>
          <cell r="R69" t="str">
            <v>Isi Staples Besar (Ukuran 10 Mm (3/8″)Isi Kemasan 1000 Staples/Box)</v>
          </cell>
          <cell r="S69">
            <v>2</v>
          </cell>
          <cell r="T69" t="str">
            <v>kotak</v>
          </cell>
          <cell r="U69">
            <v>80000</v>
          </cell>
          <cell r="V69">
            <v>160000</v>
          </cell>
          <cell r="W69" t="str">
            <v>UD. JOSUA</v>
          </cell>
          <cell r="X69" t="str">
            <v>Gestiwan Zebua</v>
          </cell>
          <cell r="Y69" t="str">
            <v>082166506229</v>
          </cell>
          <cell r="Z69" t="str">
            <v>Jl. Pasir Putih Pasar Telukdalam, Telukdalam Kab. Nias Selatan</v>
          </cell>
          <cell r="AG69">
            <v>1</v>
          </cell>
        </row>
        <row r="70">
          <cell r="A70">
            <v>68</v>
          </cell>
          <cell r="B70" t="str">
            <v>02</v>
          </cell>
          <cell r="C70" t="str">
            <v>02</v>
          </cell>
          <cell r="D70" t="str">
            <v>BPU02</v>
          </cell>
          <cell r="E70">
            <v>68</v>
          </cell>
          <cell r="F70" t="str">
            <v>02</v>
          </cell>
          <cell r="G70">
            <v>45296</v>
          </cell>
          <cell r="H70">
            <v>45297</v>
          </cell>
          <cell r="I70">
            <v>45297</v>
          </cell>
          <cell r="J70">
            <v>45297</v>
          </cell>
          <cell r="K70">
            <v>45314</v>
          </cell>
          <cell r="L70" t="str">
            <v>5.1.02.01.01.0030</v>
          </cell>
          <cell r="M70" t="str">
            <v>06.05.</v>
          </cell>
          <cell r="N70" t="str">
            <v>06.05.09.</v>
          </cell>
          <cell r="O70" t="str">
            <v>Gayung</v>
          </cell>
          <cell r="P70" t="str">
            <v>Gayung</v>
          </cell>
          <cell r="Q70" t="str">
            <v>Alat Kebersihan</v>
          </cell>
          <cell r="R70" t="str">
            <v>Gayung biasa (Diameter 14 cm x tinggi 13 cm, Kapasitas 1,5 lt, Berat Asli 150gram, Bahan Tebal tidak mudah pecah, Plastik Tidak Berbau)</v>
          </cell>
          <cell r="S70">
            <v>20</v>
          </cell>
          <cell r="T70" t="str">
            <v>buah</v>
          </cell>
          <cell r="U70">
            <v>15000</v>
          </cell>
          <cell r="V70">
            <v>300000</v>
          </cell>
          <cell r="W70" t="str">
            <v>UD. JOSUA</v>
          </cell>
          <cell r="X70" t="str">
            <v>Gestiwan Zebua</v>
          </cell>
          <cell r="Y70" t="str">
            <v>082166506229</v>
          </cell>
          <cell r="Z70" t="str">
            <v>Jl. Pasir Putih Pasar Telukdalam, Telukdalam Kab. Nias Selatan</v>
          </cell>
          <cell r="AG70">
            <v>1</v>
          </cell>
        </row>
        <row r="71">
          <cell r="A71">
            <v>69</v>
          </cell>
          <cell r="B71" t="str">
            <v>02</v>
          </cell>
          <cell r="C71" t="str">
            <v>02</v>
          </cell>
          <cell r="D71" t="str">
            <v>BPU02</v>
          </cell>
          <cell r="E71">
            <v>69</v>
          </cell>
          <cell r="F71" t="str">
            <v>02</v>
          </cell>
          <cell r="G71">
            <v>45296</v>
          </cell>
          <cell r="H71">
            <v>45297</v>
          </cell>
          <cell r="I71">
            <v>45297</v>
          </cell>
          <cell r="J71">
            <v>45297</v>
          </cell>
          <cell r="K71">
            <v>45314</v>
          </cell>
          <cell r="L71" t="str">
            <v>5.1.02.01.01.0030</v>
          </cell>
          <cell r="M71" t="str">
            <v>06.05.</v>
          </cell>
          <cell r="N71" t="str">
            <v>06.05.09.</v>
          </cell>
          <cell r="O71" t="str">
            <v>Handsoap/Pencuci Tangan</v>
          </cell>
          <cell r="P71" t="str">
            <v>Handsoap/Pencuci Tangan</v>
          </cell>
          <cell r="Q71" t="str">
            <v>Alat Kebersihan</v>
          </cell>
          <cell r="R71" t="str">
            <v>Handsoap/Pencuci Tangan (Antibacterial Hand Soap - 250ml, ekstrak aloevera)</v>
          </cell>
          <cell r="S71">
            <v>5</v>
          </cell>
          <cell r="T71" t="str">
            <v>botol</v>
          </cell>
          <cell r="U71">
            <v>67000</v>
          </cell>
          <cell r="V71">
            <v>335000</v>
          </cell>
          <cell r="W71" t="str">
            <v>UD. JOSUA</v>
          </cell>
          <cell r="X71" t="str">
            <v>Gestiwan Zebua</v>
          </cell>
          <cell r="Y71" t="str">
            <v>082166506229</v>
          </cell>
          <cell r="Z71" t="str">
            <v>Jl. Pasir Putih Pasar Telukdalam, Telukdalam Kab. Nias Selatan</v>
          </cell>
          <cell r="AG71">
            <v>1</v>
          </cell>
        </row>
        <row r="72">
          <cell r="A72">
            <v>70</v>
          </cell>
          <cell r="B72" t="str">
            <v>02</v>
          </cell>
          <cell r="C72" t="str">
            <v>02</v>
          </cell>
          <cell r="D72" t="str">
            <v>BPU02</v>
          </cell>
          <cell r="E72">
            <v>70</v>
          </cell>
          <cell r="F72" t="str">
            <v>02</v>
          </cell>
          <cell r="G72">
            <v>45296</v>
          </cell>
          <cell r="H72">
            <v>45297</v>
          </cell>
          <cell r="I72">
            <v>45297</v>
          </cell>
          <cell r="J72">
            <v>45297</v>
          </cell>
          <cell r="K72">
            <v>45314</v>
          </cell>
          <cell r="L72" t="str">
            <v>5.1.02.01.01.0030</v>
          </cell>
          <cell r="M72" t="str">
            <v>06.05.</v>
          </cell>
          <cell r="N72" t="str">
            <v>06.05.09.</v>
          </cell>
          <cell r="O72" t="str">
            <v>Kain Lap  Bahan : Katun bermotif kotak-kotak</v>
          </cell>
          <cell r="P72" t="str">
            <v>Kain Lap  Bahan : Katun bermotif kotak-kotak</v>
          </cell>
          <cell r="Q72" t="str">
            <v>Alat Kebersihan</v>
          </cell>
          <cell r="R72" t="str">
            <v>Kain Lap/Serbet (Ukuran : 50 cmx 50 cm)</v>
          </cell>
          <cell r="S72">
            <v>10</v>
          </cell>
          <cell r="T72" t="str">
            <v>lusin</v>
          </cell>
          <cell r="U72">
            <v>75000</v>
          </cell>
          <cell r="V72">
            <v>750000</v>
          </cell>
          <cell r="W72" t="str">
            <v>UD. JOSUA</v>
          </cell>
          <cell r="X72" t="str">
            <v>Gestiwan Zebua</v>
          </cell>
          <cell r="Y72" t="str">
            <v>082166506229</v>
          </cell>
          <cell r="Z72" t="str">
            <v>Jl. Pasir Putih Pasar Telukdalam, Telukdalam Kab. Nias Selatan</v>
          </cell>
          <cell r="AG72">
            <v>1</v>
          </cell>
        </row>
        <row r="73">
          <cell r="A73">
            <v>71</v>
          </cell>
          <cell r="B73" t="str">
            <v>02</v>
          </cell>
          <cell r="C73" t="str">
            <v>02</v>
          </cell>
          <cell r="D73" t="str">
            <v>BPU02</v>
          </cell>
          <cell r="E73">
            <v>71</v>
          </cell>
          <cell r="F73" t="str">
            <v>02</v>
          </cell>
          <cell r="G73">
            <v>45296</v>
          </cell>
          <cell r="H73">
            <v>45297</v>
          </cell>
          <cell r="I73">
            <v>45297</v>
          </cell>
          <cell r="J73">
            <v>45297</v>
          </cell>
          <cell r="K73">
            <v>45314</v>
          </cell>
          <cell r="L73" t="str">
            <v>5.1.02.01.01.0030</v>
          </cell>
          <cell r="M73" t="str">
            <v>06.05.</v>
          </cell>
          <cell r="N73" t="str">
            <v>06.05.09.</v>
          </cell>
          <cell r="O73" t="str">
            <v>Serok Sampah--</v>
          </cell>
          <cell r="P73" t="str">
            <v>Serok Sampah--</v>
          </cell>
          <cell r="Q73" t="str">
            <v>Alat Kebersihan</v>
          </cell>
          <cell r="R73" t="str">
            <v xml:space="preserve">Serok sampah (merk Lion Star DP-5 Sigma Dust Pan, Lebar mulut serok 31,2 cm x panjang serokan 27,5 cm x Tinggi 83,5 cm)
</v>
          </cell>
          <cell r="S73">
            <v>15</v>
          </cell>
          <cell r="T73" t="str">
            <v>buah</v>
          </cell>
          <cell r="U73">
            <v>25000</v>
          </cell>
          <cell r="V73">
            <v>375000</v>
          </cell>
          <cell r="W73" t="str">
            <v>UD. JOSUA</v>
          </cell>
          <cell r="X73" t="str">
            <v>Gestiwan Zebua</v>
          </cell>
          <cell r="Y73" t="str">
            <v>082166506229</v>
          </cell>
          <cell r="Z73" t="str">
            <v>Jl. Pasir Putih Pasar Telukdalam, Telukdalam Kab. Nias Selatan</v>
          </cell>
          <cell r="AG73">
            <v>1</v>
          </cell>
        </row>
        <row r="74">
          <cell r="A74">
            <v>72</v>
          </cell>
          <cell r="B74" t="str">
            <v>02</v>
          </cell>
          <cell r="C74" t="str">
            <v>02</v>
          </cell>
          <cell r="D74" t="str">
            <v>BPU02</v>
          </cell>
          <cell r="E74">
            <v>72</v>
          </cell>
          <cell r="F74" t="str">
            <v>02</v>
          </cell>
          <cell r="G74">
            <v>45296</v>
          </cell>
          <cell r="H74">
            <v>45297</v>
          </cell>
          <cell r="I74">
            <v>45297</v>
          </cell>
          <cell r="J74">
            <v>45297</v>
          </cell>
          <cell r="K74">
            <v>45314</v>
          </cell>
          <cell r="L74" t="str">
            <v>5.1.02.01.01.0030</v>
          </cell>
          <cell r="M74" t="str">
            <v>06.05.</v>
          </cell>
          <cell r="N74" t="str">
            <v>06.05.09.</v>
          </cell>
          <cell r="O74" t="str">
            <v>Alat Pel lantai besar</v>
          </cell>
          <cell r="P74" t="str">
            <v>Alat Pel lantai besar</v>
          </cell>
          <cell r="Q74" t="str">
            <v>Alat Kebersihan</v>
          </cell>
          <cell r="R74" t="str">
            <v>Alat Pel lantai besar (Merek : Nagoya Code : 703-L, Ukuran : Besar, Tongkat : Aluminium, Kepala Pel: Sumbu, Panjang Tongkat 110cm, Lebar Kelapa Pel: 19cm)</v>
          </cell>
          <cell r="S74">
            <v>5</v>
          </cell>
          <cell r="T74" t="str">
            <v>buah</v>
          </cell>
          <cell r="U74">
            <v>169000</v>
          </cell>
          <cell r="V74">
            <v>845000</v>
          </cell>
          <cell r="W74" t="str">
            <v>UD. JOSUA</v>
          </cell>
          <cell r="X74" t="str">
            <v>Gestiwan Zebua</v>
          </cell>
          <cell r="Y74" t="str">
            <v>082166506229</v>
          </cell>
          <cell r="Z74" t="str">
            <v>Jl. Pasir Putih Pasar Telukdalam, Telukdalam Kab. Nias Selatan</v>
          </cell>
          <cell r="AG74">
            <v>1</v>
          </cell>
        </row>
        <row r="75">
          <cell r="A75">
            <v>73</v>
          </cell>
          <cell r="B75" t="str">
            <v>02</v>
          </cell>
          <cell r="C75" t="str">
            <v>02</v>
          </cell>
          <cell r="D75" t="str">
            <v>BPU02</v>
          </cell>
          <cell r="E75">
            <v>73</v>
          </cell>
          <cell r="F75" t="str">
            <v>02</v>
          </cell>
          <cell r="G75">
            <v>45296</v>
          </cell>
          <cell r="H75">
            <v>45297</v>
          </cell>
          <cell r="I75">
            <v>45297</v>
          </cell>
          <cell r="J75">
            <v>45297</v>
          </cell>
          <cell r="K75">
            <v>45314</v>
          </cell>
          <cell r="L75" t="str">
            <v>5.1.02.01.01.0030</v>
          </cell>
          <cell r="M75" t="str">
            <v>06.05.</v>
          </cell>
          <cell r="N75" t="str">
            <v>06.05.09.</v>
          </cell>
          <cell r="O75" t="str">
            <v>Sapu</v>
          </cell>
          <cell r="P75" t="str">
            <v>Sapu</v>
          </cell>
          <cell r="Q75" t="str">
            <v>Alat Kebersihan</v>
          </cell>
          <cell r="R75" t="str">
            <v>Sapu Lantai (Sapu Lantai Nylon Plastik Dengan Gagang (Warna), Ukuran (P x L x T) : 43 x 28 x 105 cm)</v>
          </cell>
          <cell r="S75">
            <v>60</v>
          </cell>
          <cell r="T75" t="str">
            <v>buah</v>
          </cell>
          <cell r="U75">
            <v>65000</v>
          </cell>
          <cell r="V75">
            <v>3900000</v>
          </cell>
          <cell r="W75" t="str">
            <v>UD. JOSUA</v>
          </cell>
          <cell r="X75" t="str">
            <v>Gestiwan Zebua</v>
          </cell>
          <cell r="Y75" t="str">
            <v>082166506229</v>
          </cell>
          <cell r="Z75" t="str">
            <v>Jl. Pasir Putih Pasar Telukdalam, Telukdalam Kab. Nias Selatan</v>
          </cell>
          <cell r="AG75">
            <v>1</v>
          </cell>
        </row>
        <row r="76">
          <cell r="A76">
            <v>74</v>
          </cell>
          <cell r="B76" t="str">
            <v>02</v>
          </cell>
          <cell r="C76" t="str">
            <v>02</v>
          </cell>
          <cell r="D76" t="str">
            <v>BPU02</v>
          </cell>
          <cell r="E76">
            <v>74</v>
          </cell>
          <cell r="F76" t="str">
            <v>02</v>
          </cell>
          <cell r="G76">
            <v>45296</v>
          </cell>
          <cell r="H76">
            <v>45297</v>
          </cell>
          <cell r="I76">
            <v>45297</v>
          </cell>
          <cell r="J76">
            <v>45297</v>
          </cell>
          <cell r="K76">
            <v>45314</v>
          </cell>
          <cell r="L76" t="str">
            <v>5.1.02.01.01.0030</v>
          </cell>
          <cell r="M76" t="str">
            <v>06.05.</v>
          </cell>
          <cell r="N76" t="str">
            <v>06.05.09.</v>
          </cell>
          <cell r="O76" t="str">
            <v>Perlengkapan Kebersihan Pembersih Lantai Super Pel Varian 800ml</v>
          </cell>
          <cell r="P76" t="str">
            <v>Perlengkapan Kebersihan Pembersih Lantai Super Pel Varian 800ml</v>
          </cell>
          <cell r="Q76" t="str">
            <v>Alat Kebersihan</v>
          </cell>
          <cell r="R76" t="str">
            <v>Super Pel 800ml (Dimensi, 22cm x 12cm x 26cm. Berat, 800g.)</v>
          </cell>
          <cell r="S76">
            <v>15</v>
          </cell>
          <cell r="T76" t="str">
            <v>buah</v>
          </cell>
          <cell r="U76">
            <v>13700</v>
          </cell>
          <cell r="V76">
            <v>205500</v>
          </cell>
          <cell r="W76" t="str">
            <v>UD. JOSUA</v>
          </cell>
          <cell r="X76" t="str">
            <v>Gestiwan Zebua</v>
          </cell>
          <cell r="Y76" t="str">
            <v>082166506229</v>
          </cell>
          <cell r="Z76" t="str">
            <v>Jl. Pasir Putih Pasar Telukdalam, Telukdalam Kab. Nias Selatan</v>
          </cell>
          <cell r="AG76">
            <v>1</v>
          </cell>
        </row>
        <row r="77">
          <cell r="A77">
            <v>75</v>
          </cell>
          <cell r="B77" t="str">
            <v>02</v>
          </cell>
          <cell r="C77" t="str">
            <v>02</v>
          </cell>
          <cell r="D77" t="str">
            <v>BPU02</v>
          </cell>
          <cell r="E77">
            <v>75</v>
          </cell>
          <cell r="F77" t="str">
            <v>02</v>
          </cell>
          <cell r="G77">
            <v>45296</v>
          </cell>
          <cell r="H77">
            <v>45297</v>
          </cell>
          <cell r="I77">
            <v>45297</v>
          </cell>
          <cell r="J77">
            <v>45297</v>
          </cell>
          <cell r="K77">
            <v>45314</v>
          </cell>
          <cell r="L77" t="str">
            <v>5.1.02.01.01.0030</v>
          </cell>
          <cell r="M77" t="str">
            <v>06.05.</v>
          </cell>
          <cell r="N77" t="str">
            <v>06.05.09.</v>
          </cell>
          <cell r="O77" t="str">
            <v>Serok Air Besar--</v>
          </cell>
          <cell r="P77" t="str">
            <v>Serok Air Besar--</v>
          </cell>
          <cell r="Q77" t="str">
            <v>Alat Kebersihan</v>
          </cell>
          <cell r="R77" t="str">
            <v>Serok Air Besar (Ukuran: 40 cm (lebar karet) 40 x 120 cm )</v>
          </cell>
          <cell r="S77">
            <v>5</v>
          </cell>
          <cell r="T77" t="str">
            <v>buah</v>
          </cell>
          <cell r="U77">
            <v>40000</v>
          </cell>
          <cell r="V77">
            <v>200000</v>
          </cell>
          <cell r="W77" t="str">
            <v>UD. JOSUA</v>
          </cell>
          <cell r="X77" t="str">
            <v>Gestiwan Zebua</v>
          </cell>
          <cell r="Y77" t="str">
            <v>082166506229</v>
          </cell>
          <cell r="Z77" t="str">
            <v>Jl. Pasir Putih Pasar Telukdalam, Telukdalam Kab. Nias Selatan</v>
          </cell>
          <cell r="AG77">
            <v>1</v>
          </cell>
        </row>
        <row r="78">
          <cell r="A78">
            <v>76</v>
          </cell>
          <cell r="B78" t="str">
            <v>02</v>
          </cell>
          <cell r="C78" t="str">
            <v>02</v>
          </cell>
          <cell r="D78" t="str">
            <v>BPU02</v>
          </cell>
          <cell r="E78">
            <v>76</v>
          </cell>
          <cell r="F78" t="str">
            <v>02</v>
          </cell>
          <cell r="G78">
            <v>45296</v>
          </cell>
          <cell r="H78">
            <v>45297</v>
          </cell>
          <cell r="I78">
            <v>45297</v>
          </cell>
          <cell r="J78">
            <v>45297</v>
          </cell>
          <cell r="K78">
            <v>45314</v>
          </cell>
          <cell r="L78" t="str">
            <v>5.1.02.01.01.0030</v>
          </cell>
          <cell r="M78" t="str">
            <v>06.05.</v>
          </cell>
          <cell r="N78" t="str">
            <v>06.05.09.</v>
          </cell>
          <cell r="O78" t="str">
            <v>Pengharum Ruangan</v>
          </cell>
          <cell r="P78" t="str">
            <v>Pengharum Ruangan</v>
          </cell>
          <cell r="Q78" t="str">
            <v>Alat Kebersihan</v>
          </cell>
          <cell r="R78" t="str">
            <v>Stella pengharum ruangan sachet (Panjang : 10 cm, Lebar : 7 cm, Tinggi : 10 cm, Berat 10 Gr</v>
          </cell>
          <cell r="S78">
            <v>10</v>
          </cell>
          <cell r="T78" t="str">
            <v>buah</v>
          </cell>
          <cell r="U78">
            <v>12100</v>
          </cell>
          <cell r="V78">
            <v>121000</v>
          </cell>
          <cell r="W78" t="str">
            <v>UD. JOSUA</v>
          </cell>
          <cell r="X78" t="str">
            <v>Gestiwan Zebua</v>
          </cell>
          <cell r="Y78" t="str">
            <v>082166506229</v>
          </cell>
          <cell r="Z78" t="str">
            <v>Jl. Pasir Putih Pasar Telukdalam, Telukdalam Kab. Nias Selatan</v>
          </cell>
          <cell r="AG78">
            <v>1</v>
          </cell>
        </row>
        <row r="79">
          <cell r="A79">
            <v>77</v>
          </cell>
          <cell r="B79" t="str">
            <v>02</v>
          </cell>
          <cell r="C79" t="str">
            <v>02</v>
          </cell>
          <cell r="D79" t="str">
            <v>BPU02</v>
          </cell>
          <cell r="E79">
            <v>77</v>
          </cell>
          <cell r="F79" t="str">
            <v>02</v>
          </cell>
          <cell r="G79">
            <v>45296</v>
          </cell>
          <cell r="H79">
            <v>45297</v>
          </cell>
          <cell r="I79">
            <v>45297</v>
          </cell>
          <cell r="J79">
            <v>45297</v>
          </cell>
          <cell r="K79">
            <v>45314</v>
          </cell>
          <cell r="L79" t="str">
            <v>5.1.02.01.01.0030</v>
          </cell>
          <cell r="M79" t="str">
            <v>06.05.</v>
          </cell>
          <cell r="N79" t="str">
            <v>06.05.09.</v>
          </cell>
          <cell r="O79" t="str">
            <v>Perlengkapan Kebersihan Pembersih Pakaian Sunlight Refil 800ml</v>
          </cell>
          <cell r="P79" t="str">
            <v>Perlengkapan Kebersihan Pembersih Pakaian Sunlight Refil 800ml</v>
          </cell>
          <cell r="Q79" t="str">
            <v>Alat Kebersihan</v>
          </cell>
          <cell r="R79" t="str">
            <v>Sunlight Refil 800ml (Dimensi, 6cm x 15cm x 22cm. Berat, 800g.)</v>
          </cell>
          <cell r="S79">
            <v>3</v>
          </cell>
          <cell r="T79" t="str">
            <v>buah</v>
          </cell>
          <cell r="U79">
            <v>15000</v>
          </cell>
          <cell r="V79">
            <v>45000</v>
          </cell>
          <cell r="W79" t="str">
            <v>UD. JOSUA</v>
          </cell>
          <cell r="X79" t="str">
            <v>Gestiwan Zebua</v>
          </cell>
          <cell r="Y79" t="str">
            <v>082166506229</v>
          </cell>
          <cell r="Z79" t="str">
            <v>Jl. Pasir Putih Pasar Telukdalam, Telukdalam Kab. Nias Selatan</v>
          </cell>
          <cell r="AG79">
            <v>1</v>
          </cell>
        </row>
        <row r="80">
          <cell r="A80">
            <v>78</v>
          </cell>
          <cell r="B80" t="str">
            <v>02</v>
          </cell>
          <cell r="C80" t="str">
            <v>02</v>
          </cell>
          <cell r="D80" t="str">
            <v>BPU02</v>
          </cell>
          <cell r="E80">
            <v>78</v>
          </cell>
          <cell r="F80" t="str">
            <v>02</v>
          </cell>
          <cell r="G80">
            <v>45296</v>
          </cell>
          <cell r="H80">
            <v>45297</v>
          </cell>
          <cell r="I80">
            <v>45297</v>
          </cell>
          <cell r="J80">
            <v>45297</v>
          </cell>
          <cell r="K80">
            <v>45314</v>
          </cell>
          <cell r="L80" t="str">
            <v>5.1.02.01.01.0030</v>
          </cell>
          <cell r="M80" t="str">
            <v>06.05.</v>
          </cell>
          <cell r="N80" t="str">
            <v>06.05.09.</v>
          </cell>
          <cell r="O80" t="str">
            <v>vixal 500ml</v>
          </cell>
          <cell r="P80" t="str">
            <v>vixal 500ml</v>
          </cell>
          <cell r="Q80" t="str">
            <v>Alat Kebersihan</v>
          </cell>
          <cell r="R80" t="str">
            <v>Pembersih Lantai (Merk vixal, Kemasan Botol, isi  500ml)</v>
          </cell>
          <cell r="S80">
            <v>10</v>
          </cell>
          <cell r="T80" t="str">
            <v>botol</v>
          </cell>
          <cell r="U80">
            <v>30000</v>
          </cell>
          <cell r="V80">
            <v>300000</v>
          </cell>
          <cell r="W80" t="str">
            <v>UD. JOSUA</v>
          </cell>
          <cell r="X80" t="str">
            <v>Gestiwan Zebua</v>
          </cell>
          <cell r="Y80" t="str">
            <v>082166506229</v>
          </cell>
          <cell r="Z80" t="str">
            <v>Jl. Pasir Putih Pasar Telukdalam, Telukdalam Kab. Nias Selatan</v>
          </cell>
          <cell r="AG80">
            <v>1</v>
          </cell>
        </row>
        <row r="81">
          <cell r="A81">
            <v>79</v>
          </cell>
          <cell r="B81" t="str">
            <v>02</v>
          </cell>
          <cell r="C81" t="str">
            <v>02</v>
          </cell>
          <cell r="D81" t="str">
            <v>BPU02</v>
          </cell>
          <cell r="E81">
            <v>79</v>
          </cell>
          <cell r="F81" t="str">
            <v>02</v>
          </cell>
          <cell r="G81">
            <v>45296</v>
          </cell>
          <cell r="H81">
            <v>45297</v>
          </cell>
          <cell r="I81">
            <v>45297</v>
          </cell>
          <cell r="J81">
            <v>45297</v>
          </cell>
          <cell r="K81">
            <v>45314</v>
          </cell>
          <cell r="L81" t="str">
            <v>5.1.02.01.01.0030</v>
          </cell>
          <cell r="M81" t="str">
            <v>06.05.</v>
          </cell>
          <cell r="N81" t="str">
            <v>06.05.09.</v>
          </cell>
          <cell r="O81" t="str">
            <v>Spon Cuci</v>
          </cell>
          <cell r="P81" t="str">
            <v>Spon Cuci</v>
          </cell>
          <cell r="Q81" t="str">
            <v>Alat Kebersihan</v>
          </cell>
          <cell r="R81" t="str">
            <v>Spon Cuci (G Spons Busa Cuci Piring Minyak Dua Sisi / Sponge Cuci Piring 2 sisi / Spons Abu Dua sisi Anti Minyak)</v>
          </cell>
          <cell r="S81">
            <v>5</v>
          </cell>
          <cell r="T81" t="str">
            <v>buah</v>
          </cell>
          <cell r="U81">
            <v>12000</v>
          </cell>
          <cell r="V81">
            <v>60000</v>
          </cell>
          <cell r="W81" t="str">
            <v>UD. JOSUA</v>
          </cell>
          <cell r="X81" t="str">
            <v>Gestiwan Zebua</v>
          </cell>
          <cell r="Y81" t="str">
            <v>082166506229</v>
          </cell>
          <cell r="Z81" t="str">
            <v>Jl. Pasir Putih Pasar Telukdalam, Telukdalam Kab. Nias Selatan</v>
          </cell>
          <cell r="AG81">
            <v>1</v>
          </cell>
        </row>
        <row r="82">
          <cell r="A82">
            <v>80</v>
          </cell>
          <cell r="B82" t="str">
            <v>02</v>
          </cell>
          <cell r="C82" t="str">
            <v>02</v>
          </cell>
          <cell r="D82" t="str">
            <v>BPU02</v>
          </cell>
          <cell r="E82">
            <v>80</v>
          </cell>
          <cell r="F82" t="str">
            <v>02</v>
          </cell>
          <cell r="G82">
            <v>45296</v>
          </cell>
          <cell r="H82">
            <v>45297</v>
          </cell>
          <cell r="I82">
            <v>45297</v>
          </cell>
          <cell r="J82">
            <v>45297</v>
          </cell>
          <cell r="K82">
            <v>45314</v>
          </cell>
          <cell r="L82" t="str">
            <v>5.1.02.01.01.0030</v>
          </cell>
          <cell r="M82" t="str">
            <v>06.05.</v>
          </cell>
          <cell r="N82" t="str">
            <v>06.05.09.</v>
          </cell>
          <cell r="O82" t="str">
            <v>Tisu--</v>
          </cell>
          <cell r="P82" t="str">
            <v>Tisu--</v>
          </cell>
          <cell r="Q82" t="str">
            <v>Alat Kebersihan</v>
          </cell>
          <cell r="R82" t="str">
            <v>Tissue (Merk JOLLY 250 Sheets 2 Ply, Berat Volume = 285 gr)</v>
          </cell>
          <cell r="S82">
            <v>12</v>
          </cell>
          <cell r="T82" t="str">
            <v>buah</v>
          </cell>
          <cell r="U82">
            <v>12500</v>
          </cell>
          <cell r="V82">
            <v>150000</v>
          </cell>
          <cell r="W82" t="str">
            <v>UD. JOSUA</v>
          </cell>
          <cell r="X82" t="str">
            <v>Gestiwan Zebua</v>
          </cell>
          <cell r="Y82" t="str">
            <v>082166506229</v>
          </cell>
          <cell r="Z82" t="str">
            <v>Jl. Pasir Putih Pasar Telukdalam, Telukdalam Kab. Nias Selatan</v>
          </cell>
          <cell r="AG82">
            <v>1</v>
          </cell>
        </row>
        <row r="83">
          <cell r="A83">
            <v>81</v>
          </cell>
          <cell r="B83" t="str">
            <v>02</v>
          </cell>
          <cell r="C83" t="str">
            <v>02</v>
          </cell>
          <cell r="D83" t="str">
            <v>BPU02</v>
          </cell>
          <cell r="E83">
            <v>81</v>
          </cell>
          <cell r="F83" t="str">
            <v>02</v>
          </cell>
          <cell r="G83">
            <v>45296</v>
          </cell>
          <cell r="H83">
            <v>45297</v>
          </cell>
          <cell r="I83">
            <v>45297</v>
          </cell>
          <cell r="J83">
            <v>45297</v>
          </cell>
          <cell r="K83">
            <v>45314</v>
          </cell>
          <cell r="L83" t="str">
            <v>5.1.02.01.01.0030</v>
          </cell>
          <cell r="M83" t="str">
            <v>06.05.</v>
          </cell>
          <cell r="N83" t="str">
            <v>06.05.09.</v>
          </cell>
          <cell r="O83" t="str">
            <v>Cairan Pembersih Kaca</v>
          </cell>
          <cell r="P83" t="str">
            <v>Cairan Pembersih Kaca</v>
          </cell>
          <cell r="Q83" t="str">
            <v>Alat Kebersihan</v>
          </cell>
          <cell r="R83" t="str">
            <v>Pembersih Kaca (Merk: CLING. Isi: 450ml. Dimensi 25 cm x 13 cm x 13 cm )</v>
          </cell>
          <cell r="S83">
            <v>5</v>
          </cell>
          <cell r="T83" t="str">
            <v>buah</v>
          </cell>
          <cell r="U83">
            <v>12000</v>
          </cell>
          <cell r="V83">
            <v>60000</v>
          </cell>
          <cell r="W83" t="str">
            <v>UD. JOSUA</v>
          </cell>
          <cell r="X83" t="str">
            <v>Gestiwan Zebua</v>
          </cell>
          <cell r="Y83" t="str">
            <v>082166506229</v>
          </cell>
          <cell r="Z83" t="str">
            <v>Jl. Pasir Putih Pasar Telukdalam, Telukdalam Kab. Nias Selatan</v>
          </cell>
          <cell r="AG83">
            <v>1</v>
          </cell>
        </row>
        <row r="84">
          <cell r="A84">
            <v>82</v>
          </cell>
          <cell r="B84" t="str">
            <v>02</v>
          </cell>
          <cell r="C84" t="str">
            <v>02</v>
          </cell>
          <cell r="D84" t="str">
            <v>BPU02</v>
          </cell>
          <cell r="E84">
            <v>82</v>
          </cell>
          <cell r="F84" t="str">
            <v>02</v>
          </cell>
          <cell r="G84">
            <v>45296</v>
          </cell>
          <cell r="H84">
            <v>45297</v>
          </cell>
          <cell r="I84">
            <v>45297</v>
          </cell>
          <cell r="J84">
            <v>45297</v>
          </cell>
          <cell r="K84">
            <v>45314</v>
          </cell>
          <cell r="L84" t="str">
            <v>5.1.02.01.01.0030</v>
          </cell>
          <cell r="M84" t="str">
            <v>06.05.</v>
          </cell>
          <cell r="N84" t="str">
            <v>06.05.09.</v>
          </cell>
          <cell r="O84" t="str">
            <v>Tempat sampah</v>
          </cell>
          <cell r="P84" t="str">
            <v>Tempat sampah</v>
          </cell>
          <cell r="Q84" t="str">
            <v>Alat Kebersihan</v>
          </cell>
          <cell r="R84" t="str">
            <v>Tempat sampah (Bahan Plastik 33x32cm,)</v>
          </cell>
          <cell r="S84">
            <v>35</v>
          </cell>
          <cell r="T84" t="str">
            <v>buah</v>
          </cell>
          <cell r="U84">
            <v>20000</v>
          </cell>
          <cell r="V84">
            <v>700000</v>
          </cell>
          <cell r="W84" t="str">
            <v>UD. JOSUA</v>
          </cell>
          <cell r="X84" t="str">
            <v>Gestiwan Zebua</v>
          </cell>
          <cell r="Y84" t="str">
            <v>082166506229</v>
          </cell>
          <cell r="Z84" t="str">
            <v>Jl. Pasir Putih Pasar Telukdalam, Telukdalam Kab. Nias Selatan</v>
          </cell>
          <cell r="AG84">
            <v>1</v>
          </cell>
        </row>
        <row r="85">
          <cell r="A85">
            <v>83</v>
          </cell>
          <cell r="B85" t="str">
            <v>02</v>
          </cell>
          <cell r="C85" t="str">
            <v>02</v>
          </cell>
          <cell r="D85" t="str">
            <v>BPU02</v>
          </cell>
          <cell r="E85">
            <v>83</v>
          </cell>
          <cell r="F85" t="str">
            <v>02</v>
          </cell>
          <cell r="G85">
            <v>45296</v>
          </cell>
          <cell r="H85">
            <v>45297</v>
          </cell>
          <cell r="I85">
            <v>45297</v>
          </cell>
          <cell r="J85">
            <v>45297</v>
          </cell>
          <cell r="K85">
            <v>45314</v>
          </cell>
          <cell r="L85" t="str">
            <v>5.1.02.01.01.0030</v>
          </cell>
          <cell r="M85" t="str">
            <v>06.05.</v>
          </cell>
          <cell r="N85" t="str">
            <v>06.05.09.</v>
          </cell>
          <cell r="O85" t="str">
            <v>Alat Pel</v>
          </cell>
          <cell r="P85" t="str">
            <v>Alat Pel</v>
          </cell>
          <cell r="Q85" t="str">
            <v>Alat Kebersihan</v>
          </cell>
          <cell r="R85" t="str">
            <v>Alat Pel (Merk: Dragon. Ukuran 18cm)</v>
          </cell>
          <cell r="S85">
            <v>25</v>
          </cell>
          <cell r="T85" t="str">
            <v>buah</v>
          </cell>
          <cell r="U85">
            <v>35000</v>
          </cell>
          <cell r="V85">
            <v>875000</v>
          </cell>
          <cell r="W85" t="str">
            <v>UD. JOSUA</v>
          </cell>
          <cell r="X85" t="str">
            <v>Gestiwan Zebua</v>
          </cell>
          <cell r="Y85" t="str">
            <v>082166506229</v>
          </cell>
          <cell r="Z85" t="str">
            <v>Jl. Pasir Putih Pasar Telukdalam, Telukdalam Kab. Nias Selatan</v>
          </cell>
          <cell r="AG85">
            <v>1</v>
          </cell>
        </row>
        <row r="86">
          <cell r="A86">
            <v>84</v>
          </cell>
          <cell r="B86" t="str">
            <v>02</v>
          </cell>
          <cell r="C86" t="str">
            <v>02</v>
          </cell>
          <cell r="D86" t="str">
            <v>BPU02</v>
          </cell>
          <cell r="E86">
            <v>84</v>
          </cell>
          <cell r="F86" t="str">
            <v>02</v>
          </cell>
          <cell r="G86">
            <v>45296</v>
          </cell>
          <cell r="H86">
            <v>45297</v>
          </cell>
          <cell r="I86">
            <v>45297</v>
          </cell>
          <cell r="J86">
            <v>45297</v>
          </cell>
          <cell r="K86">
            <v>45314</v>
          </cell>
          <cell r="L86" t="str">
            <v>5.1.02.01.01.0030</v>
          </cell>
          <cell r="M86" t="str">
            <v>06.05.</v>
          </cell>
          <cell r="N86" t="str">
            <v>06.05.09.</v>
          </cell>
          <cell r="O86" t="str">
            <v>Sikat Pembersih</v>
          </cell>
          <cell r="P86" t="str">
            <v>Sikat Pembersih</v>
          </cell>
          <cell r="Q86" t="str">
            <v>Alat Kebersihan</v>
          </cell>
          <cell r="R86" t="str">
            <v>Sikat Pembersih (merk: Nagoya. Panjang Gagang: 110cm. Lebar Kepala Sapu: 24cm)</v>
          </cell>
          <cell r="S86">
            <v>15</v>
          </cell>
          <cell r="T86" t="str">
            <v>buah</v>
          </cell>
          <cell r="U86">
            <v>60000</v>
          </cell>
          <cell r="V86">
            <v>900000</v>
          </cell>
          <cell r="W86" t="str">
            <v>UD. JOSUA</v>
          </cell>
          <cell r="X86" t="str">
            <v>Gestiwan Zebua</v>
          </cell>
          <cell r="Y86" t="str">
            <v>082166506229</v>
          </cell>
          <cell r="Z86" t="str">
            <v>Jl. Pasir Putih Pasar Telukdalam, Telukdalam Kab. Nias Selatan</v>
          </cell>
          <cell r="AG86">
            <v>1</v>
          </cell>
        </row>
        <row r="87">
          <cell r="A87">
            <v>85</v>
          </cell>
          <cell r="B87" t="str">
            <v>02</v>
          </cell>
          <cell r="C87" t="str">
            <v>02</v>
          </cell>
          <cell r="D87" t="str">
            <v>BPU02</v>
          </cell>
          <cell r="E87">
            <v>85</v>
          </cell>
          <cell r="F87" t="str">
            <v>02</v>
          </cell>
          <cell r="G87">
            <v>45296</v>
          </cell>
          <cell r="H87">
            <v>45297</v>
          </cell>
          <cell r="I87">
            <v>45297</v>
          </cell>
          <cell r="J87">
            <v>45297</v>
          </cell>
          <cell r="K87">
            <v>45314</v>
          </cell>
          <cell r="L87" t="str">
            <v>5.1.02.01.01.0030</v>
          </cell>
          <cell r="M87" t="str">
            <v>06.05.</v>
          </cell>
          <cell r="N87" t="str">
            <v>06.05.09.</v>
          </cell>
          <cell r="O87" t="str">
            <v>Hand Sanitizer-Unit</v>
          </cell>
          <cell r="P87" t="str">
            <v>Hand Sanitizer-Unit</v>
          </cell>
          <cell r="Q87" t="str">
            <v>Alat Kebersihan</v>
          </cell>
          <cell r="R87" t="str">
            <v>Hand Sanitizer (Merk: SOS. Isi: 300ml</v>
          </cell>
          <cell r="S87">
            <v>5</v>
          </cell>
          <cell r="T87" t="str">
            <v>unit</v>
          </cell>
          <cell r="U87">
            <v>70000</v>
          </cell>
          <cell r="V87">
            <v>350000</v>
          </cell>
          <cell r="W87" t="str">
            <v>UD. JOSUA</v>
          </cell>
          <cell r="X87" t="str">
            <v>Gestiwan Zebua</v>
          </cell>
          <cell r="Y87" t="str">
            <v>082166506229</v>
          </cell>
          <cell r="Z87" t="str">
            <v>Jl. Pasir Putih Pasar Telukdalam, Telukdalam Kab. Nias Selatan</v>
          </cell>
          <cell r="AG87">
            <v>1</v>
          </cell>
        </row>
        <row r="88">
          <cell r="A88">
            <v>86</v>
          </cell>
          <cell r="B88" t="str">
            <v>02</v>
          </cell>
          <cell r="C88" t="str">
            <v>02</v>
          </cell>
          <cell r="D88" t="str">
            <v>BPU02</v>
          </cell>
          <cell r="E88">
            <v>86</v>
          </cell>
          <cell r="F88" t="str">
            <v>02</v>
          </cell>
          <cell r="G88">
            <v>45296</v>
          </cell>
          <cell r="H88">
            <v>45297</v>
          </cell>
          <cell r="I88">
            <v>45297</v>
          </cell>
          <cell r="J88">
            <v>45297</v>
          </cell>
          <cell r="K88">
            <v>45314</v>
          </cell>
          <cell r="L88" t="str">
            <v>5.1.02.01.01.0030</v>
          </cell>
          <cell r="M88" t="str">
            <v>06.05.</v>
          </cell>
          <cell r="N88" t="str">
            <v>06.05.09.</v>
          </cell>
          <cell r="O88" t="str">
            <v>Sapu Lidi</v>
          </cell>
          <cell r="P88" t="str">
            <v>Sapu Lidi</v>
          </cell>
          <cell r="Q88" t="str">
            <v>Alat Kebersihan</v>
          </cell>
          <cell r="R88" t="str">
            <v>Sapu Lidi (Panjang 120 cm)</v>
          </cell>
          <cell r="S88">
            <v>15</v>
          </cell>
          <cell r="T88" t="str">
            <v>buah</v>
          </cell>
          <cell r="U88">
            <v>25000</v>
          </cell>
          <cell r="V88">
            <v>375000</v>
          </cell>
          <cell r="W88" t="str">
            <v>UD. JOSUA</v>
          </cell>
          <cell r="X88" t="str">
            <v>Gestiwan Zebua</v>
          </cell>
          <cell r="Y88" t="str">
            <v>082166506229</v>
          </cell>
          <cell r="Z88" t="str">
            <v>Jl. Pasir Putih Pasar Telukdalam, Telukdalam Kab. Nias Selatan</v>
          </cell>
          <cell r="AG88">
            <v>1</v>
          </cell>
        </row>
        <row r="89">
          <cell r="A89">
            <v>87</v>
          </cell>
          <cell r="B89" t="str">
            <v>02</v>
          </cell>
          <cell r="C89" t="str">
            <v>02</v>
          </cell>
          <cell r="D89" t="str">
            <v>BPU02</v>
          </cell>
          <cell r="E89">
            <v>87</v>
          </cell>
          <cell r="F89" t="str">
            <v>02</v>
          </cell>
          <cell r="G89">
            <v>45296</v>
          </cell>
          <cell r="H89">
            <v>45297</v>
          </cell>
          <cell r="I89">
            <v>45297</v>
          </cell>
          <cell r="J89">
            <v>45297</v>
          </cell>
          <cell r="K89">
            <v>45314</v>
          </cell>
          <cell r="L89" t="str">
            <v>5.1.02.01.01.0030</v>
          </cell>
          <cell r="M89" t="str">
            <v>06.05.</v>
          </cell>
          <cell r="N89" t="str">
            <v>06.05.09.</v>
          </cell>
          <cell r="O89" t="str">
            <v>Sikat WC Type : Gagang Panjang</v>
          </cell>
          <cell r="P89" t="str">
            <v>Sikat WC Type : Gagang Panjang</v>
          </cell>
          <cell r="Q89" t="str">
            <v>Alat Kebersihan</v>
          </cell>
          <cell r="R89" t="str">
            <v>Sikal Closet (Lion Star BR-66 Bathroom Brush 201,  Dimensi : 150 x 70 x H 500 mm)</v>
          </cell>
          <cell r="S89">
            <v>15</v>
          </cell>
          <cell r="T89" t="str">
            <v>buah</v>
          </cell>
          <cell r="U89">
            <v>34000</v>
          </cell>
          <cell r="V89">
            <v>510000</v>
          </cell>
          <cell r="W89" t="str">
            <v>UD. JOSUA</v>
          </cell>
          <cell r="X89" t="str">
            <v>Gestiwan Zebua</v>
          </cell>
          <cell r="Y89" t="str">
            <v>082166506229</v>
          </cell>
          <cell r="Z89" t="str">
            <v>Jl. Pasir Putih Pasar Telukdalam, Telukdalam Kab. Nias Selatan</v>
          </cell>
          <cell r="AG89">
            <v>1</v>
          </cell>
        </row>
        <row r="90">
          <cell r="A90">
            <v>88</v>
          </cell>
          <cell r="B90" t="str">
            <v>03</v>
          </cell>
          <cell r="C90" t="str">
            <v>03</v>
          </cell>
          <cell r="D90" t="str">
            <v>BPU03</v>
          </cell>
          <cell r="E90">
            <v>88</v>
          </cell>
          <cell r="F90" t="str">
            <v>03</v>
          </cell>
          <cell r="G90">
            <v>45296</v>
          </cell>
          <cell r="H90">
            <v>45297</v>
          </cell>
          <cell r="I90">
            <v>45297</v>
          </cell>
          <cell r="J90">
            <v>45297</v>
          </cell>
          <cell r="K90">
            <v>45314</v>
          </cell>
          <cell r="L90" t="str">
            <v>5.1.02.01.01.0037</v>
          </cell>
          <cell r="M90" t="str">
            <v>03.05.</v>
          </cell>
          <cell r="N90" t="str">
            <v>03.05.02.</v>
          </cell>
          <cell r="O90" t="str">
            <v>Obat Magh</v>
          </cell>
          <cell r="P90" t="str">
            <v>Obat Magh</v>
          </cell>
          <cell r="Q90" t="str">
            <v>Obat-obatan keperluan UKS</v>
          </cell>
          <cell r="R90" t="str">
            <v>Promaag (Mengandung 200 mg hydrotalcite, 150 mg magnesium hidroksida, dan 50 mg simethicone)</v>
          </cell>
          <cell r="S90">
            <v>5</v>
          </cell>
          <cell r="T90" t="str">
            <v>buah</v>
          </cell>
          <cell r="U90">
            <v>12000</v>
          </cell>
          <cell r="V90">
            <v>60000</v>
          </cell>
          <cell r="W90" t="str">
            <v>Apotik Glory</v>
          </cell>
          <cell r="Y90" t="str">
            <v>082166506229</v>
          </cell>
          <cell r="Z90" t="str">
            <v>Jl. Nari-nari Pasar Telukdalam, Telukdalam Kab. Nias Selatan</v>
          </cell>
          <cell r="AG90">
            <v>1</v>
          </cell>
        </row>
        <row r="91">
          <cell r="A91">
            <v>89</v>
          </cell>
          <cell r="B91" t="str">
            <v>03</v>
          </cell>
          <cell r="C91" t="str">
            <v>03</v>
          </cell>
          <cell r="D91" t="str">
            <v>BPU03</v>
          </cell>
          <cell r="E91">
            <v>89</v>
          </cell>
          <cell r="F91" t="str">
            <v>03</v>
          </cell>
          <cell r="G91">
            <v>45296</v>
          </cell>
          <cell r="H91">
            <v>45297</v>
          </cell>
          <cell r="I91">
            <v>45297</v>
          </cell>
          <cell r="J91">
            <v>45297</v>
          </cell>
          <cell r="K91">
            <v>45314</v>
          </cell>
          <cell r="L91" t="str">
            <v>5.1.02.01.01.0037</v>
          </cell>
          <cell r="M91" t="str">
            <v>03.05.</v>
          </cell>
          <cell r="N91" t="str">
            <v>03.05.02.</v>
          </cell>
          <cell r="O91" t="str">
            <v>Perban Kain Kasa</v>
          </cell>
          <cell r="P91" t="str">
            <v>Perban Kain Kasa</v>
          </cell>
          <cell r="Q91" t="str">
            <v>Obat-obatan keperluan UKS</v>
          </cell>
          <cell r="R91" t="str">
            <v xml:space="preserve">Perban Kain Kasa </v>
          </cell>
          <cell r="S91">
            <v>2</v>
          </cell>
          <cell r="T91" t="str">
            <v>kotak</v>
          </cell>
          <cell r="U91">
            <v>80000</v>
          </cell>
          <cell r="V91">
            <v>160000</v>
          </cell>
          <cell r="W91" t="str">
            <v>Apotik Glory</v>
          </cell>
          <cell r="Y91" t="str">
            <v>082166506229</v>
          </cell>
          <cell r="Z91" t="str">
            <v>Jl. Nari-nari Pasar Telukdalam, Telukdalam Kab. Nias Selatan</v>
          </cell>
          <cell r="AG91">
            <v>1</v>
          </cell>
        </row>
        <row r="92">
          <cell r="A92">
            <v>90</v>
          </cell>
          <cell r="B92" t="str">
            <v>03</v>
          </cell>
          <cell r="C92" t="str">
            <v>03</v>
          </cell>
          <cell r="D92" t="str">
            <v>BPU03</v>
          </cell>
          <cell r="E92">
            <v>90</v>
          </cell>
          <cell r="F92" t="str">
            <v>03</v>
          </cell>
          <cell r="G92">
            <v>45296</v>
          </cell>
          <cell r="H92">
            <v>45297</v>
          </cell>
          <cell r="I92">
            <v>45297</v>
          </cell>
          <cell r="J92">
            <v>45297</v>
          </cell>
          <cell r="K92">
            <v>45314</v>
          </cell>
          <cell r="L92" t="str">
            <v>5.1.02.01.01.0037</v>
          </cell>
          <cell r="M92" t="str">
            <v>03.05.</v>
          </cell>
          <cell r="N92" t="str">
            <v>03.05.02.</v>
          </cell>
          <cell r="O92" t="str">
            <v>Obat Diare/sakit perut</v>
          </cell>
          <cell r="P92" t="str">
            <v>Obat Diare/sakit perut</v>
          </cell>
          <cell r="Q92" t="str">
            <v>Obat-obatan keperluan UKS</v>
          </cell>
          <cell r="R92" t="str">
            <v>Diapet (Tiap kapsul Diapet mengandung 240 mg daun jambu biji, 204 mg rimpang kunyit, 84 mg buah mojokeling, dan 72 mg kulit buah delima)</v>
          </cell>
          <cell r="S92">
            <v>5</v>
          </cell>
          <cell r="T92" t="str">
            <v>buah</v>
          </cell>
          <cell r="U92">
            <v>15000</v>
          </cell>
          <cell r="V92">
            <v>75000</v>
          </cell>
          <cell r="W92" t="str">
            <v>Apotik Glory</v>
          </cell>
          <cell r="Y92" t="str">
            <v>082166506229</v>
          </cell>
          <cell r="Z92" t="str">
            <v>Jl. Nari-nari Pasar Telukdalam, Telukdalam Kab. Nias Selatan</v>
          </cell>
          <cell r="AG92">
            <v>1</v>
          </cell>
        </row>
        <row r="93">
          <cell r="A93">
            <v>91</v>
          </cell>
          <cell r="B93" t="str">
            <v>03</v>
          </cell>
          <cell r="C93" t="str">
            <v>03</v>
          </cell>
          <cell r="D93" t="str">
            <v>BPU03</v>
          </cell>
          <cell r="E93">
            <v>91</v>
          </cell>
          <cell r="F93" t="str">
            <v>03</v>
          </cell>
          <cell r="G93">
            <v>45296</v>
          </cell>
          <cell r="H93">
            <v>45297</v>
          </cell>
          <cell r="I93">
            <v>45297</v>
          </cell>
          <cell r="J93">
            <v>45297</v>
          </cell>
          <cell r="K93">
            <v>45314</v>
          </cell>
          <cell r="L93" t="str">
            <v>5.1.02.01.01.0037</v>
          </cell>
          <cell r="M93" t="str">
            <v>03.05.</v>
          </cell>
          <cell r="N93" t="str">
            <v>03.05.02.</v>
          </cell>
          <cell r="O93" t="str">
            <v>Antiseptic Obat Luar</v>
          </cell>
          <cell r="P93" t="str">
            <v>Antiseptic Obat Luar</v>
          </cell>
          <cell r="Q93" t="str">
            <v>Obat-obatan keperluan UKS</v>
          </cell>
          <cell r="R93" t="str">
            <v>Betadine</v>
          </cell>
          <cell r="S93">
            <v>5</v>
          </cell>
          <cell r="T93" t="str">
            <v>buah</v>
          </cell>
          <cell r="U93">
            <v>22000</v>
          </cell>
          <cell r="V93">
            <v>110000</v>
          </cell>
          <cell r="W93" t="str">
            <v>Apotik Glory</v>
          </cell>
          <cell r="Y93" t="str">
            <v>082166506229</v>
          </cell>
          <cell r="Z93" t="str">
            <v>Jl. Nari-nari Pasar Telukdalam, Telukdalam Kab. Nias Selatan</v>
          </cell>
          <cell r="AG93">
            <v>1</v>
          </cell>
        </row>
        <row r="94">
          <cell r="A94">
            <v>92</v>
          </cell>
          <cell r="B94" t="str">
            <v>03</v>
          </cell>
          <cell r="C94" t="str">
            <v>03</v>
          </cell>
          <cell r="D94" t="str">
            <v>BPU03</v>
          </cell>
          <cell r="E94">
            <v>92</v>
          </cell>
          <cell r="F94" t="str">
            <v>03</v>
          </cell>
          <cell r="G94">
            <v>45296</v>
          </cell>
          <cell r="H94">
            <v>45297</v>
          </cell>
          <cell r="I94">
            <v>45297</v>
          </cell>
          <cell r="J94">
            <v>45297</v>
          </cell>
          <cell r="K94">
            <v>45314</v>
          </cell>
          <cell r="L94" t="str">
            <v>5.1.02.01.01.0037</v>
          </cell>
          <cell r="M94" t="str">
            <v>03.05.</v>
          </cell>
          <cell r="N94" t="str">
            <v>03.05.02.</v>
          </cell>
          <cell r="O94" t="str">
            <v>Kapas Pembalut 1000 gr</v>
          </cell>
          <cell r="P94" t="str">
            <v>Kapas Pembalut 1000 gr</v>
          </cell>
          <cell r="Q94" t="str">
            <v>Obat-obatan keperluan UKS</v>
          </cell>
          <cell r="R94" t="str">
            <v>Kapas Pembalut 1000 gr</v>
          </cell>
          <cell r="S94">
            <v>2</v>
          </cell>
          <cell r="T94" t="str">
            <v>buah</v>
          </cell>
          <cell r="U94">
            <v>120000</v>
          </cell>
          <cell r="V94">
            <v>240000</v>
          </cell>
          <cell r="W94" t="str">
            <v>Apotik Glory</v>
          </cell>
          <cell r="Y94" t="str">
            <v>082166506229</v>
          </cell>
          <cell r="Z94" t="str">
            <v>Jl. Nari-nari Pasar Telukdalam, Telukdalam Kab. Nias Selatan</v>
          </cell>
          <cell r="AG94">
            <v>1</v>
          </cell>
        </row>
        <row r="95">
          <cell r="A95">
            <v>93</v>
          </cell>
          <cell r="B95" t="str">
            <v>03</v>
          </cell>
          <cell r="C95" t="str">
            <v>03</v>
          </cell>
          <cell r="D95" t="str">
            <v>BPU03</v>
          </cell>
          <cell r="E95">
            <v>93</v>
          </cell>
          <cell r="F95" t="str">
            <v>03</v>
          </cell>
          <cell r="G95">
            <v>45296</v>
          </cell>
          <cell r="H95">
            <v>45297</v>
          </cell>
          <cell r="I95">
            <v>45297</v>
          </cell>
          <cell r="J95">
            <v>45297</v>
          </cell>
          <cell r="K95">
            <v>45314</v>
          </cell>
          <cell r="L95" t="str">
            <v>5.1.02.01.01.0037</v>
          </cell>
          <cell r="M95" t="str">
            <v>03.05.</v>
          </cell>
          <cell r="N95" t="str">
            <v>03.05.02.</v>
          </cell>
          <cell r="O95" t="str">
            <v>Obat sakit kepala/pereda nyeri/sakit gigi/Flu</v>
          </cell>
          <cell r="P95" t="str">
            <v>Panadol/paramex/pondstan/asam mefenamat</v>
          </cell>
          <cell r="Q95" t="str">
            <v>Obat-obatan keperluan UKS</v>
          </cell>
          <cell r="R95" t="str">
            <v>Panadol (Mengandung Paracetamol 500 mg dan caffeine 65 mg)</v>
          </cell>
          <cell r="S95">
            <v>5</v>
          </cell>
          <cell r="T95" t="str">
            <v>buah</v>
          </cell>
          <cell r="U95">
            <v>15000</v>
          </cell>
          <cell r="V95">
            <v>75000</v>
          </cell>
          <cell r="W95" t="str">
            <v>Apotik Glory</v>
          </cell>
          <cell r="Z95" t="str">
            <v>Jl. Nari-nari Pasar Telukdalam, Telukdalam Kab. Nias Selatan</v>
          </cell>
          <cell r="AG95">
            <v>1</v>
          </cell>
        </row>
        <row r="96">
          <cell r="A96">
            <v>94</v>
          </cell>
          <cell r="B96" t="str">
            <v>04</v>
          </cell>
          <cell r="C96" t="str">
            <v>04</v>
          </cell>
          <cell r="D96" t="str">
            <v>BPU04</v>
          </cell>
          <cell r="E96">
            <v>94</v>
          </cell>
          <cell r="F96" t="str">
            <v>04</v>
          </cell>
          <cell r="G96">
            <v>45296</v>
          </cell>
          <cell r="H96">
            <v>45297</v>
          </cell>
          <cell r="I96">
            <v>45297</v>
          </cell>
          <cell r="J96">
            <v>45297</v>
          </cell>
          <cell r="K96">
            <v>45314</v>
          </cell>
          <cell r="L96" t="str">
            <v>5.1.02.01.01.0052</v>
          </cell>
          <cell r="M96" t="str">
            <v>02.03.</v>
          </cell>
          <cell r="N96" t="str">
            <v>02.03.01.</v>
          </cell>
          <cell r="O96" t="str">
            <v>Kudapan pada Kegiatan Rapat  penyusunan program kurikulum Semester Ganjil/Genap TP 2024/2025</v>
          </cell>
          <cell r="P96" t="str">
            <v>Kue Kotak</v>
          </cell>
          <cell r="Q96" t="str">
            <v>Kudapan</v>
          </cell>
          <cell r="R96" t="str">
            <v>Kue (bahan tepung terigu, gula, telur, mentega; berat 100gr, panjang 15cm, lebar 8 cm)</v>
          </cell>
          <cell r="S96">
            <v>60</v>
          </cell>
          <cell r="T96" t="str">
            <v>kotak</v>
          </cell>
          <cell r="U96">
            <v>15000</v>
          </cell>
          <cell r="V96">
            <v>900000</v>
          </cell>
          <cell r="W96" t="str">
            <v>Rumah Roti Helena</v>
          </cell>
          <cell r="X96" t="str">
            <v>Fudi Supiyanto</v>
          </cell>
          <cell r="Y96" t="str">
            <v>082164895397</v>
          </cell>
          <cell r="Z96" t="str">
            <v>Jl. Jend A. Yani No. 89 Kelurahan Pasar Telukdalam - Nias Selatan</v>
          </cell>
          <cell r="AG96">
            <v>1</v>
          </cell>
        </row>
        <row r="97">
          <cell r="A97">
            <v>95</v>
          </cell>
          <cell r="B97" t="str">
            <v>05</v>
          </cell>
          <cell r="C97" t="str">
            <v>05</v>
          </cell>
          <cell r="D97" t="str">
            <v>BPU05</v>
          </cell>
          <cell r="E97">
            <v>95</v>
          </cell>
          <cell r="F97" t="str">
            <v>05</v>
          </cell>
          <cell r="G97">
            <v>45296</v>
          </cell>
          <cell r="H97">
            <v>45297</v>
          </cell>
          <cell r="I97">
            <v>45297</v>
          </cell>
          <cell r="J97">
            <v>45297</v>
          </cell>
          <cell r="K97">
            <v>45314</v>
          </cell>
          <cell r="L97" t="str">
            <v>5.1.02.01.01.0052</v>
          </cell>
          <cell r="M97" t="str">
            <v>02.03.</v>
          </cell>
          <cell r="N97" t="str">
            <v>02.03.01.</v>
          </cell>
          <cell r="O97" t="str">
            <v>Konsumsi pada Kegiatan Rapat  penyusunan program kurikulum Semester Ganjil/Genap TP 2024/2025</v>
          </cell>
          <cell r="P97" t="str">
            <v>Nasi Kotak</v>
          </cell>
          <cell r="Q97" t="str">
            <v>Konsumsi</v>
          </cell>
          <cell r="R97" t="str">
            <v>Nasi putih;Sop daging; Sayur; Berat 1000gr; Dimensi; (PxLxT) 25cmx25cmx10cm</v>
          </cell>
          <cell r="S97">
            <v>60</v>
          </cell>
          <cell r="T97" t="str">
            <v>kotak</v>
          </cell>
          <cell r="U97">
            <v>40000</v>
          </cell>
          <cell r="V97">
            <v>2400000</v>
          </cell>
          <cell r="W97" t="str">
            <v>Resto JFC Esther</v>
          </cell>
          <cell r="X97" t="str">
            <v>Limaati Daeli</v>
          </cell>
          <cell r="Y97" t="str">
            <v>085297578868</v>
          </cell>
          <cell r="Z97" t="str">
            <v>Jl. Saonigeho Km. 5 Telukdalam, Kab. Nias Selatan</v>
          </cell>
          <cell r="AG97">
            <v>1</v>
          </cell>
        </row>
        <row r="98">
          <cell r="A98">
            <v>96</v>
          </cell>
          <cell r="B98" t="str">
            <v>06</v>
          </cell>
          <cell r="C98" t="str">
            <v>06</v>
          </cell>
          <cell r="D98" t="str">
            <v>BPU06</v>
          </cell>
          <cell r="E98">
            <v>96</v>
          </cell>
          <cell r="F98" t="str">
            <v>06</v>
          </cell>
          <cell r="G98">
            <v>45299</v>
          </cell>
          <cell r="H98">
            <v>45299</v>
          </cell>
          <cell r="I98">
            <v>45299</v>
          </cell>
          <cell r="J98">
            <v>45299</v>
          </cell>
          <cell r="K98">
            <v>45314</v>
          </cell>
          <cell r="L98" t="str">
            <v>5.1.02.01.01.0052</v>
          </cell>
          <cell r="M98" t="str">
            <v>02.06.</v>
          </cell>
          <cell r="N98" t="str">
            <v>02.06.01.</v>
          </cell>
          <cell r="O98" t="str">
            <v>Kudapan pada Kegiatan diskusi kolaborasi pengembangan RPP dalam Komunitas Belajar (termasuk KKG/MGMP/MGMPS/MGPMPK)</v>
          </cell>
          <cell r="P98" t="str">
            <v>Kue Kotak</v>
          </cell>
          <cell r="Q98" t="str">
            <v>Kudapan</v>
          </cell>
          <cell r="R98" t="str">
            <v>Kue (bahan tepung terigu, gula, telur, mentega; berat 100gr, panjang 15cm, lebar 8 cm)</v>
          </cell>
          <cell r="S98">
            <v>120</v>
          </cell>
          <cell r="T98" t="str">
            <v>kotak</v>
          </cell>
          <cell r="U98">
            <v>15000</v>
          </cell>
          <cell r="V98">
            <v>1800000</v>
          </cell>
          <cell r="W98" t="str">
            <v>Rumah Roti Helena</v>
          </cell>
          <cell r="X98" t="str">
            <v>Fudi Supiyanto</v>
          </cell>
          <cell r="Y98" t="str">
            <v>082164895397</v>
          </cell>
          <cell r="Z98" t="str">
            <v>Jl. Jend A. Yani No. 89 Kelurahan Pasar Telukdalam - Nias Selatan</v>
          </cell>
          <cell r="AG98">
            <v>1</v>
          </cell>
        </row>
        <row r="99">
          <cell r="A99">
            <v>97</v>
          </cell>
          <cell r="B99" t="str">
            <v>07</v>
          </cell>
          <cell r="C99" t="str">
            <v>07</v>
          </cell>
          <cell r="D99" t="str">
            <v>BPU07</v>
          </cell>
          <cell r="E99">
            <v>97</v>
          </cell>
          <cell r="F99" t="str">
            <v>07</v>
          </cell>
          <cell r="G99">
            <v>45299</v>
          </cell>
          <cell r="H99">
            <v>45299</v>
          </cell>
          <cell r="I99">
            <v>45299</v>
          </cell>
          <cell r="J99">
            <v>45299</v>
          </cell>
          <cell r="K99">
            <v>45314</v>
          </cell>
          <cell r="L99" t="str">
            <v>5.1.02.01.01.0052</v>
          </cell>
          <cell r="M99" t="str">
            <v>02.06.</v>
          </cell>
          <cell r="N99" t="str">
            <v>02.06.01.</v>
          </cell>
          <cell r="O99" t="str">
            <v>Konsumsi Kegiatan diskusi kolaborasi pengembangan RPP dalam Komunitas Belajar (termasuk KKG/MGMP/MGMPS/MGPMPK)</v>
          </cell>
          <cell r="P99" t="str">
            <v>Nasi Kotak</v>
          </cell>
          <cell r="Q99" t="str">
            <v>Konsumsi</v>
          </cell>
          <cell r="R99" t="str">
            <v>Nasi putih;Sop daging; Sayur; Berat 1000gr; Dimensi; (PxLxT) 25cmx25cmx10cm</v>
          </cell>
          <cell r="S99">
            <v>60</v>
          </cell>
          <cell r="T99" t="str">
            <v>kotak</v>
          </cell>
          <cell r="U99">
            <v>40000</v>
          </cell>
          <cell r="V99">
            <v>2400000</v>
          </cell>
          <cell r="W99" t="str">
            <v>Resto JFC Esther</v>
          </cell>
          <cell r="X99" t="str">
            <v>Limaati Daeli</v>
          </cell>
          <cell r="Y99" t="str">
            <v>085297578868</v>
          </cell>
          <cell r="Z99" t="str">
            <v>Jl. Saonigeho Km. 5 Telukdalam, Kab. Nias Selatan</v>
          </cell>
          <cell r="AG99">
            <v>1</v>
          </cell>
        </row>
        <row r="100">
          <cell r="A100">
            <v>98</v>
          </cell>
          <cell r="B100" t="str">
            <v>08</v>
          </cell>
          <cell r="C100" t="str">
            <v>08</v>
          </cell>
          <cell r="D100" t="str">
            <v>BPU08</v>
          </cell>
          <cell r="E100">
            <v>98</v>
          </cell>
          <cell r="F100" t="str">
            <v>08</v>
          </cell>
          <cell r="G100">
            <v>45300</v>
          </cell>
          <cell r="H100">
            <v>45300</v>
          </cell>
          <cell r="I100">
            <v>45300</v>
          </cell>
          <cell r="J100">
            <v>45300</v>
          </cell>
          <cell r="K100">
            <v>45314</v>
          </cell>
          <cell r="L100" t="str">
            <v>5.1.02.01.01.0052</v>
          </cell>
          <cell r="M100" t="str">
            <v>08.04.</v>
          </cell>
          <cell r="N100" t="str">
            <v>08.04.10.</v>
          </cell>
          <cell r="O100" t="str">
            <v>Kudapan pada kegiatan Rapat Penyusunan KKM</v>
          </cell>
          <cell r="P100" t="str">
            <v>Kue Kotak</v>
          </cell>
          <cell r="Q100" t="str">
            <v>Kudapan</v>
          </cell>
          <cell r="R100" t="str">
            <v>Kue (bahan tepung terigu, gula, telur, mentega; berat 100gr, panjang 15cm, lebar 8 cm)</v>
          </cell>
          <cell r="S100">
            <v>60</v>
          </cell>
          <cell r="T100" t="str">
            <v>kotak</v>
          </cell>
          <cell r="U100">
            <v>15000</v>
          </cell>
          <cell r="V100">
            <v>900000</v>
          </cell>
          <cell r="W100" t="str">
            <v>Rumah Roti Helena</v>
          </cell>
          <cell r="X100" t="str">
            <v>Fudi Supiyanto</v>
          </cell>
          <cell r="Y100" t="str">
            <v>082164895397</v>
          </cell>
          <cell r="Z100" t="str">
            <v>Jl. Jend A. Yani No. 89 Kelurahan Pasar Telukdalam - Nias Selatan</v>
          </cell>
          <cell r="AG100">
            <v>1</v>
          </cell>
        </row>
        <row r="101">
          <cell r="A101">
            <v>99</v>
          </cell>
          <cell r="B101" t="str">
            <v>09</v>
          </cell>
          <cell r="C101" t="str">
            <v>09</v>
          </cell>
          <cell r="D101" t="str">
            <v>BPU09</v>
          </cell>
          <cell r="E101">
            <v>99</v>
          </cell>
          <cell r="F101" t="str">
            <v>09</v>
          </cell>
          <cell r="G101">
            <v>45300</v>
          </cell>
          <cell r="H101">
            <v>45300</v>
          </cell>
          <cell r="I101">
            <v>45300</v>
          </cell>
          <cell r="J101">
            <v>45300</v>
          </cell>
          <cell r="K101">
            <v>45314</v>
          </cell>
          <cell r="L101" t="str">
            <v>5.1.02.01.01.0052</v>
          </cell>
          <cell r="M101" t="str">
            <v>08.04.</v>
          </cell>
          <cell r="N101" t="str">
            <v>08.04.10.</v>
          </cell>
          <cell r="O101" t="str">
            <v>Konsumsi pada kegiatan Rapat Penyusunan KKM</v>
          </cell>
          <cell r="P101" t="str">
            <v>Nasi Kotak</v>
          </cell>
          <cell r="Q101" t="str">
            <v>Konsumsi</v>
          </cell>
          <cell r="R101" t="str">
            <v>Nasi putih;Sop daging; Sayur; Berat 1000gr; Dimensi; (PxLxT) 25cmx25cmx10cm</v>
          </cell>
          <cell r="S101">
            <v>60</v>
          </cell>
          <cell r="T101" t="str">
            <v>kotak</v>
          </cell>
          <cell r="U101">
            <v>40000</v>
          </cell>
          <cell r="V101">
            <v>2400000</v>
          </cell>
          <cell r="W101" t="str">
            <v>Resto JFC Esther</v>
          </cell>
          <cell r="X101" t="str">
            <v>Limaati Daeli</v>
          </cell>
          <cell r="Y101" t="str">
            <v>085297578868</v>
          </cell>
          <cell r="Z101" t="str">
            <v>Jl. Saonigeho Km. 5 Telukdalam, Kab. Nias Selatan</v>
          </cell>
          <cell r="AG101">
            <v>1</v>
          </cell>
        </row>
        <row r="102">
          <cell r="A102">
            <v>100</v>
          </cell>
          <cell r="B102" t="str">
            <v>10</v>
          </cell>
          <cell r="C102" t="str">
            <v>10</v>
          </cell>
          <cell r="D102" t="str">
            <v>BPU10</v>
          </cell>
          <cell r="E102">
            <v>100</v>
          </cell>
          <cell r="F102" t="str">
            <v>10</v>
          </cell>
          <cell r="G102">
            <v>45302</v>
          </cell>
          <cell r="H102">
            <v>45302</v>
          </cell>
          <cell r="I102">
            <v>45302</v>
          </cell>
          <cell r="J102">
            <v>45302</v>
          </cell>
          <cell r="K102">
            <v>45314</v>
          </cell>
          <cell r="L102" t="str">
            <v>5.1.02.01.01.0052</v>
          </cell>
          <cell r="M102" t="str">
            <v>04.06.</v>
          </cell>
          <cell r="N102" t="str">
            <v>04.06.13.</v>
          </cell>
          <cell r="O102" t="str">
            <v>Kudapan pada Kegiatan Pelatihan Peningkatan Kompetensi Guru untuk memperkuat numerasi</v>
          </cell>
          <cell r="P102" t="str">
            <v>Kue Kotak</v>
          </cell>
          <cell r="Q102" t="str">
            <v>Kudapan</v>
          </cell>
          <cell r="R102" t="str">
            <v>Kue (bahan tepung terigu, gula, telur, mentega; berat 100gr, panjang 15cm, lebar 8 cm)</v>
          </cell>
          <cell r="S102">
            <v>60</v>
          </cell>
          <cell r="T102" t="str">
            <v>kotak</v>
          </cell>
          <cell r="U102">
            <v>15000</v>
          </cell>
          <cell r="V102">
            <v>900000</v>
          </cell>
          <cell r="W102" t="str">
            <v>Rumah Roti Helena</v>
          </cell>
          <cell r="X102" t="str">
            <v>Fudi Supiyanto</v>
          </cell>
          <cell r="Y102" t="str">
            <v>082164895397</v>
          </cell>
          <cell r="Z102" t="str">
            <v>Jl. Jend A. Yani No. 89 Kelurahan Pasar Telukdalam - Nias Selatan</v>
          </cell>
          <cell r="AG102">
            <v>1</v>
          </cell>
        </row>
        <row r="103">
          <cell r="A103">
            <v>101</v>
          </cell>
          <cell r="B103" t="str">
            <v>11</v>
          </cell>
          <cell r="C103" t="str">
            <v>11</v>
          </cell>
          <cell r="D103" t="str">
            <v>BPU11</v>
          </cell>
          <cell r="E103">
            <v>101</v>
          </cell>
          <cell r="F103" t="str">
            <v>11</v>
          </cell>
          <cell r="G103">
            <v>45302</v>
          </cell>
          <cell r="H103">
            <v>45302</v>
          </cell>
          <cell r="I103">
            <v>45302</v>
          </cell>
          <cell r="J103">
            <v>45302</v>
          </cell>
          <cell r="K103">
            <v>45314</v>
          </cell>
          <cell r="L103" t="str">
            <v>5.1.02.01.01.0052</v>
          </cell>
          <cell r="M103" t="str">
            <v>04.06.</v>
          </cell>
          <cell r="N103" t="str">
            <v>04.06.13.</v>
          </cell>
          <cell r="O103" t="str">
            <v>Konsumsi pada Kegiatan Pelatihan Peningkatan Kompetensi Guru untuk memperkuat numerasi</v>
          </cell>
          <cell r="P103" t="str">
            <v>Nasi Kotak</v>
          </cell>
          <cell r="Q103" t="str">
            <v>Konsumsi</v>
          </cell>
          <cell r="R103" t="str">
            <v>Nasi putih;Sop daging; Sayur; Berat 1000gr; Dimensi; (PxLxT) 25cmx25cmx10cm</v>
          </cell>
          <cell r="S103">
            <v>60</v>
          </cell>
          <cell r="T103" t="str">
            <v>kotak</v>
          </cell>
          <cell r="U103">
            <v>40000</v>
          </cell>
          <cell r="V103">
            <v>2400000</v>
          </cell>
          <cell r="W103" t="str">
            <v>Resto JFC Esther</v>
          </cell>
          <cell r="X103" t="str">
            <v>Limaati Daeli</v>
          </cell>
          <cell r="Y103" t="str">
            <v>085297578868</v>
          </cell>
          <cell r="Z103" t="str">
            <v>Jl. Saonigeho Km. 5 Telukdalam, Kab. Nias Selatan</v>
          </cell>
          <cell r="AG103">
            <v>1</v>
          </cell>
        </row>
        <row r="104">
          <cell r="A104">
            <v>102</v>
          </cell>
          <cell r="B104" t="str">
            <v>12</v>
          </cell>
          <cell r="C104" t="str">
            <v>12</v>
          </cell>
          <cell r="D104" t="str">
            <v>BPU12</v>
          </cell>
          <cell r="E104">
            <v>102</v>
          </cell>
          <cell r="F104" t="str">
            <v>12</v>
          </cell>
          <cell r="G104">
            <v>45304</v>
          </cell>
          <cell r="H104">
            <v>45304</v>
          </cell>
          <cell r="I104">
            <v>45304</v>
          </cell>
          <cell r="J104">
            <v>45304</v>
          </cell>
          <cell r="K104">
            <v>45314</v>
          </cell>
          <cell r="L104" t="str">
            <v>5.1.02.01.01.0052</v>
          </cell>
          <cell r="M104" t="str">
            <v>05.05.</v>
          </cell>
          <cell r="N104" t="str">
            <v>05.05.02.</v>
          </cell>
          <cell r="O104" t="str">
            <v>Air Mineral pada pelaksanaan kegiatan bulanan Gerakan Bersih Lingkungan Sekolah</v>
          </cell>
          <cell r="P104" t="str">
            <v>Aqua Cup</v>
          </cell>
          <cell r="Q104" t="str">
            <v>Air Mineral</v>
          </cell>
          <cell r="R104" t="str">
            <v>Aqua Cup (Diameter: 6.3cm. Tinggi: 9.5cm)</v>
          </cell>
          <cell r="S104">
            <v>25</v>
          </cell>
          <cell r="T104" t="str">
            <v>dus</v>
          </cell>
          <cell r="U104">
            <v>50000</v>
          </cell>
          <cell r="V104">
            <v>1250000</v>
          </cell>
          <cell r="W104" t="str">
            <v>Rumah Roti Helena</v>
          </cell>
          <cell r="X104" t="str">
            <v>Fudi Supiyanto</v>
          </cell>
          <cell r="Y104" t="str">
            <v>082164895397</v>
          </cell>
          <cell r="Z104" t="str">
            <v>Jl. Jend A. Yani No. 89 Kelurahan Pasar Telukdalam - Nias Selatan</v>
          </cell>
          <cell r="AG104">
            <v>1</v>
          </cell>
        </row>
        <row r="105">
          <cell r="A105">
            <v>103</v>
          </cell>
          <cell r="B105" t="str">
            <v>13</v>
          </cell>
          <cell r="C105" t="str">
            <v>13</v>
          </cell>
          <cell r="D105" t="str">
            <v>BPU13</v>
          </cell>
          <cell r="E105">
            <v>103</v>
          </cell>
          <cell r="F105" t="str">
            <v>13</v>
          </cell>
          <cell r="G105">
            <v>45304</v>
          </cell>
          <cell r="H105">
            <v>45304</v>
          </cell>
          <cell r="I105">
            <v>45304</v>
          </cell>
          <cell r="J105">
            <v>45304</v>
          </cell>
          <cell r="K105">
            <v>45314</v>
          </cell>
          <cell r="L105" t="str">
            <v>5.1.02.01.01.0031</v>
          </cell>
          <cell r="M105" t="str">
            <v>05.08.</v>
          </cell>
          <cell r="N105" t="str">
            <v>05.08.10.</v>
          </cell>
          <cell r="O105" t="str">
            <v>bola lampu hannock-45 watt</v>
          </cell>
          <cell r="P105" t="str">
            <v>bola lampu hannock-45 watt</v>
          </cell>
          <cell r="Q105" t="str">
            <v>Peralatan Listrik</v>
          </cell>
          <cell r="R105" t="str">
            <v>bola lampu hannock-45 watt</v>
          </cell>
          <cell r="S105">
            <v>21</v>
          </cell>
          <cell r="T105" t="str">
            <v>buah</v>
          </cell>
          <cell r="U105">
            <v>77800</v>
          </cell>
          <cell r="V105">
            <v>1633800</v>
          </cell>
          <cell r="W105" t="str">
            <v>CV. Goriyaku Wiratrade</v>
          </cell>
          <cell r="X105" t="str">
            <v>Wirawan Bazikho</v>
          </cell>
          <cell r="Y105" t="str">
            <v>082166714290</v>
          </cell>
          <cell r="Z105" t="str">
            <v>Jl. Pasir Putih Pasar Telukdalam, Telukdalam Kab. Nias Selatan</v>
          </cell>
          <cell r="AG105">
            <v>1</v>
          </cell>
        </row>
        <row r="106">
          <cell r="A106">
            <v>104</v>
          </cell>
          <cell r="B106" t="str">
            <v>14</v>
          </cell>
          <cell r="C106" t="str">
            <v>14</v>
          </cell>
          <cell r="D106" t="str">
            <v>BPU14</v>
          </cell>
          <cell r="E106">
            <v>104</v>
          </cell>
          <cell r="F106" t="str">
            <v>14</v>
          </cell>
          <cell r="G106">
            <v>45304</v>
          </cell>
          <cell r="H106">
            <v>45304</v>
          </cell>
          <cell r="I106">
            <v>45305</v>
          </cell>
          <cell r="J106">
            <v>45305</v>
          </cell>
          <cell r="K106">
            <v>45314</v>
          </cell>
          <cell r="L106" t="str">
            <v>5.1.02.01.01.0026</v>
          </cell>
          <cell r="M106" t="str">
            <v>03.03.</v>
          </cell>
          <cell r="N106" t="str">
            <v>03.03.21.</v>
          </cell>
          <cell r="O106" t="str">
            <v>Spanduk Uk. 1 x 6 meter-</v>
          </cell>
          <cell r="P106" t="str">
            <v>Spanduk Uk. 1 x 6 meter-</v>
          </cell>
          <cell r="Q106" t="str">
            <v>Percetakan</v>
          </cell>
          <cell r="R106" t="str">
            <v>Spanduk (Ukuran 2 X 4 m)</v>
          </cell>
          <cell r="S106">
            <v>2</v>
          </cell>
          <cell r="T106" t="str">
            <v>buah</v>
          </cell>
          <cell r="U106">
            <v>300000</v>
          </cell>
          <cell r="V106">
            <v>600000</v>
          </cell>
          <cell r="W106" t="str">
            <v>UD. Balizato</v>
          </cell>
          <cell r="X106" t="str">
            <v>Pieter Buala P. Loi</v>
          </cell>
          <cell r="Y106" t="str">
            <v>082166506229</v>
          </cell>
          <cell r="Z106" t="str">
            <v>Jl. Pasir Putih Pasar Telukdalam, Telukdalam Kab. Nias Selatan</v>
          </cell>
          <cell r="AG106">
            <v>1</v>
          </cell>
        </row>
        <row r="107">
          <cell r="A107">
            <v>105</v>
          </cell>
          <cell r="B107" t="str">
            <v>15</v>
          </cell>
          <cell r="C107" t="str">
            <v>15</v>
          </cell>
          <cell r="D107" t="str">
            <v>BPU15</v>
          </cell>
          <cell r="E107">
            <v>105</v>
          </cell>
          <cell r="F107" t="str">
            <v>15</v>
          </cell>
          <cell r="G107">
            <v>45304</v>
          </cell>
          <cell r="H107">
            <v>45305</v>
          </cell>
          <cell r="I107">
            <v>45306</v>
          </cell>
          <cell r="J107">
            <v>45306</v>
          </cell>
          <cell r="K107">
            <v>45314</v>
          </cell>
          <cell r="L107" t="str">
            <v>5.1.02.01.01.0052</v>
          </cell>
          <cell r="M107" t="str">
            <v>03.03.</v>
          </cell>
          <cell r="N107" t="str">
            <v>03.03.21.</v>
          </cell>
          <cell r="O107" t="str">
            <v>Kudapan Pada Kegiatan Syukuran Hari Raya Natal dan Tahun Baru 2024</v>
          </cell>
          <cell r="P107" t="str">
            <v>Kue Kotak</v>
          </cell>
          <cell r="Q107" t="str">
            <v>Kudapan</v>
          </cell>
          <cell r="R107" t="str">
            <v>Kue (bahan tepung terigu, gula, telur, mentega; berat 100gr, panjang 15cm, lebar 8 cm)</v>
          </cell>
          <cell r="S107">
            <v>300</v>
          </cell>
          <cell r="T107" t="str">
            <v>kotak</v>
          </cell>
          <cell r="U107">
            <v>15000</v>
          </cell>
          <cell r="V107">
            <v>4500000</v>
          </cell>
          <cell r="W107" t="str">
            <v>Rumah Roti Helena</v>
          </cell>
          <cell r="X107" t="str">
            <v>Fudi Supiyanto</v>
          </cell>
          <cell r="Y107" t="str">
            <v>082164895397</v>
          </cell>
          <cell r="Z107" t="str">
            <v>Jl. Jend A. Yani No. 89 Kelurahan Pasar Telukdalam - Nias Selatan</v>
          </cell>
          <cell r="AG107">
            <v>1</v>
          </cell>
        </row>
        <row r="108">
          <cell r="A108">
            <v>106</v>
          </cell>
          <cell r="B108" t="str">
            <v>16</v>
          </cell>
          <cell r="C108" t="str">
            <v>16</v>
          </cell>
          <cell r="D108" t="str">
            <v>BPU16</v>
          </cell>
          <cell r="E108">
            <v>106</v>
          </cell>
          <cell r="F108" t="str">
            <v>16</v>
          </cell>
          <cell r="G108">
            <v>45304</v>
          </cell>
          <cell r="H108">
            <v>45305</v>
          </cell>
          <cell r="I108">
            <v>45306</v>
          </cell>
          <cell r="J108">
            <v>45306</v>
          </cell>
          <cell r="K108">
            <v>45314</v>
          </cell>
          <cell r="L108" t="str">
            <v>5.1.02.01.01.0052</v>
          </cell>
          <cell r="M108" t="str">
            <v>03.03.</v>
          </cell>
          <cell r="N108" t="str">
            <v>03.03.21.</v>
          </cell>
          <cell r="O108" t="str">
            <v>Konsumsi Pada Kegiatan Syukuran Hari Raya Natal dan Tahun Baru 2024</v>
          </cell>
          <cell r="P108" t="str">
            <v>Nasi Kotak</v>
          </cell>
          <cell r="Q108" t="str">
            <v>Konsumsi</v>
          </cell>
          <cell r="R108" t="str">
            <v>Nasi putih;Sop daging; Sayur; Berat 1000gr; Dimensi; (PxLxT) 25cmx25cmx10cm</v>
          </cell>
          <cell r="S108">
            <v>60</v>
          </cell>
          <cell r="T108" t="str">
            <v>kotak</v>
          </cell>
          <cell r="U108">
            <v>40000</v>
          </cell>
          <cell r="V108">
            <v>2400000</v>
          </cell>
          <cell r="W108" t="str">
            <v>Resto JFC Esther</v>
          </cell>
          <cell r="X108" t="str">
            <v>Limaati Daeli</v>
          </cell>
          <cell r="Y108" t="str">
            <v>085297578868</v>
          </cell>
          <cell r="Z108" t="str">
            <v>Jl. Saonigeho Km. 5 Telukdalam, Kab. Nias Selatan</v>
          </cell>
          <cell r="AG108">
            <v>1</v>
          </cell>
        </row>
        <row r="109">
          <cell r="A109">
            <v>107</v>
          </cell>
          <cell r="B109" t="str">
            <v>17</v>
          </cell>
          <cell r="C109" t="str">
            <v>17</v>
          </cell>
          <cell r="D109" t="str">
            <v>BPU17</v>
          </cell>
          <cell r="E109">
            <v>107</v>
          </cell>
          <cell r="F109" t="str">
            <v>17</v>
          </cell>
          <cell r="G109">
            <v>45304</v>
          </cell>
          <cell r="H109">
            <v>45305</v>
          </cell>
          <cell r="I109">
            <v>45306</v>
          </cell>
          <cell r="J109">
            <v>45306</v>
          </cell>
          <cell r="K109">
            <v>45314</v>
          </cell>
          <cell r="L109" t="str">
            <v>5.1.02.02.05.0009</v>
          </cell>
          <cell r="M109" t="str">
            <v>03.03.</v>
          </cell>
          <cell r="N109" t="str">
            <v>03.03.21.</v>
          </cell>
          <cell r="O109" t="str">
            <v>Sewa Gedung Pada Kegiatan Syukuran Hari Raya Natal dan Tahun Baru 2024</v>
          </cell>
          <cell r="P109" t="str">
            <v>Sewa Gedung Pada Kegiatan Syukuran Hari Raya Natal dan Tahun Baru 2024</v>
          </cell>
          <cell r="Q109" t="str">
            <v>Alat dan bahan Kebersihan</v>
          </cell>
          <cell r="R109" t="str">
            <v>Gedung Gereja</v>
          </cell>
          <cell r="S109">
            <v>1</v>
          </cell>
          <cell r="T109" t="str">
            <v>unit</v>
          </cell>
          <cell r="U109">
            <v>3000000</v>
          </cell>
          <cell r="V109">
            <v>3000000</v>
          </cell>
          <cell r="W109" t="str">
            <v>GBI Jl. Baru Telukdalam</v>
          </cell>
          <cell r="X109" t="str">
            <v>Pdt. GBI</v>
          </cell>
          <cell r="Y109" t="str">
            <v>082370389806</v>
          </cell>
          <cell r="Z109" t="str">
            <v>Jalan Baru Kel. Pasar Telukdalam</v>
          </cell>
          <cell r="AG109">
            <v>1</v>
          </cell>
        </row>
        <row r="110">
          <cell r="A110">
            <v>108</v>
          </cell>
          <cell r="B110" t="str">
            <v>18</v>
          </cell>
          <cell r="C110" t="str">
            <v>18</v>
          </cell>
          <cell r="D110" t="str">
            <v>BPU18</v>
          </cell>
          <cell r="E110">
            <v>108</v>
          </cell>
          <cell r="F110" t="str">
            <v>18</v>
          </cell>
          <cell r="G110">
            <v>44930</v>
          </cell>
          <cell r="H110">
            <v>45314</v>
          </cell>
          <cell r="I110">
            <v>45314</v>
          </cell>
          <cell r="J110">
            <v>45314</v>
          </cell>
          <cell r="K110">
            <v>45314</v>
          </cell>
          <cell r="L110" t="str">
            <v>5.1.02.02.01.00
61</v>
          </cell>
          <cell r="M110" t="str">
            <v>06.07.</v>
          </cell>
          <cell r="N110" t="str">
            <v>06.07.01.</v>
          </cell>
          <cell r="O110" t="str">
            <v>Biaya Rekening Listrik--</v>
          </cell>
          <cell r="P110" t="str">
            <v>Biaya Rekening Listrik--</v>
          </cell>
          <cell r="Q110" t="str">
            <v>Jasa PLN</v>
          </cell>
          <cell r="R110" t="str">
            <v>Jasa Listrik 4400 VA</v>
          </cell>
          <cell r="S110">
            <v>1</v>
          </cell>
          <cell r="T110" t="str">
            <v>bulan</v>
          </cell>
          <cell r="U110">
            <v>2000000</v>
          </cell>
          <cell r="V110">
            <v>1691940</v>
          </cell>
          <cell r="W110" t="str">
            <v>PLN</v>
          </cell>
          <cell r="X110" t="str">
            <v>Riama Siahaan</v>
          </cell>
          <cell r="Y110" t="str">
            <v>082370389806</v>
          </cell>
          <cell r="Z110" t="str">
            <v>Desa Fanayama, Kec. Fanayama, Kab. Nias Selatan</v>
          </cell>
          <cell r="AG110">
            <v>1</v>
          </cell>
        </row>
        <row r="111">
          <cell r="A111">
            <v>109</v>
          </cell>
          <cell r="B111" t="str">
            <v>19</v>
          </cell>
          <cell r="C111" t="str">
            <v>19</v>
          </cell>
          <cell r="D111" t="str">
            <v>BPU19</v>
          </cell>
          <cell r="E111">
            <v>109</v>
          </cell>
          <cell r="F111" t="str">
            <v>19</v>
          </cell>
          <cell r="G111">
            <v>44930</v>
          </cell>
          <cell r="H111">
            <v>45314</v>
          </cell>
          <cell r="I111">
            <v>45314</v>
          </cell>
          <cell r="J111">
            <v>45314</v>
          </cell>
          <cell r="K111">
            <v>45314</v>
          </cell>
          <cell r="L111" t="str">
            <v>5.1.02.02.01.00
63</v>
          </cell>
          <cell r="M111" t="str">
            <v>06.07.</v>
          </cell>
          <cell r="N111" t="str">
            <v>06.07.05.</v>
          </cell>
          <cell r="O111" t="str">
            <v>Biaya Langganan Internet--</v>
          </cell>
          <cell r="P111" t="str">
            <v>Biaya Langganan Internet--</v>
          </cell>
          <cell r="Q111" t="str">
            <v>Jasa Internet</v>
          </cell>
          <cell r="R111" t="str">
            <v>Jasa Indihome Unlimited</v>
          </cell>
          <cell r="S111">
            <v>1</v>
          </cell>
          <cell r="T111" t="str">
            <v>bulan</v>
          </cell>
          <cell r="U111">
            <v>1500000</v>
          </cell>
          <cell r="V111">
            <v>1235850</v>
          </cell>
          <cell r="W111" t="str">
            <v>Indihome</v>
          </cell>
          <cell r="X111" t="str">
            <v>Riama Siahaan</v>
          </cell>
          <cell r="Y111" t="str">
            <v>082370389806</v>
          </cell>
          <cell r="Z111" t="str">
            <v>Desa Fanayama, Kec. Fanayama, Kab. Nias Selatan</v>
          </cell>
          <cell r="AG111">
            <v>1</v>
          </cell>
        </row>
        <row r="112">
          <cell r="A112">
            <v>110</v>
          </cell>
          <cell r="B112" t="str">
            <v>20</v>
          </cell>
          <cell r="C112" t="str">
            <v>20</v>
          </cell>
          <cell r="D112" t="str">
            <v>BPU20</v>
          </cell>
          <cell r="E112">
            <v>110</v>
          </cell>
          <cell r="F112" t="str">
            <v>20</v>
          </cell>
          <cell r="G112">
            <v>44930</v>
          </cell>
          <cell r="H112">
            <v>45315</v>
          </cell>
          <cell r="I112">
            <v>45315</v>
          </cell>
          <cell r="J112">
            <v>45315</v>
          </cell>
          <cell r="K112">
            <v>45315</v>
          </cell>
          <cell r="L112" t="str">
            <v>5.1.02.01.01.00
52</v>
          </cell>
          <cell r="M112" t="str">
            <v>03.03.</v>
          </cell>
          <cell r="N112" t="str">
            <v>03.03.14.</v>
          </cell>
          <cell r="O112" t="str">
            <v>Kudapan pada Kegiatan rubrik/Ibadah Bulanan</v>
          </cell>
          <cell r="P112" t="str">
            <v>Kue Kotak</v>
          </cell>
          <cell r="Q112" t="str">
            <v>Kudapan</v>
          </cell>
          <cell r="R112" t="str">
            <v>Kue (bahan tepung terigu, gula, telur, mentega; berat 100gr, panjang 15cm, lebar 8 cm)</v>
          </cell>
          <cell r="S112">
            <v>100</v>
          </cell>
          <cell r="T112" t="str">
            <v>kotak</v>
          </cell>
          <cell r="U112">
            <v>15000</v>
          </cell>
          <cell r="V112">
            <v>1500000</v>
          </cell>
          <cell r="W112" t="str">
            <v>Rumah Roti Helena</v>
          </cell>
          <cell r="X112" t="str">
            <v>Fudi Supiyanto</v>
          </cell>
          <cell r="Y112" t="str">
            <v>082164895397</v>
          </cell>
          <cell r="Z112" t="str">
            <v>Jl. Jend A. Yani No. 89 Kelurahan Pasar Telukdalam - Nias Selatan</v>
          </cell>
          <cell r="AG112">
            <v>1</v>
          </cell>
        </row>
        <row r="113">
          <cell r="A113">
            <v>111</v>
          </cell>
          <cell r="B113" t="str">
            <v>21</v>
          </cell>
          <cell r="C113" t="str">
            <v>21</v>
          </cell>
          <cell r="D113" t="str">
            <v>BPU21</v>
          </cell>
          <cell r="E113">
            <v>111</v>
          </cell>
          <cell r="F113" t="str">
            <v>21</v>
          </cell>
          <cell r="G113">
            <v>45315</v>
          </cell>
          <cell r="H113">
            <v>45316</v>
          </cell>
          <cell r="I113">
            <v>45316</v>
          </cell>
          <cell r="J113">
            <v>45316</v>
          </cell>
          <cell r="K113">
            <v>45316</v>
          </cell>
          <cell r="L113" t="str">
            <v>5.1.02.02.01.00
27</v>
          </cell>
          <cell r="M113" t="str">
            <v>06.05.</v>
          </cell>
          <cell r="N113" t="str">
            <v>06.05.03.</v>
          </cell>
          <cell r="O113" t="str">
            <v>Belanja Jasa Tenaga Operator Komputer--</v>
          </cell>
          <cell r="P113" t="str">
            <v>Belanja Jasa Tenaga Operator Komputer--</v>
          </cell>
          <cell r="Q113" t="str">
            <v>Jasa Tenaga Operator</v>
          </cell>
          <cell r="R113" t="str">
            <v xml:space="preserve"> Biaya Jasa Operator Sekolah</v>
          </cell>
          <cell r="S113">
            <v>1</v>
          </cell>
          <cell r="T113" t="str">
            <v>bulan</v>
          </cell>
          <cell r="U113">
            <v>1000000</v>
          </cell>
          <cell r="V113">
            <v>1000000</v>
          </cell>
          <cell r="W113" t="str">
            <v>Riama Siahaan</v>
          </cell>
          <cell r="X113" t="str">
            <v>Riama Siahaan</v>
          </cell>
          <cell r="Y113" t="str">
            <v>082370389806</v>
          </cell>
          <cell r="Z113" t="str">
            <v>Desa Fanayama, Kec. Fanayama, Kab. Nias Selatan</v>
          </cell>
          <cell r="AG113">
            <v>1</v>
          </cell>
        </row>
        <row r="114">
          <cell r="A114">
            <v>112</v>
          </cell>
          <cell r="B114" t="str">
            <v>22</v>
          </cell>
          <cell r="C114" t="str">
            <v>22</v>
          </cell>
          <cell r="D114" t="str">
            <v>BPU22</v>
          </cell>
          <cell r="E114">
            <v>112</v>
          </cell>
          <cell r="F114" t="str">
            <v>22</v>
          </cell>
          <cell r="G114">
            <v>45316</v>
          </cell>
          <cell r="H114">
            <v>45317</v>
          </cell>
          <cell r="I114">
            <v>45318</v>
          </cell>
          <cell r="J114">
            <v>45318</v>
          </cell>
          <cell r="K114">
            <v>45318</v>
          </cell>
          <cell r="L114" t="str">
            <v>5.1.02.01.01.00
26</v>
          </cell>
          <cell r="M114" t="str">
            <v>06.05.</v>
          </cell>
          <cell r="N114" t="str">
            <v>06.05.08.</v>
          </cell>
          <cell r="O114" t="str">
            <v>Foto Copy Filio dan Kuarto</v>
          </cell>
          <cell r="P114" t="str">
            <v>Foto Copy Filio dan Kuarto</v>
          </cell>
          <cell r="Q114" t="str">
            <v>Penggandaan</v>
          </cell>
          <cell r="R114" t="str">
            <v>Fotocopy ukuran A4/F4</v>
          </cell>
          <cell r="S114">
            <v>4739</v>
          </cell>
          <cell r="T114" t="str">
            <v>lembar</v>
          </cell>
          <cell r="U114">
            <v>350</v>
          </cell>
          <cell r="V114">
            <v>1658650</v>
          </cell>
          <cell r="W114" t="str">
            <v>UD. JOSUA</v>
          </cell>
          <cell r="X114" t="str">
            <v>Gestiwan Zebua</v>
          </cell>
          <cell r="Y114" t="str">
            <v>082166506229</v>
          </cell>
          <cell r="Z114" t="str">
            <v>Jl. Pasir Putih Pasar Telukdalam, Telukdalam Kab. Nias Selatan</v>
          </cell>
          <cell r="AG114">
            <v>1</v>
          </cell>
        </row>
        <row r="115">
          <cell r="A115">
            <v>113</v>
          </cell>
          <cell r="B115">
            <v>25</v>
          </cell>
          <cell r="C115">
            <v>25</v>
          </cell>
          <cell r="D115" t="str">
            <v>BNU03</v>
          </cell>
          <cell r="E115">
            <v>113</v>
          </cell>
          <cell r="F115">
            <v>25</v>
          </cell>
          <cell r="G115">
            <v>45319</v>
          </cell>
          <cell r="H115">
            <v>45320</v>
          </cell>
          <cell r="I115">
            <v>45320</v>
          </cell>
          <cell r="J115">
            <v>45320</v>
          </cell>
          <cell r="K115">
            <v>45320</v>
          </cell>
          <cell r="L115" t="str">
            <v>5.1.02.02.01.00
13</v>
          </cell>
          <cell r="M115" t="str">
            <v>07.12.</v>
          </cell>
          <cell r="N115" t="str">
            <v>07.12.01.</v>
          </cell>
          <cell r="O115" t="str">
            <v>Selatieli Nehe</v>
          </cell>
          <cell r="P115" t="str">
            <v>Selatieli Nehe</v>
          </cell>
          <cell r="Q115" t="str">
            <v>Jasa Tenaga Pengajar</v>
          </cell>
          <cell r="R115" t="str">
            <v>Honor Guru Tidak Tetap Sekolah (GTTS)</v>
          </cell>
          <cell r="S115">
            <v>33</v>
          </cell>
          <cell r="T115" t="str">
            <v>jpl</v>
          </cell>
          <cell r="U115">
            <v>75000</v>
          </cell>
          <cell r="V115">
            <v>2475000</v>
          </cell>
          <cell r="W115" t="str">
            <v>GTTS dan PTTS</v>
          </cell>
          <cell r="X115">
            <v>0</v>
          </cell>
          <cell r="AG115">
            <v>1</v>
          </cell>
        </row>
        <row r="116">
          <cell r="A116">
            <v>114</v>
          </cell>
          <cell r="B116">
            <v>26</v>
          </cell>
          <cell r="C116">
            <v>26</v>
          </cell>
          <cell r="D116" t="str">
            <v>BNU04</v>
          </cell>
          <cell r="E116">
            <v>114</v>
          </cell>
          <cell r="F116">
            <v>26</v>
          </cell>
          <cell r="G116">
            <v>45319</v>
          </cell>
          <cell r="H116">
            <v>45320</v>
          </cell>
          <cell r="I116">
            <v>45320</v>
          </cell>
          <cell r="J116">
            <v>45320</v>
          </cell>
          <cell r="K116">
            <v>45320</v>
          </cell>
          <cell r="L116" t="str">
            <v>5.1.02.02.01.00
13</v>
          </cell>
          <cell r="M116" t="str">
            <v>07.12.</v>
          </cell>
          <cell r="N116" t="str">
            <v>07.12.01.</v>
          </cell>
          <cell r="O116" t="str">
            <v>Arifin Metodi Bate'e</v>
          </cell>
          <cell r="P116" t="str">
            <v>Arifin Metodi Bate'e</v>
          </cell>
          <cell r="Q116" t="str">
            <v>Jasa Tenaga Pengajar</v>
          </cell>
          <cell r="R116" t="str">
            <v>Honor Guru Tidak Tetap Sekolah (GTTS)</v>
          </cell>
          <cell r="S116">
            <v>34</v>
          </cell>
          <cell r="T116" t="str">
            <v>jpl</v>
          </cell>
          <cell r="U116">
            <v>75000</v>
          </cell>
          <cell r="V116">
            <v>2550000</v>
          </cell>
          <cell r="W116" t="str">
            <v>GTTS dan PTTS</v>
          </cell>
          <cell r="X116">
            <v>0</v>
          </cell>
          <cell r="Y116">
            <v>0</v>
          </cell>
          <cell r="Z116">
            <v>0</v>
          </cell>
          <cell r="AG116">
            <v>1</v>
          </cell>
        </row>
        <row r="117">
          <cell r="A117">
            <v>115</v>
          </cell>
          <cell r="B117">
            <v>27</v>
          </cell>
          <cell r="C117">
            <v>27</v>
          </cell>
          <cell r="D117" t="str">
            <v>BNU05</v>
          </cell>
          <cell r="E117">
            <v>115</v>
          </cell>
          <cell r="F117">
            <v>27</v>
          </cell>
          <cell r="G117">
            <v>45319</v>
          </cell>
          <cell r="H117">
            <v>45320</v>
          </cell>
          <cell r="I117">
            <v>45320</v>
          </cell>
          <cell r="J117">
            <v>45320</v>
          </cell>
          <cell r="K117">
            <v>45320</v>
          </cell>
          <cell r="L117" t="str">
            <v>5.1.02.02.01.00
13</v>
          </cell>
          <cell r="M117" t="str">
            <v>07.12.</v>
          </cell>
          <cell r="N117" t="str">
            <v>07.12.01.</v>
          </cell>
          <cell r="O117" t="str">
            <v>Ferdiwati Wau</v>
          </cell>
          <cell r="P117" t="str">
            <v>Ferdiwati Wau</v>
          </cell>
          <cell r="Q117" t="str">
            <v>Jasa Tenaga Pengajar</v>
          </cell>
          <cell r="R117" t="str">
            <v>Honor Guru Tidak Tetap Sekolah (GTTS)</v>
          </cell>
          <cell r="S117">
            <v>30</v>
          </cell>
          <cell r="T117" t="str">
            <v>jpl</v>
          </cell>
          <cell r="U117">
            <v>75000</v>
          </cell>
          <cell r="V117">
            <v>2250000</v>
          </cell>
          <cell r="W117" t="str">
            <v>GTTS dan PTTS</v>
          </cell>
          <cell r="X117">
            <v>0</v>
          </cell>
          <cell r="Y117">
            <v>0</v>
          </cell>
          <cell r="Z117">
            <v>0</v>
          </cell>
          <cell r="AG117">
            <v>1</v>
          </cell>
        </row>
        <row r="118">
          <cell r="A118">
            <v>116</v>
          </cell>
          <cell r="B118">
            <v>28</v>
          </cell>
          <cell r="C118">
            <v>28</v>
          </cell>
          <cell r="D118" t="str">
            <v>BNU06</v>
          </cell>
          <cell r="E118">
            <v>116</v>
          </cell>
          <cell r="F118">
            <v>28</v>
          </cell>
          <cell r="G118">
            <v>45319</v>
          </cell>
          <cell r="H118">
            <v>45320</v>
          </cell>
          <cell r="I118">
            <v>45320</v>
          </cell>
          <cell r="J118">
            <v>45320</v>
          </cell>
          <cell r="K118">
            <v>45320</v>
          </cell>
          <cell r="L118" t="str">
            <v>5.1.02.02.01.00
13</v>
          </cell>
          <cell r="M118" t="str">
            <v>07.12.</v>
          </cell>
          <cell r="N118" t="str">
            <v>07.12.01.</v>
          </cell>
          <cell r="O118" t="str">
            <v>Noni Alfanita Sarumaha, S.Pd</v>
          </cell>
          <cell r="P118" t="str">
            <v>Noni Alfanita Sarumaha, S.Pd</v>
          </cell>
          <cell r="Q118" t="str">
            <v>Jasa Tenaga Pengajar</v>
          </cell>
          <cell r="R118" t="str">
            <v>Honor Guru Tidak Tetap Sekolah (GTTS)</v>
          </cell>
          <cell r="S118">
            <v>33</v>
          </cell>
          <cell r="T118" t="str">
            <v>jpl</v>
          </cell>
          <cell r="U118">
            <v>75000</v>
          </cell>
          <cell r="V118">
            <v>2475000</v>
          </cell>
          <cell r="W118" t="str">
            <v>GTTS dan PTTS</v>
          </cell>
          <cell r="X118">
            <v>0</v>
          </cell>
          <cell r="Y118">
            <v>0</v>
          </cell>
          <cell r="Z118">
            <v>0</v>
          </cell>
          <cell r="AG118">
            <v>1</v>
          </cell>
        </row>
        <row r="119">
          <cell r="A119">
            <v>117</v>
          </cell>
          <cell r="B119">
            <v>29</v>
          </cell>
          <cell r="C119">
            <v>29</v>
          </cell>
          <cell r="D119" t="str">
            <v>BNU07</v>
          </cell>
          <cell r="E119">
            <v>117</v>
          </cell>
          <cell r="F119">
            <v>29</v>
          </cell>
          <cell r="G119">
            <v>45319</v>
          </cell>
          <cell r="H119">
            <v>45320</v>
          </cell>
          <cell r="I119">
            <v>45320</v>
          </cell>
          <cell r="J119">
            <v>45320</v>
          </cell>
          <cell r="K119">
            <v>45320</v>
          </cell>
          <cell r="L119" t="str">
            <v>5.1.02.02.01.00
13</v>
          </cell>
          <cell r="M119" t="str">
            <v>07.12.</v>
          </cell>
          <cell r="N119" t="str">
            <v>07.12.01.</v>
          </cell>
          <cell r="O119" t="str">
            <v>EMILA HAFO</v>
          </cell>
          <cell r="P119" t="str">
            <v>EMILA HAFO</v>
          </cell>
          <cell r="Q119" t="str">
            <v>Jasa Tenaga Pengajar</v>
          </cell>
          <cell r="R119" t="str">
            <v>Honor Guru Tidak Tetap Sekolah (GTTS)</v>
          </cell>
          <cell r="S119">
            <v>28</v>
          </cell>
          <cell r="T119" t="str">
            <v>jpl</v>
          </cell>
          <cell r="U119">
            <v>75000</v>
          </cell>
          <cell r="V119">
            <v>2100000</v>
          </cell>
          <cell r="W119" t="str">
            <v>GTTS dan PTTS</v>
          </cell>
          <cell r="X119">
            <v>0</v>
          </cell>
          <cell r="Y119">
            <v>0</v>
          </cell>
          <cell r="Z119">
            <v>0</v>
          </cell>
          <cell r="AG119">
            <v>1</v>
          </cell>
        </row>
        <row r="120">
          <cell r="A120">
            <v>118</v>
          </cell>
          <cell r="B120">
            <v>30</v>
          </cell>
          <cell r="C120">
            <v>30</v>
          </cell>
          <cell r="D120" t="str">
            <v>BNU08</v>
          </cell>
          <cell r="E120">
            <v>118</v>
          </cell>
          <cell r="F120">
            <v>30</v>
          </cell>
          <cell r="G120">
            <v>45319</v>
          </cell>
          <cell r="H120">
            <v>45320</v>
          </cell>
          <cell r="I120">
            <v>45320</v>
          </cell>
          <cell r="J120">
            <v>45320</v>
          </cell>
          <cell r="K120">
            <v>45320</v>
          </cell>
          <cell r="L120" t="str">
            <v>5.1.02.02.01.00
13</v>
          </cell>
          <cell r="M120" t="str">
            <v>07.12.</v>
          </cell>
          <cell r="N120" t="str">
            <v>07.12.01.</v>
          </cell>
          <cell r="O120" t="str">
            <v>Asep Nurhidayat</v>
          </cell>
          <cell r="P120" t="str">
            <v>Asep Nurhidayat</v>
          </cell>
          <cell r="Q120" t="str">
            <v>Jasa Tenaga Pengajar</v>
          </cell>
          <cell r="R120" t="str">
            <v>Honor Guru Tidak Tetap Sekolah (GTTS)</v>
          </cell>
          <cell r="S120">
            <v>33</v>
          </cell>
          <cell r="T120" t="str">
            <v>jpl</v>
          </cell>
          <cell r="U120">
            <v>75000</v>
          </cell>
          <cell r="V120">
            <v>2475000</v>
          </cell>
          <cell r="W120" t="str">
            <v>GTTS dan PTTS</v>
          </cell>
          <cell r="X120">
            <v>0</v>
          </cell>
          <cell r="Y120">
            <v>0</v>
          </cell>
          <cell r="Z120">
            <v>0</v>
          </cell>
          <cell r="AG120">
            <v>1</v>
          </cell>
        </row>
        <row r="121">
          <cell r="A121">
            <v>119</v>
          </cell>
          <cell r="B121">
            <v>31</v>
          </cell>
          <cell r="C121">
            <v>31</v>
          </cell>
          <cell r="D121" t="str">
            <v>BNU09</v>
          </cell>
          <cell r="E121">
            <v>119</v>
          </cell>
          <cell r="F121">
            <v>31</v>
          </cell>
          <cell r="G121">
            <v>45319</v>
          </cell>
          <cell r="H121">
            <v>45320</v>
          </cell>
          <cell r="I121">
            <v>45320</v>
          </cell>
          <cell r="J121">
            <v>45320</v>
          </cell>
          <cell r="K121">
            <v>45320</v>
          </cell>
          <cell r="L121" t="str">
            <v>5.1.02.02.01.00
26</v>
          </cell>
          <cell r="M121" t="str">
            <v>07.12.</v>
          </cell>
          <cell r="N121" t="str">
            <v>07.12.02.</v>
          </cell>
          <cell r="O121" t="str">
            <v>Estera Nehe</v>
          </cell>
          <cell r="P121" t="str">
            <v>Estera Nehe</v>
          </cell>
          <cell r="Q121" t="str">
            <v>Jasa Tenaga TU</v>
          </cell>
          <cell r="R121" t="str">
            <v>Honor Pegawai Tidak Tetap Sekolah (PTTS)</v>
          </cell>
          <cell r="S121">
            <v>1</v>
          </cell>
          <cell r="T121" t="str">
            <v>bulan</v>
          </cell>
          <cell r="U121">
            <v>2000000</v>
          </cell>
          <cell r="V121">
            <v>2000000</v>
          </cell>
          <cell r="W121" t="str">
            <v>GTTS dan PTTS</v>
          </cell>
          <cell r="X121">
            <v>0</v>
          </cell>
          <cell r="Y121">
            <v>0</v>
          </cell>
          <cell r="Z121">
            <v>0</v>
          </cell>
          <cell r="AG121">
            <v>1</v>
          </cell>
        </row>
        <row r="122">
          <cell r="A122">
            <v>120</v>
          </cell>
          <cell r="B122">
            <v>32</v>
          </cell>
          <cell r="C122">
            <v>32</v>
          </cell>
          <cell r="D122" t="str">
            <v>BNU10</v>
          </cell>
          <cell r="E122">
            <v>120</v>
          </cell>
          <cell r="F122">
            <v>32</v>
          </cell>
          <cell r="G122">
            <v>45319</v>
          </cell>
          <cell r="H122">
            <v>45320</v>
          </cell>
          <cell r="I122">
            <v>45320</v>
          </cell>
          <cell r="J122">
            <v>45320</v>
          </cell>
          <cell r="K122">
            <v>45320</v>
          </cell>
          <cell r="L122" t="str">
            <v>5.1.02.02.01.00
26</v>
          </cell>
          <cell r="M122" t="str">
            <v>07.12.</v>
          </cell>
          <cell r="N122" t="str">
            <v>07.12.02.</v>
          </cell>
          <cell r="O122" t="str">
            <v>Hatieli Buulolo</v>
          </cell>
          <cell r="P122" t="str">
            <v>Hatieli Buulolo</v>
          </cell>
          <cell r="Q122" t="str">
            <v>Jasa Tenaga TU</v>
          </cell>
          <cell r="R122" t="str">
            <v>Honor Pegawai Tidak Tetap Sekolah (PTTS)</v>
          </cell>
          <cell r="S122">
            <v>1</v>
          </cell>
          <cell r="T122" t="str">
            <v>bulan</v>
          </cell>
          <cell r="U122">
            <v>2000000</v>
          </cell>
          <cell r="V122">
            <v>2000000</v>
          </cell>
          <cell r="W122" t="str">
            <v>GTTS dan PTTS</v>
          </cell>
          <cell r="X122">
            <v>0</v>
          </cell>
          <cell r="Y122">
            <v>0</v>
          </cell>
          <cell r="Z122">
            <v>0</v>
          </cell>
          <cell r="AG122">
            <v>1</v>
          </cell>
        </row>
        <row r="123">
          <cell r="A123">
            <v>121</v>
          </cell>
          <cell r="B123">
            <v>33</v>
          </cell>
          <cell r="C123">
            <v>33</v>
          </cell>
          <cell r="D123" t="str">
            <v>BNU11</v>
          </cell>
          <cell r="E123">
            <v>121</v>
          </cell>
          <cell r="F123">
            <v>33</v>
          </cell>
          <cell r="G123">
            <v>45319</v>
          </cell>
          <cell r="H123">
            <v>45320</v>
          </cell>
          <cell r="I123">
            <v>45320</v>
          </cell>
          <cell r="J123">
            <v>45320</v>
          </cell>
          <cell r="K123">
            <v>45320</v>
          </cell>
          <cell r="L123" t="str">
            <v>5.1.02.02.01.00
26</v>
          </cell>
          <cell r="M123" t="str">
            <v>07.12.</v>
          </cell>
          <cell r="N123" t="str">
            <v>07.12.02.</v>
          </cell>
          <cell r="O123" t="str">
            <v>David J. Sitinjak</v>
          </cell>
          <cell r="P123" t="str">
            <v>David J. Sitinjak</v>
          </cell>
          <cell r="Q123" t="str">
            <v>Jasa Tenaga TU</v>
          </cell>
          <cell r="R123" t="str">
            <v>Honor Pegawai Tidak Tetap Sekolah (PTTS)</v>
          </cell>
          <cell r="S123">
            <v>1</v>
          </cell>
          <cell r="T123" t="str">
            <v>bulan</v>
          </cell>
          <cell r="U123">
            <v>2000000</v>
          </cell>
          <cell r="V123">
            <v>2000000</v>
          </cell>
          <cell r="W123" t="str">
            <v>GTTS dan PTTS</v>
          </cell>
          <cell r="X123">
            <v>0</v>
          </cell>
          <cell r="Y123">
            <v>0</v>
          </cell>
          <cell r="Z123">
            <v>0</v>
          </cell>
          <cell r="AG123">
            <v>1</v>
          </cell>
        </row>
        <row r="124">
          <cell r="A124">
            <v>122</v>
          </cell>
          <cell r="B124">
            <v>34</v>
          </cell>
          <cell r="C124">
            <v>34</v>
          </cell>
          <cell r="D124" t="str">
            <v>BNU12</v>
          </cell>
          <cell r="E124">
            <v>122</v>
          </cell>
          <cell r="F124">
            <v>34</v>
          </cell>
          <cell r="G124">
            <v>45319</v>
          </cell>
          <cell r="H124">
            <v>45320</v>
          </cell>
          <cell r="I124">
            <v>45320</v>
          </cell>
          <cell r="J124">
            <v>45320</v>
          </cell>
          <cell r="K124">
            <v>45320</v>
          </cell>
          <cell r="L124" t="str">
            <v>5.1.02.02.01.00
26</v>
          </cell>
          <cell r="M124" t="str">
            <v>07.12.</v>
          </cell>
          <cell r="N124" t="str">
            <v>07.12.02.</v>
          </cell>
          <cell r="O124" t="str">
            <v>Siona Ziraluo</v>
          </cell>
          <cell r="P124" t="str">
            <v>Siona Ziraluo</v>
          </cell>
          <cell r="Q124" t="str">
            <v>Jasa Tenaga TU</v>
          </cell>
          <cell r="R124" t="str">
            <v>Honor Pegawai Tidak Tetap Sekolah (PTTS)</v>
          </cell>
          <cell r="S124">
            <v>1</v>
          </cell>
          <cell r="T124" t="str">
            <v>bulan</v>
          </cell>
          <cell r="U124">
            <v>2000000</v>
          </cell>
          <cell r="V124">
            <v>2000000</v>
          </cell>
          <cell r="W124" t="str">
            <v>GTTS dan PTTS</v>
          </cell>
          <cell r="X124">
            <v>0</v>
          </cell>
          <cell r="Y124">
            <v>0</v>
          </cell>
          <cell r="Z124">
            <v>0</v>
          </cell>
          <cell r="AG124">
            <v>1</v>
          </cell>
        </row>
        <row r="125">
          <cell r="A125">
            <v>123</v>
          </cell>
          <cell r="B125">
            <v>35</v>
          </cell>
          <cell r="C125">
            <v>35</v>
          </cell>
          <cell r="D125" t="str">
            <v>BNU13</v>
          </cell>
          <cell r="E125">
            <v>123</v>
          </cell>
          <cell r="F125">
            <v>35</v>
          </cell>
          <cell r="G125">
            <v>45319</v>
          </cell>
          <cell r="H125">
            <v>45320</v>
          </cell>
          <cell r="I125">
            <v>45320</v>
          </cell>
          <cell r="J125">
            <v>45320</v>
          </cell>
          <cell r="K125">
            <v>45320</v>
          </cell>
          <cell r="L125" t="str">
            <v>5.1.02.02.01.00
26</v>
          </cell>
          <cell r="M125" t="str">
            <v>07.12.</v>
          </cell>
          <cell r="N125" t="str">
            <v>07.12.02.</v>
          </cell>
          <cell r="O125" t="str">
            <v>Merdina Ziraluo</v>
          </cell>
          <cell r="P125" t="str">
            <v>Merdina Ziraluo</v>
          </cell>
          <cell r="Q125" t="str">
            <v>Jasa Tenaga TU</v>
          </cell>
          <cell r="R125" t="str">
            <v>Honor Pegawai Tidak Tetap Sekolah (PTTS)</v>
          </cell>
          <cell r="S125">
            <v>1</v>
          </cell>
          <cell r="T125" t="str">
            <v>bulan</v>
          </cell>
          <cell r="U125">
            <v>2000000</v>
          </cell>
          <cell r="V125">
            <v>2000000</v>
          </cell>
          <cell r="W125" t="str">
            <v>GTTS dan PTTS</v>
          </cell>
          <cell r="X125">
            <v>0</v>
          </cell>
          <cell r="Y125">
            <v>0</v>
          </cell>
          <cell r="Z125">
            <v>0</v>
          </cell>
          <cell r="AG125">
            <v>1</v>
          </cell>
        </row>
        <row r="126">
          <cell r="A126">
            <v>124</v>
          </cell>
          <cell r="B126">
            <v>36</v>
          </cell>
          <cell r="C126">
            <v>36</v>
          </cell>
          <cell r="D126" t="str">
            <v>BNU14</v>
          </cell>
          <cell r="E126">
            <v>124</v>
          </cell>
          <cell r="F126">
            <v>36</v>
          </cell>
          <cell r="G126">
            <v>45319</v>
          </cell>
          <cell r="H126">
            <v>45320</v>
          </cell>
          <cell r="I126">
            <v>45320</v>
          </cell>
          <cell r="J126">
            <v>45320</v>
          </cell>
          <cell r="K126">
            <v>45320</v>
          </cell>
          <cell r="L126" t="str">
            <v>5.1.02.02.01.00
30</v>
          </cell>
          <cell r="M126" t="str">
            <v>07.12.</v>
          </cell>
          <cell r="N126" t="str">
            <v>07.12.04.</v>
          </cell>
          <cell r="O126" t="str">
            <v>Fransiskus Lombu</v>
          </cell>
          <cell r="P126" t="str">
            <v>Fransiskus Lombu</v>
          </cell>
          <cell r="Q126" t="str">
            <v>Jasa Tenaga Kebersihan</v>
          </cell>
          <cell r="R126" t="str">
            <v>Honorarius Pegawai Kebersihan Sekolah</v>
          </cell>
          <cell r="S126">
            <v>1</v>
          </cell>
          <cell r="T126" t="str">
            <v>bulan</v>
          </cell>
          <cell r="U126">
            <v>1000000</v>
          </cell>
          <cell r="V126">
            <v>1000000</v>
          </cell>
          <cell r="W126" t="str">
            <v>Pegawai Kebersihan</v>
          </cell>
          <cell r="X126">
            <v>0</v>
          </cell>
          <cell r="AG126">
            <v>1</v>
          </cell>
        </row>
        <row r="127">
          <cell r="A127">
            <v>127</v>
          </cell>
          <cell r="B127">
            <v>37</v>
          </cell>
          <cell r="C127">
            <v>37</v>
          </cell>
          <cell r="D127" t="str">
            <v>BPU23</v>
          </cell>
          <cell r="E127">
            <v>125</v>
          </cell>
          <cell r="F127">
            <v>37</v>
          </cell>
          <cell r="G127">
            <v>45319</v>
          </cell>
          <cell r="H127">
            <v>45320</v>
          </cell>
          <cell r="I127">
            <v>45321</v>
          </cell>
          <cell r="J127">
            <v>45321</v>
          </cell>
          <cell r="K127">
            <v>45321</v>
          </cell>
          <cell r="L127" t="str">
            <v>5.1.02.01.01.00
55</v>
          </cell>
          <cell r="M127" t="str">
            <v>06.05.</v>
          </cell>
          <cell r="N127" t="str">
            <v>06.05.01.</v>
          </cell>
          <cell r="O127" t="str">
            <v>Satuan Biaya Konsumsi Makanan dan Minuman Fasilitas Pelayanan Urusan Pendidikan Biasa, Makan - Provinsi Sumatera Utara--</v>
          </cell>
          <cell r="P127" t="str">
            <v>Nasi Kotak</v>
          </cell>
          <cell r="Q127" t="str">
            <v>Konsumsi</v>
          </cell>
          <cell r="R127" t="str">
            <v>Nasi putih;Sop daging; Sayur; Berat 1000gr; Dimensi; (PxLxT) 25cmx25cmx10cm</v>
          </cell>
          <cell r="S127">
            <v>80</v>
          </cell>
          <cell r="T127" t="str">
            <v>kotak</v>
          </cell>
          <cell r="U127">
            <v>40000</v>
          </cell>
          <cell r="V127">
            <v>3200000</v>
          </cell>
          <cell r="W127" t="str">
            <v>Resto JFC Esther</v>
          </cell>
          <cell r="X127" t="str">
            <v>Limaati Daeli</v>
          </cell>
          <cell r="Y127" t="str">
            <v>085297578868</v>
          </cell>
          <cell r="Z127" t="str">
            <v>Jl. Saonigeho Km. 5 Telukdalam, Kab. Nias Selatan</v>
          </cell>
          <cell r="AG127">
            <v>1</v>
          </cell>
        </row>
        <row r="128">
          <cell r="A128">
            <v>128</v>
          </cell>
          <cell r="B128">
            <v>38</v>
          </cell>
          <cell r="C128">
            <v>38</v>
          </cell>
          <cell r="D128" t="str">
            <v>BPU24</v>
          </cell>
          <cell r="E128">
            <v>126</v>
          </cell>
          <cell r="F128">
            <v>38</v>
          </cell>
          <cell r="G128">
            <v>45319</v>
          </cell>
          <cell r="H128">
            <v>45320</v>
          </cell>
          <cell r="I128">
            <v>45321</v>
          </cell>
          <cell r="J128">
            <v>45321</v>
          </cell>
          <cell r="K128">
            <v>45321</v>
          </cell>
          <cell r="L128" t="str">
            <v>5.1.02.01.01.00
55</v>
          </cell>
          <cell r="M128" t="str">
            <v>06.05.</v>
          </cell>
          <cell r="N128" t="str">
            <v>06.05.01.</v>
          </cell>
          <cell r="O128" t="str">
            <v>Satuan Biaya Konsumsi Makanan dan Minuman Fasilitas Pelayanan Urusan Pendidikan Biasa, Kudapan (Snack) - Provinsi Sumatera Utara--</v>
          </cell>
          <cell r="P128" t="str">
            <v>Kue Kotak</v>
          </cell>
          <cell r="Q128" t="str">
            <v>Kudapan</v>
          </cell>
          <cell r="R128" t="str">
            <v>Kue (bahan tepung terigu, gula, telur, mentega; berat 100gr, panjang 15cm, lebar 8 cm)</v>
          </cell>
          <cell r="S128">
            <v>80</v>
          </cell>
          <cell r="T128" t="str">
            <v>kotak</v>
          </cell>
          <cell r="U128">
            <v>15000</v>
          </cell>
          <cell r="V128">
            <v>1200000</v>
          </cell>
          <cell r="W128" t="str">
            <v>Rumah Roti Helena</v>
          </cell>
          <cell r="X128" t="str">
            <v>Fudi Supiyanto</v>
          </cell>
          <cell r="Y128" t="str">
            <v>082164895397</v>
          </cell>
          <cell r="Z128" t="str">
            <v>Jl. Jend A. Yani No. 89 Kelurahan Pasar Telukdalam - Nias Selatan</v>
          </cell>
          <cell r="AG128">
            <v>1</v>
          </cell>
        </row>
        <row r="129">
          <cell r="A129">
            <v>129</v>
          </cell>
          <cell r="B129">
            <v>39</v>
          </cell>
          <cell r="C129">
            <v>39</v>
          </cell>
          <cell r="D129" t="str">
            <v>BPU25</v>
          </cell>
          <cell r="E129">
            <v>127</v>
          </cell>
          <cell r="F129">
            <v>39</v>
          </cell>
          <cell r="G129">
            <v>45319</v>
          </cell>
          <cell r="H129">
            <v>45320</v>
          </cell>
          <cell r="I129">
            <v>45321</v>
          </cell>
          <cell r="J129">
            <v>45321</v>
          </cell>
          <cell r="K129">
            <v>45321</v>
          </cell>
          <cell r="L129" t="str">
            <v>5.1.02.01.01.00
52</v>
          </cell>
          <cell r="M129" t="str">
            <v>06.05.</v>
          </cell>
          <cell r="N129" t="str">
            <v>06.05.02.</v>
          </cell>
          <cell r="O129" t="str">
            <v>Kudapan Rapat Rutin Bulanan</v>
          </cell>
          <cell r="P129" t="str">
            <v>Kue Kotak</v>
          </cell>
          <cell r="Q129" t="str">
            <v>Kudapan</v>
          </cell>
          <cell r="R129" t="str">
            <v>Kue (bahan tepung terigu, gula, telur, mentega; berat 100gr, panjang 15cm, lebar 8 cm)</v>
          </cell>
          <cell r="S129">
            <v>60</v>
          </cell>
          <cell r="T129" t="str">
            <v>buah</v>
          </cell>
          <cell r="U129">
            <v>15000</v>
          </cell>
          <cell r="V129">
            <v>900000</v>
          </cell>
          <cell r="W129" t="str">
            <v>Rumah Roti Helena</v>
          </cell>
          <cell r="X129" t="str">
            <v>Fudi Supiyanto</v>
          </cell>
          <cell r="Y129" t="str">
            <v>082164895397</v>
          </cell>
          <cell r="Z129" t="str">
            <v>Jl. Jend A. Yani No. 89 Kelurahan Pasar Telukdalam - Nias Selatan</v>
          </cell>
          <cell r="AG129">
            <v>1</v>
          </cell>
        </row>
        <row r="130">
          <cell r="A130">
            <v>125</v>
          </cell>
          <cell r="B130">
            <v>23</v>
          </cell>
          <cell r="C130">
            <v>23</v>
          </cell>
          <cell r="D130" t="str">
            <v>BNU15</v>
          </cell>
          <cell r="E130">
            <v>128</v>
          </cell>
          <cell r="F130">
            <v>23</v>
          </cell>
          <cell r="G130">
            <v>45309</v>
          </cell>
          <cell r="H130">
            <v>45317</v>
          </cell>
          <cell r="I130">
            <v>45317</v>
          </cell>
          <cell r="J130">
            <v>45317</v>
          </cell>
          <cell r="K130">
            <v>45320</v>
          </cell>
          <cell r="L130" t="str">
            <v>5.1.02.01.01.00
12</v>
          </cell>
          <cell r="M130" t="str">
            <v>05.09.</v>
          </cell>
          <cell r="N130" t="str">
            <v>05.09.02.</v>
          </cell>
          <cell r="O130" t="str">
            <v>Laptop</v>
          </cell>
          <cell r="P130" t="str">
            <v>Laptop</v>
          </cell>
          <cell r="Q130" t="str">
            <v>Peralatan Multimedia</v>
          </cell>
          <cell r="S130">
            <v>2</v>
          </cell>
          <cell r="T130" t="str">
            <v>unit</v>
          </cell>
          <cell r="U130">
            <v>14000000</v>
          </cell>
          <cell r="V130">
            <v>28000000</v>
          </cell>
          <cell r="W130" t="str">
            <v>CV. Marsatu Jaya Badiri</v>
          </cell>
          <cell r="X130" t="str">
            <v>Marusaha Simanjuntak</v>
          </cell>
          <cell r="Y130" t="str">
            <v>085277086701</v>
          </cell>
          <cell r="Z130" t="str">
            <v>Jl. Oswald Siahaan No. 6A. Aek Tolang Pandan</v>
          </cell>
          <cell r="AG130">
            <v>1</v>
          </cell>
        </row>
        <row r="131">
          <cell r="A131">
            <v>126</v>
          </cell>
          <cell r="B131">
            <v>24</v>
          </cell>
          <cell r="C131">
            <v>24</v>
          </cell>
          <cell r="D131" t="str">
            <v>BNU16</v>
          </cell>
          <cell r="E131">
            <v>129</v>
          </cell>
          <cell r="F131">
            <v>24</v>
          </cell>
          <cell r="G131">
            <v>45309</v>
          </cell>
          <cell r="H131">
            <v>45317</v>
          </cell>
          <cell r="I131">
            <v>45317</v>
          </cell>
          <cell r="J131">
            <v>45317</v>
          </cell>
          <cell r="K131">
            <v>45320</v>
          </cell>
          <cell r="L131" t="str">
            <v>5.1.02.01.01.00
12</v>
          </cell>
          <cell r="M131" t="str">
            <v>05.09.</v>
          </cell>
          <cell r="N131" t="str">
            <v>05.09.05.</v>
          </cell>
          <cell r="O131" t="str">
            <v>Proyektor</v>
          </cell>
          <cell r="P131" t="str">
            <v>Proyektor</v>
          </cell>
          <cell r="Q131" t="str">
            <v>Peralatan Multimedia</v>
          </cell>
          <cell r="S131">
            <v>2</v>
          </cell>
          <cell r="T131" t="str">
            <v>unit</v>
          </cell>
          <cell r="U131">
            <v>7800000</v>
          </cell>
          <cell r="V131">
            <v>15600000</v>
          </cell>
          <cell r="W131" t="str">
            <v>CV. Marsatu Jaya Badiri</v>
          </cell>
          <cell r="X131" t="str">
            <v>Marusaha Simanjuntak</v>
          </cell>
          <cell r="Y131" t="str">
            <v>085277086701</v>
          </cell>
          <cell r="Z131" t="str">
            <v>Jl. Oswald Siahaan No. 6A. Aek Tolang Pandan</v>
          </cell>
          <cell r="AG131">
            <v>1</v>
          </cell>
        </row>
        <row r="132">
          <cell r="A132">
            <v>130</v>
          </cell>
          <cell r="B132" t="str">
            <v>40</v>
          </cell>
          <cell r="C132" t="str">
            <v>40</v>
          </cell>
          <cell r="D132" t="str">
            <v>BNU17</v>
          </cell>
          <cell r="E132">
            <v>131</v>
          </cell>
          <cell r="F132" t="str">
            <v>40</v>
          </cell>
          <cell r="G132">
            <v>45323</v>
          </cell>
          <cell r="H132">
            <v>45324</v>
          </cell>
          <cell r="I132">
            <v>45324</v>
          </cell>
          <cell r="J132">
            <v>45324</v>
          </cell>
          <cell r="K132">
            <v>45324</v>
          </cell>
          <cell r="L132" t="str">
            <v>5.1.02.01.01.00
24</v>
          </cell>
          <cell r="M132" t="str">
            <v>06.05.</v>
          </cell>
          <cell r="N132" t="str">
            <v>06.05.08.</v>
          </cell>
          <cell r="O132" t="str">
            <v>Binder Klip  nomor 111</v>
          </cell>
          <cell r="P132" t="str">
            <v>Binder Klip  nomor 111</v>
          </cell>
          <cell r="Q132" t="str">
            <v>Alat Tulis Kantor (ATK)</v>
          </cell>
          <cell r="R132" t="str">
            <v>Binder Clip No 111 (Length 5.0Cm, Width 5.0Cm, Height 5.0Cm, Weight 5Gr)</v>
          </cell>
          <cell r="S132">
            <v>5</v>
          </cell>
          <cell r="T132" t="str">
            <v>kotak</v>
          </cell>
          <cell r="U132">
            <v>11000</v>
          </cell>
          <cell r="V132">
            <v>55000</v>
          </cell>
          <cell r="W132" t="str">
            <v>UD. JOSUA</v>
          </cell>
          <cell r="X132" t="str">
            <v>Gestiwan Zebua</v>
          </cell>
          <cell r="Y132" t="str">
            <v>082166506229</v>
          </cell>
          <cell r="Z132" t="str">
            <v>Jl. Pasir Putih Pasar Telukdalam, Telukdalam Kab. Nias Selatan</v>
          </cell>
          <cell r="AG132">
            <v>2</v>
          </cell>
        </row>
        <row r="133">
          <cell r="A133">
            <v>131</v>
          </cell>
          <cell r="B133" t="str">
            <v>40</v>
          </cell>
          <cell r="C133" t="str">
            <v>40</v>
          </cell>
          <cell r="D133" t="str">
            <v>BNU17</v>
          </cell>
          <cell r="E133">
            <v>132</v>
          </cell>
          <cell r="F133" t="str">
            <v>40</v>
          </cell>
          <cell r="G133">
            <v>45323</v>
          </cell>
          <cell r="H133">
            <v>45324</v>
          </cell>
          <cell r="I133">
            <v>45324</v>
          </cell>
          <cell r="J133">
            <v>45324</v>
          </cell>
          <cell r="K133">
            <v>45324</v>
          </cell>
          <cell r="L133" t="str">
            <v>5.1.02.01.01.00
24</v>
          </cell>
          <cell r="M133" t="str">
            <v>06.05.</v>
          </cell>
          <cell r="N133" t="str">
            <v>06.05.08.</v>
          </cell>
          <cell r="O133" t="str">
            <v>Ballpoint Drawing Pen 0,1 Snowman</v>
          </cell>
          <cell r="P133" t="str">
            <v>Ballpoint Drawing Pen 0,1 Snowman</v>
          </cell>
          <cell r="Q133" t="str">
            <v>Alat Tulis Kantor (ATK)</v>
          </cell>
          <cell r="R133" t="str">
            <v>Ballpoint Drawing Pen 0,1 Snowman (Dimensi, 1cm x 1cm x 1cm. Berat, 50g)</v>
          </cell>
          <cell r="S133">
            <v>1</v>
          </cell>
          <cell r="T133" t="str">
            <v>lusin</v>
          </cell>
          <cell r="U133">
            <v>95000</v>
          </cell>
          <cell r="V133">
            <v>95000</v>
          </cell>
          <cell r="W133" t="str">
            <v>UD. JOSUA</v>
          </cell>
          <cell r="X133" t="str">
            <v>Gestiwan Zebua</v>
          </cell>
          <cell r="Y133" t="str">
            <v>082166506229</v>
          </cell>
          <cell r="Z133" t="str">
            <v>Jl. Pasir Putih Pasar Telukdalam, Telukdalam Kab. Nias Selatan</v>
          </cell>
          <cell r="AG133">
            <v>2</v>
          </cell>
        </row>
        <row r="134">
          <cell r="A134">
            <v>132</v>
          </cell>
          <cell r="B134" t="str">
            <v>40</v>
          </cell>
          <cell r="C134" t="str">
            <v>40</v>
          </cell>
          <cell r="D134" t="str">
            <v>BNU17</v>
          </cell>
          <cell r="E134">
            <v>133</v>
          </cell>
          <cell r="F134" t="str">
            <v>40</v>
          </cell>
          <cell r="G134">
            <v>45323</v>
          </cell>
          <cell r="H134">
            <v>45324</v>
          </cell>
          <cell r="I134">
            <v>45324</v>
          </cell>
          <cell r="J134">
            <v>45324</v>
          </cell>
          <cell r="K134">
            <v>45324</v>
          </cell>
          <cell r="L134" t="str">
            <v>5.1.02.01.01.00
24</v>
          </cell>
          <cell r="M134" t="str">
            <v>06.05.</v>
          </cell>
          <cell r="N134" t="str">
            <v>06.05.08.</v>
          </cell>
          <cell r="O134" t="str">
            <v>Stofmap Transparan tali</v>
          </cell>
          <cell r="P134" t="str">
            <v>Stofmap Transparan tali</v>
          </cell>
          <cell r="Q134" t="str">
            <v>Alat Tulis Kantor (ATK)</v>
          </cell>
          <cell r="R134" t="str">
            <v>Stofmap Transparan Tali (Length 5.0Cm, Width 5.0Cm, Height 5.0Cm, Weight 5Gr)</v>
          </cell>
          <cell r="S134">
            <v>100</v>
          </cell>
          <cell r="T134" t="str">
            <v>buah</v>
          </cell>
          <cell r="U134">
            <v>5500</v>
          </cell>
          <cell r="V134">
            <v>550000</v>
          </cell>
          <cell r="W134" t="str">
            <v>UD. JOSUA</v>
          </cell>
          <cell r="X134" t="str">
            <v>Gestiwan Zebua</v>
          </cell>
          <cell r="Y134" t="str">
            <v>082166506229</v>
          </cell>
          <cell r="Z134" t="str">
            <v>Jl. Pasir Putih Pasar Telukdalam, Telukdalam Kab. Nias Selatan</v>
          </cell>
          <cell r="AG134">
            <v>2</v>
          </cell>
        </row>
        <row r="135">
          <cell r="A135">
            <v>133</v>
          </cell>
          <cell r="B135" t="str">
            <v>40</v>
          </cell>
          <cell r="C135" t="str">
            <v>40</v>
          </cell>
          <cell r="D135" t="str">
            <v>BNU17</v>
          </cell>
          <cell r="E135">
            <v>134</v>
          </cell>
          <cell r="F135" t="str">
            <v>40</v>
          </cell>
          <cell r="G135">
            <v>45323</v>
          </cell>
          <cell r="H135">
            <v>45324</v>
          </cell>
          <cell r="I135">
            <v>45324</v>
          </cell>
          <cell r="J135">
            <v>45324</v>
          </cell>
          <cell r="K135">
            <v>45324</v>
          </cell>
          <cell r="L135" t="str">
            <v>5.1.02.01.01.00
24</v>
          </cell>
          <cell r="M135" t="str">
            <v>06.05.</v>
          </cell>
          <cell r="N135" t="str">
            <v>06.05.08.</v>
          </cell>
          <cell r="O135" t="str">
            <v>Amplop Coklat Merk : GSU Ukuran Folio polos</v>
          </cell>
          <cell r="P135" t="str">
            <v>Amplop Coklat Merk : GSU Ukuran Folio polos</v>
          </cell>
          <cell r="Q135" t="str">
            <v>Alat Tulis Kantor (ATK)</v>
          </cell>
          <cell r="R135" t="str">
            <v>Amplop Coklat GSU Polos (Panjang: 25 cm. Lebar: 5 cm. Tinggi: 35 cm. Berat: 1000 gram)</v>
          </cell>
          <cell r="S135">
            <v>2</v>
          </cell>
          <cell r="T135" t="str">
            <v>bungkus</v>
          </cell>
          <cell r="U135">
            <v>60000</v>
          </cell>
          <cell r="V135">
            <v>120000</v>
          </cell>
          <cell r="W135" t="str">
            <v>UD. JOSUA</v>
          </cell>
          <cell r="X135" t="str">
            <v>Gestiwan Zebua</v>
          </cell>
          <cell r="Y135" t="str">
            <v>082166506229</v>
          </cell>
          <cell r="Z135" t="str">
            <v>Jl. Pasir Putih Pasar Telukdalam, Telukdalam Kab. Nias Selatan</v>
          </cell>
          <cell r="AG135">
            <v>2</v>
          </cell>
        </row>
        <row r="136">
          <cell r="A136">
            <v>134</v>
          </cell>
          <cell r="B136" t="str">
            <v>40</v>
          </cell>
          <cell r="C136" t="str">
            <v>40</v>
          </cell>
          <cell r="D136" t="str">
            <v>BNU17</v>
          </cell>
          <cell r="E136">
            <v>135</v>
          </cell>
          <cell r="F136" t="str">
            <v>40</v>
          </cell>
          <cell r="G136">
            <v>45323</v>
          </cell>
          <cell r="H136">
            <v>45324</v>
          </cell>
          <cell r="I136">
            <v>45324</v>
          </cell>
          <cell r="J136">
            <v>45324</v>
          </cell>
          <cell r="K136">
            <v>45324</v>
          </cell>
          <cell r="L136" t="str">
            <v>5.1.02.01.01.00
24</v>
          </cell>
          <cell r="M136" t="str">
            <v>06.05.</v>
          </cell>
          <cell r="N136" t="str">
            <v>06.05.08.</v>
          </cell>
          <cell r="O136" t="str">
            <v>Stapler HD-10--</v>
          </cell>
          <cell r="P136" t="str">
            <v>Stapler HD-10--</v>
          </cell>
          <cell r="Q136" t="str">
            <v>Alat Tulis Kantor (ATK)</v>
          </cell>
          <cell r="R136" t="str">
            <v>Stapler Hd-10 (Size : 9.1 X 4.2 X 1.8 Cm, Berat. 0.07 Kg. Lebar. 10.0 Cm. Tinggi. 3.5 Cm)</v>
          </cell>
          <cell r="S136">
            <v>2</v>
          </cell>
          <cell r="T136" t="str">
            <v>buah</v>
          </cell>
          <cell r="U136">
            <v>20000</v>
          </cell>
          <cell r="V136">
            <v>40000</v>
          </cell>
          <cell r="W136" t="str">
            <v>UD. JOSUA</v>
          </cell>
          <cell r="X136" t="str">
            <v>Gestiwan Zebua</v>
          </cell>
          <cell r="Y136" t="str">
            <v>082166506229</v>
          </cell>
          <cell r="Z136" t="str">
            <v>Jl. Pasir Putih Pasar Telukdalam, Telukdalam Kab. Nias Selatan</v>
          </cell>
          <cell r="AG136">
            <v>2</v>
          </cell>
        </row>
        <row r="137">
          <cell r="A137">
            <v>135</v>
          </cell>
          <cell r="B137" t="str">
            <v>40</v>
          </cell>
          <cell r="C137" t="str">
            <v>40</v>
          </cell>
          <cell r="D137" t="str">
            <v>BNU17</v>
          </cell>
          <cell r="E137">
            <v>136</v>
          </cell>
          <cell r="F137" t="str">
            <v>40</v>
          </cell>
          <cell r="G137">
            <v>45323</v>
          </cell>
          <cell r="H137">
            <v>45324</v>
          </cell>
          <cell r="I137">
            <v>45324</v>
          </cell>
          <cell r="J137">
            <v>45324</v>
          </cell>
          <cell r="K137">
            <v>45324</v>
          </cell>
          <cell r="L137" t="str">
            <v>5.1.02.01.01.00
24</v>
          </cell>
          <cell r="M137" t="str">
            <v>06.05.</v>
          </cell>
          <cell r="N137" t="str">
            <v>06.05.08.</v>
          </cell>
          <cell r="O137" t="str">
            <v>Kertas Lain-Lain Kertas Buffalo</v>
          </cell>
          <cell r="P137" t="str">
            <v>Kertas Lain-Lain Kertas Buffalo</v>
          </cell>
          <cell r="Q137" t="str">
            <v>Alat Tulis Kantor (ATK)</v>
          </cell>
          <cell r="R137" t="str">
            <v>Kertas Buffalo F4 (Length 21.0Cm, Width 33.0Cm, Height 7.0Cm, Weight 1006Gr)</v>
          </cell>
          <cell r="S137">
            <v>5</v>
          </cell>
          <cell r="T137" t="str">
            <v>bungkus</v>
          </cell>
          <cell r="U137">
            <v>31000</v>
          </cell>
          <cell r="V137">
            <v>155000</v>
          </cell>
          <cell r="W137" t="str">
            <v>UD. JOSUA</v>
          </cell>
          <cell r="X137" t="str">
            <v>Gestiwan Zebua</v>
          </cell>
          <cell r="Y137" t="str">
            <v>082166506229</v>
          </cell>
          <cell r="Z137" t="str">
            <v>Jl. Pasir Putih Pasar Telukdalam, Telukdalam Kab. Nias Selatan</v>
          </cell>
          <cell r="AG137">
            <v>2</v>
          </cell>
        </row>
        <row r="138">
          <cell r="A138">
            <v>136</v>
          </cell>
          <cell r="B138" t="str">
            <v>40</v>
          </cell>
          <cell r="C138" t="str">
            <v>40</v>
          </cell>
          <cell r="D138" t="str">
            <v>BNU17</v>
          </cell>
          <cell r="E138">
            <v>137</v>
          </cell>
          <cell r="F138" t="str">
            <v>40</v>
          </cell>
          <cell r="G138">
            <v>45323</v>
          </cell>
          <cell r="H138">
            <v>45324</v>
          </cell>
          <cell r="I138">
            <v>45324</v>
          </cell>
          <cell r="J138">
            <v>45324</v>
          </cell>
          <cell r="K138">
            <v>45324</v>
          </cell>
          <cell r="L138" t="str">
            <v>5.1.02.01.01.00
24</v>
          </cell>
          <cell r="M138" t="str">
            <v>06.05.</v>
          </cell>
          <cell r="N138" t="str">
            <v>06.05.08.</v>
          </cell>
          <cell r="O138" t="str">
            <v>Baterey Kecil</v>
          </cell>
          <cell r="P138" t="str">
            <v>Baterey Kecil</v>
          </cell>
          <cell r="Q138" t="str">
            <v>Alat Tulis Kantor (ATK)</v>
          </cell>
          <cell r="R138" t="str">
            <v>Baterey Kecil (Type: Aa; Tegangan: 1.5 Volt; Ukuran: 14 X 50 Mm)</v>
          </cell>
          <cell r="S138">
            <v>2</v>
          </cell>
          <cell r="T138" t="str">
            <v>pasang</v>
          </cell>
          <cell r="U138">
            <v>20000</v>
          </cell>
          <cell r="V138">
            <v>40000</v>
          </cell>
          <cell r="W138" t="str">
            <v>UD. JOSUA</v>
          </cell>
          <cell r="X138" t="str">
            <v>Gestiwan Zebua</v>
          </cell>
          <cell r="Y138" t="str">
            <v>082166506229</v>
          </cell>
          <cell r="Z138" t="str">
            <v>Jl. Pasir Putih Pasar Telukdalam, Telukdalam Kab. Nias Selatan</v>
          </cell>
          <cell r="AG138">
            <v>2</v>
          </cell>
        </row>
        <row r="139">
          <cell r="A139">
            <v>137</v>
          </cell>
          <cell r="B139" t="str">
            <v>40</v>
          </cell>
          <cell r="C139" t="str">
            <v>40</v>
          </cell>
          <cell r="D139" t="str">
            <v>BNU17</v>
          </cell>
          <cell r="E139">
            <v>138</v>
          </cell>
          <cell r="F139" t="str">
            <v>40</v>
          </cell>
          <cell r="G139">
            <v>45323</v>
          </cell>
          <cell r="H139">
            <v>45324</v>
          </cell>
          <cell r="I139">
            <v>45324</v>
          </cell>
          <cell r="J139">
            <v>45324</v>
          </cell>
          <cell r="K139">
            <v>45324</v>
          </cell>
          <cell r="L139" t="str">
            <v>5.1.02.01.01.00
24</v>
          </cell>
          <cell r="M139" t="str">
            <v>06.05.</v>
          </cell>
          <cell r="N139" t="str">
            <v>06.05.08.</v>
          </cell>
          <cell r="O139" t="str">
            <v>Tinta Printer Canon 741 Warna-741 Warna</v>
          </cell>
          <cell r="P139" t="str">
            <v>Tinta Printer Canon 741 Warna-741 Warna</v>
          </cell>
          <cell r="Q139" t="str">
            <v>Alat Tulis Kantor (ATK)</v>
          </cell>
          <cell r="R139" t="str">
            <v>Tinta Printer Canon Aiflo Warna (Length 5.0Cm, Width 5.0Cm, Height 5.0Cm, Weight 5Gr)</v>
          </cell>
          <cell r="S139">
            <v>12</v>
          </cell>
          <cell r="T139" t="str">
            <v>botol</v>
          </cell>
          <cell r="U139">
            <v>33000</v>
          </cell>
          <cell r="V139">
            <v>396000</v>
          </cell>
          <cell r="W139" t="str">
            <v>UD. JOSUA</v>
          </cell>
          <cell r="X139" t="str">
            <v>Gestiwan Zebua</v>
          </cell>
          <cell r="Y139" t="str">
            <v>082166506229</v>
          </cell>
          <cell r="Z139" t="str">
            <v>Jl. Pasir Putih Pasar Telukdalam, Telukdalam Kab. Nias Selatan</v>
          </cell>
          <cell r="AG139">
            <v>2</v>
          </cell>
        </row>
        <row r="140">
          <cell r="A140">
            <v>138</v>
          </cell>
          <cell r="B140" t="str">
            <v>40</v>
          </cell>
          <cell r="C140" t="str">
            <v>40</v>
          </cell>
          <cell r="D140" t="str">
            <v>BNU17</v>
          </cell>
          <cell r="E140">
            <v>139</v>
          </cell>
          <cell r="F140" t="str">
            <v>40</v>
          </cell>
          <cell r="G140">
            <v>45323</v>
          </cell>
          <cell r="H140">
            <v>45324</v>
          </cell>
          <cell r="I140">
            <v>45324</v>
          </cell>
          <cell r="J140">
            <v>45324</v>
          </cell>
          <cell r="K140">
            <v>45324</v>
          </cell>
          <cell r="L140" t="str">
            <v>5.1.02.01.01.00
24</v>
          </cell>
          <cell r="M140" t="str">
            <v>06.05.</v>
          </cell>
          <cell r="N140" t="str">
            <v>06.05.08.</v>
          </cell>
          <cell r="O140" t="str">
            <v>Lakban Bening</v>
          </cell>
          <cell r="P140" t="str">
            <v>Lakban Bening Besar</v>
          </cell>
          <cell r="Q140" t="str">
            <v>Alat Tulis Kantor (ATK)</v>
          </cell>
          <cell r="R140" t="str">
            <v>Lakban Bening Besar (Length 5.0Cm, Width 5.0Cm, Height 5.0Cm, Weight 5Gr)</v>
          </cell>
          <cell r="S140">
            <v>5</v>
          </cell>
          <cell r="T140" t="str">
            <v>buah</v>
          </cell>
          <cell r="U140">
            <v>15000</v>
          </cell>
          <cell r="V140">
            <v>75000</v>
          </cell>
          <cell r="W140" t="str">
            <v>UD. JOSUA</v>
          </cell>
          <cell r="X140" t="str">
            <v>Gestiwan Zebua</v>
          </cell>
          <cell r="Y140" t="str">
            <v>082166506229</v>
          </cell>
          <cell r="Z140" t="str">
            <v>Jl. Pasir Putih Pasar Telukdalam, Telukdalam Kab. Nias Selatan</v>
          </cell>
          <cell r="AG140">
            <v>2</v>
          </cell>
        </row>
        <row r="141">
          <cell r="A141">
            <v>139</v>
          </cell>
          <cell r="B141" t="str">
            <v>40</v>
          </cell>
          <cell r="C141" t="str">
            <v>40</v>
          </cell>
          <cell r="D141" t="str">
            <v>BNU17</v>
          </cell>
          <cell r="E141">
            <v>140</v>
          </cell>
          <cell r="F141" t="str">
            <v>40</v>
          </cell>
          <cell r="G141">
            <v>45323</v>
          </cell>
          <cell r="H141">
            <v>45324</v>
          </cell>
          <cell r="I141">
            <v>45324</v>
          </cell>
          <cell r="J141">
            <v>45324</v>
          </cell>
          <cell r="K141">
            <v>45324</v>
          </cell>
          <cell r="L141" t="str">
            <v>5.1.02.01.01.00
24</v>
          </cell>
          <cell r="M141" t="str">
            <v>06.05.</v>
          </cell>
          <cell r="N141" t="str">
            <v>06.05.08.</v>
          </cell>
          <cell r="O141" t="str">
            <v>Plastik Mika</v>
          </cell>
          <cell r="P141" t="str">
            <v>Plastik Mika</v>
          </cell>
          <cell r="Q141" t="str">
            <v>Alat Tulis Kantor (ATK)</v>
          </cell>
          <cell r="R141" t="str">
            <v>Plastik Mika Jilid F4 (Length 21.0Cm, Width 33.0Cm, Height 7.0Cm, Weight 548Gr)</v>
          </cell>
          <cell r="S141">
            <v>5</v>
          </cell>
          <cell r="T141" t="str">
            <v>bungkus</v>
          </cell>
          <cell r="U141">
            <v>60000</v>
          </cell>
          <cell r="V141">
            <v>300000</v>
          </cell>
          <cell r="W141" t="str">
            <v>UD. JOSUA</v>
          </cell>
          <cell r="X141" t="str">
            <v>Gestiwan Zebua</v>
          </cell>
          <cell r="Y141" t="str">
            <v>082166506229</v>
          </cell>
          <cell r="Z141" t="str">
            <v>Jl. Pasir Putih Pasar Telukdalam, Telukdalam Kab. Nias Selatan</v>
          </cell>
          <cell r="AG141">
            <v>2</v>
          </cell>
        </row>
        <row r="142">
          <cell r="A142">
            <v>140</v>
          </cell>
          <cell r="B142" t="str">
            <v>40</v>
          </cell>
          <cell r="C142" t="str">
            <v>40</v>
          </cell>
          <cell r="D142" t="str">
            <v>BNU17</v>
          </cell>
          <cell r="E142">
            <v>141</v>
          </cell>
          <cell r="F142" t="str">
            <v>40</v>
          </cell>
          <cell r="G142">
            <v>45323</v>
          </cell>
          <cell r="H142">
            <v>45324</v>
          </cell>
          <cell r="I142">
            <v>45324</v>
          </cell>
          <cell r="J142">
            <v>45324</v>
          </cell>
          <cell r="K142">
            <v>45324</v>
          </cell>
          <cell r="L142" t="str">
            <v>5.1.02.01.01.00
24</v>
          </cell>
          <cell r="M142" t="str">
            <v>06.05.</v>
          </cell>
          <cell r="N142" t="str">
            <v>06.05.08.</v>
          </cell>
          <cell r="O142" t="str">
            <v>Binder Klip  nomor 107</v>
          </cell>
          <cell r="P142" t="str">
            <v>Binder Klip  nomor 107</v>
          </cell>
          <cell r="Q142" t="str">
            <v>Alat Tulis Kantor (ATK)</v>
          </cell>
          <cell r="R142" t="str">
            <v>Binder Klip 107 (Merk : Joyko. Size : 40 x 19 x 17 mm. Berat : 0.1 kg.)</v>
          </cell>
          <cell r="S142">
            <v>5</v>
          </cell>
          <cell r="T142" t="str">
            <v>kotak</v>
          </cell>
          <cell r="U142">
            <v>7500</v>
          </cell>
          <cell r="V142">
            <v>37500</v>
          </cell>
          <cell r="W142" t="str">
            <v>UD. JOSUA</v>
          </cell>
          <cell r="X142" t="str">
            <v>Gestiwan Zebua</v>
          </cell>
          <cell r="Y142" t="str">
            <v>082166506229</v>
          </cell>
          <cell r="Z142" t="str">
            <v>Jl. Pasir Putih Pasar Telukdalam, Telukdalam Kab. Nias Selatan</v>
          </cell>
          <cell r="AG142">
            <v>2</v>
          </cell>
        </row>
        <row r="143">
          <cell r="A143">
            <v>141</v>
          </cell>
          <cell r="B143" t="str">
            <v>40</v>
          </cell>
          <cell r="C143" t="str">
            <v>40</v>
          </cell>
          <cell r="D143" t="str">
            <v>BNU17</v>
          </cell>
          <cell r="E143">
            <v>142</v>
          </cell>
          <cell r="F143" t="str">
            <v>40</v>
          </cell>
          <cell r="G143">
            <v>45323</v>
          </cell>
          <cell r="H143">
            <v>45324</v>
          </cell>
          <cell r="I143">
            <v>45324</v>
          </cell>
          <cell r="J143">
            <v>45324</v>
          </cell>
          <cell r="K143">
            <v>45324</v>
          </cell>
          <cell r="L143" t="str">
            <v>5.1.02.01.01.00
24</v>
          </cell>
          <cell r="M143" t="str">
            <v>06.05.</v>
          </cell>
          <cell r="N143" t="str">
            <v>06.05.08.</v>
          </cell>
          <cell r="O143" t="str">
            <v>Amplop Coklat Merk : Garda Ukuran Cabinet</v>
          </cell>
          <cell r="P143" t="str">
            <v>Amplop Coklat Merk : Garda Ukuran Cabinet</v>
          </cell>
          <cell r="Q143" t="str">
            <v>Alat Tulis Kantor (ATK)</v>
          </cell>
          <cell r="R143" t="str">
            <v>Amplop Coklat (Merk : Garda Ukuran Cabinet. Ukuran : 110 x 240 mm. Isi : 100 lbr)</v>
          </cell>
          <cell r="S143">
            <v>3</v>
          </cell>
          <cell r="T143" t="str">
            <v>bungkus</v>
          </cell>
          <cell r="U143">
            <v>23000</v>
          </cell>
          <cell r="V143">
            <v>69000</v>
          </cell>
          <cell r="W143" t="str">
            <v>UD. JOSUA</v>
          </cell>
          <cell r="X143" t="str">
            <v>Gestiwan Zebua</v>
          </cell>
          <cell r="Y143" t="str">
            <v>082166506229</v>
          </cell>
          <cell r="Z143" t="str">
            <v>Jl. Pasir Putih Pasar Telukdalam, Telukdalam Kab. Nias Selatan</v>
          </cell>
          <cell r="AG143">
            <v>2</v>
          </cell>
        </row>
        <row r="144">
          <cell r="A144">
            <v>142</v>
          </cell>
          <cell r="B144" t="str">
            <v>40</v>
          </cell>
          <cell r="C144" t="str">
            <v>40</v>
          </cell>
          <cell r="D144" t="str">
            <v>BNU17</v>
          </cell>
          <cell r="E144">
            <v>143</v>
          </cell>
          <cell r="F144" t="str">
            <v>40</v>
          </cell>
          <cell r="G144">
            <v>45323</v>
          </cell>
          <cell r="H144">
            <v>45324</v>
          </cell>
          <cell r="I144">
            <v>45324</v>
          </cell>
          <cell r="J144">
            <v>45324</v>
          </cell>
          <cell r="K144">
            <v>45324</v>
          </cell>
          <cell r="L144" t="str">
            <v>5.1.02.01.01.00
24</v>
          </cell>
          <cell r="M144" t="str">
            <v>06.05.</v>
          </cell>
          <cell r="N144" t="str">
            <v>06.05.08.</v>
          </cell>
          <cell r="O144" t="str">
            <v>Kertas Label</v>
          </cell>
          <cell r="P144" t="str">
            <v>Kertas Label</v>
          </cell>
          <cell r="Q144" t="str">
            <v>Alat Tulis Kantor (ATK)</v>
          </cell>
          <cell r="R144" t="str">
            <v>Kertas Label (Dimensi, 14cm x 20.5cm x 0.2cm. Berat, 50g. Kertas Sticker label kecil panjang no 99 (0,5cm x 3,5cm))</v>
          </cell>
          <cell r="S144">
            <v>5</v>
          </cell>
          <cell r="T144" t="str">
            <v>lembar</v>
          </cell>
          <cell r="U144">
            <v>25000</v>
          </cell>
          <cell r="V144">
            <v>125000</v>
          </cell>
          <cell r="W144" t="str">
            <v>UD. JOSUA</v>
          </cell>
          <cell r="X144" t="str">
            <v>Gestiwan Zebua</v>
          </cell>
          <cell r="Y144" t="str">
            <v>082166506229</v>
          </cell>
          <cell r="Z144" t="str">
            <v>Jl. Pasir Putih Pasar Telukdalam, Telukdalam Kab. Nias Selatan</v>
          </cell>
          <cell r="AG144">
            <v>2</v>
          </cell>
        </row>
        <row r="145">
          <cell r="A145">
            <v>143</v>
          </cell>
          <cell r="B145" t="str">
            <v>40</v>
          </cell>
          <cell r="C145" t="str">
            <v>40</v>
          </cell>
          <cell r="D145" t="str">
            <v>BNU17</v>
          </cell>
          <cell r="E145">
            <v>144</v>
          </cell>
          <cell r="F145" t="str">
            <v>40</v>
          </cell>
          <cell r="G145">
            <v>45323</v>
          </cell>
          <cell r="H145">
            <v>45324</v>
          </cell>
          <cell r="I145">
            <v>45324</v>
          </cell>
          <cell r="J145">
            <v>45324</v>
          </cell>
          <cell r="K145">
            <v>45324</v>
          </cell>
          <cell r="L145" t="str">
            <v>5.1.02.01.01.00
24</v>
          </cell>
          <cell r="M145" t="str">
            <v>06.05.</v>
          </cell>
          <cell r="N145" t="str">
            <v>06.05.08.</v>
          </cell>
          <cell r="O145" t="str">
            <v>Spidol Refil Spidol White Board Snowman</v>
          </cell>
          <cell r="P145" t="str">
            <v>Spidol Refil Spidol White Board Snowman</v>
          </cell>
          <cell r="Q145" t="str">
            <v>Alat Tulis Kantor (ATK)</v>
          </cell>
          <cell r="R145" t="str">
            <v>Spidol Refil Spidol White Board Snowman (Panjang. : 10 Cm ; Lebar. : 5 Cm ; Tinggi. : 7 Cm ; Berat. : 500 Gr)</v>
          </cell>
          <cell r="S145">
            <v>10</v>
          </cell>
          <cell r="T145" t="str">
            <v>buah</v>
          </cell>
          <cell r="U145">
            <v>20900</v>
          </cell>
          <cell r="V145">
            <v>209000</v>
          </cell>
          <cell r="W145" t="str">
            <v>UD. JOSUA</v>
          </cell>
          <cell r="X145" t="str">
            <v>Gestiwan Zebua</v>
          </cell>
          <cell r="Y145" t="str">
            <v>082166506229</v>
          </cell>
          <cell r="Z145" t="str">
            <v>Jl. Pasir Putih Pasar Telukdalam, Telukdalam Kab. Nias Selatan</v>
          </cell>
          <cell r="AG145">
            <v>2</v>
          </cell>
        </row>
        <row r="146">
          <cell r="A146">
            <v>144</v>
          </cell>
          <cell r="B146" t="str">
            <v>40</v>
          </cell>
          <cell r="C146" t="str">
            <v>40</v>
          </cell>
          <cell r="D146" t="str">
            <v>BNU17</v>
          </cell>
          <cell r="E146">
            <v>145</v>
          </cell>
          <cell r="F146" t="str">
            <v>40</v>
          </cell>
          <cell r="G146">
            <v>45323</v>
          </cell>
          <cell r="H146">
            <v>45324</v>
          </cell>
          <cell r="I146">
            <v>45324</v>
          </cell>
          <cell r="J146">
            <v>45324</v>
          </cell>
          <cell r="K146">
            <v>45324</v>
          </cell>
          <cell r="L146" t="str">
            <v>5.1.02.01.01.00
24</v>
          </cell>
          <cell r="M146" t="str">
            <v>06.05.</v>
          </cell>
          <cell r="N146" t="str">
            <v>06.05.08.</v>
          </cell>
          <cell r="O146" t="str">
            <v>Binder Klip Merk : KENKO nomor 105</v>
          </cell>
          <cell r="P146" t="str">
            <v>Binder Klip Merk : KENKO nomor 105</v>
          </cell>
          <cell r="Q146" t="str">
            <v>Alat Tulis Kantor (ATK)</v>
          </cell>
          <cell r="R146" t="str">
            <v>Binder Klip (Merk : Kenko - Bahan : Besi - Ukuran : 15 x 25 mm (No. 105) - Isi : 12 Pcs - Berat : 35 Gram)</v>
          </cell>
          <cell r="S146">
            <v>2</v>
          </cell>
          <cell r="T146" t="str">
            <v>kotak</v>
          </cell>
          <cell r="U146">
            <v>5000</v>
          </cell>
          <cell r="V146">
            <v>10000</v>
          </cell>
          <cell r="W146" t="str">
            <v>UD. JOSUA</v>
          </cell>
          <cell r="X146" t="str">
            <v>Gestiwan Zebua</v>
          </cell>
          <cell r="Y146" t="str">
            <v>082166506229</v>
          </cell>
          <cell r="Z146" t="str">
            <v>Jl. Pasir Putih Pasar Telukdalam, Telukdalam Kab. Nias Selatan</v>
          </cell>
          <cell r="AG146">
            <v>2</v>
          </cell>
        </row>
        <row r="147">
          <cell r="A147">
            <v>145</v>
          </cell>
          <cell r="B147" t="str">
            <v>40</v>
          </cell>
          <cell r="C147" t="str">
            <v>40</v>
          </cell>
          <cell r="D147" t="str">
            <v>BNU17</v>
          </cell>
          <cell r="E147">
            <v>146</v>
          </cell>
          <cell r="F147" t="str">
            <v>40</v>
          </cell>
          <cell r="G147">
            <v>45323</v>
          </cell>
          <cell r="H147">
            <v>45324</v>
          </cell>
          <cell r="I147">
            <v>45324</v>
          </cell>
          <cell r="J147">
            <v>45324</v>
          </cell>
          <cell r="K147">
            <v>45324</v>
          </cell>
          <cell r="L147" t="str">
            <v>5.1.02.01.01.00
24</v>
          </cell>
          <cell r="M147" t="str">
            <v>06.05.</v>
          </cell>
          <cell r="N147" t="str">
            <v>06.05.08.</v>
          </cell>
          <cell r="O147" t="str">
            <v>Ballpoint Pilot G2</v>
          </cell>
          <cell r="P147" t="str">
            <v>Ballpoint Pilot G2</v>
          </cell>
          <cell r="Q147" t="str">
            <v>Alat Tulis Kantor (ATK)</v>
          </cell>
          <cell r="R147" t="str">
            <v>Ballpoint Pilot G2 (Length 5.0Cm, Width 5.0Cm, Height 5.0Cm, Weight 5Gr)</v>
          </cell>
          <cell r="S147">
            <v>1</v>
          </cell>
          <cell r="T147" t="str">
            <v>lusin</v>
          </cell>
          <cell r="U147">
            <v>235000</v>
          </cell>
          <cell r="V147">
            <v>235000</v>
          </cell>
          <cell r="W147" t="str">
            <v>UD. JOSUA</v>
          </cell>
          <cell r="X147" t="str">
            <v>Gestiwan Zebua</v>
          </cell>
          <cell r="Y147" t="str">
            <v>082166506229</v>
          </cell>
          <cell r="Z147" t="str">
            <v>Jl. Pasir Putih Pasar Telukdalam, Telukdalam Kab. Nias Selatan</v>
          </cell>
          <cell r="AG147">
            <v>2</v>
          </cell>
        </row>
        <row r="148">
          <cell r="A148">
            <v>146</v>
          </cell>
          <cell r="B148" t="str">
            <v>40</v>
          </cell>
          <cell r="C148" t="str">
            <v>40</v>
          </cell>
          <cell r="D148" t="str">
            <v>BNU17</v>
          </cell>
          <cell r="E148">
            <v>147</v>
          </cell>
          <cell r="F148" t="str">
            <v>40</v>
          </cell>
          <cell r="G148">
            <v>45323</v>
          </cell>
          <cell r="H148">
            <v>45324</v>
          </cell>
          <cell r="I148">
            <v>45324</v>
          </cell>
          <cell r="J148">
            <v>45324</v>
          </cell>
          <cell r="K148">
            <v>45324</v>
          </cell>
          <cell r="L148" t="str">
            <v>5.1.02.01.01.00
24</v>
          </cell>
          <cell r="M148" t="str">
            <v>06.05.</v>
          </cell>
          <cell r="N148" t="str">
            <v>06.05.08.</v>
          </cell>
          <cell r="O148" t="str">
            <v>C. Tinta Printer EPSON Tinta Printer Epson Blue</v>
          </cell>
          <cell r="P148" t="str">
            <v>C. Tinta Printer EPSON Tinta Printer Epson Blue</v>
          </cell>
          <cell r="Q148" t="str">
            <v>Alat Tulis Kantor (ATK)</v>
          </cell>
          <cell r="R148" t="str">
            <v>Tinta Printer Epson 664 Biru (Length 5.0Cm, Width 5.0Cm, Height 5.0Cm, Weight 5Gr)</v>
          </cell>
          <cell r="S148">
            <v>4</v>
          </cell>
          <cell r="T148" t="str">
            <v>botol</v>
          </cell>
          <cell r="U148">
            <v>110000</v>
          </cell>
          <cell r="V148">
            <v>440000</v>
          </cell>
          <cell r="W148" t="str">
            <v>UD. JOSUA</v>
          </cell>
          <cell r="X148" t="str">
            <v>Gestiwan Zebua</v>
          </cell>
          <cell r="Y148" t="str">
            <v>082166506229</v>
          </cell>
          <cell r="Z148" t="str">
            <v>Jl. Pasir Putih Pasar Telukdalam, Telukdalam Kab. Nias Selatan</v>
          </cell>
          <cell r="AG148">
            <v>2</v>
          </cell>
        </row>
        <row r="149">
          <cell r="A149">
            <v>147</v>
          </cell>
          <cell r="B149" t="str">
            <v>40</v>
          </cell>
          <cell r="C149" t="str">
            <v>40</v>
          </cell>
          <cell r="D149" t="str">
            <v>BNU17</v>
          </cell>
          <cell r="E149">
            <v>148</v>
          </cell>
          <cell r="F149" t="str">
            <v>40</v>
          </cell>
          <cell r="G149">
            <v>45323</v>
          </cell>
          <cell r="H149">
            <v>45324</v>
          </cell>
          <cell r="I149">
            <v>45324</v>
          </cell>
          <cell r="J149">
            <v>45324</v>
          </cell>
          <cell r="K149">
            <v>45324</v>
          </cell>
          <cell r="L149" t="str">
            <v>5.1.02.01.01.00
24</v>
          </cell>
          <cell r="M149" t="str">
            <v>06.05.</v>
          </cell>
          <cell r="N149" t="str">
            <v>06.05.08.</v>
          </cell>
          <cell r="O149" t="str">
            <v>Map Binder</v>
          </cell>
          <cell r="P149" t="str">
            <v>Map Binder</v>
          </cell>
          <cell r="Q149" t="str">
            <v>Alat Tulis Kantor (ATK)</v>
          </cell>
          <cell r="R149" t="str">
            <v>Map Binder (Length 5.0Cm, Width 5.0Cm, Height 5.0Cm, Weight 5Gr)</v>
          </cell>
          <cell r="S149">
            <v>12</v>
          </cell>
          <cell r="T149" t="str">
            <v>buah</v>
          </cell>
          <cell r="U149">
            <v>35500</v>
          </cell>
          <cell r="V149">
            <v>426000</v>
          </cell>
          <cell r="W149" t="str">
            <v>UD. JOSUA</v>
          </cell>
          <cell r="X149" t="str">
            <v>Gestiwan Zebua</v>
          </cell>
          <cell r="Y149" t="str">
            <v>082166506229</v>
          </cell>
          <cell r="Z149" t="str">
            <v>Jl. Pasir Putih Pasar Telukdalam, Telukdalam Kab. Nias Selatan</v>
          </cell>
          <cell r="AG149">
            <v>2</v>
          </cell>
        </row>
        <row r="150">
          <cell r="A150">
            <v>148</v>
          </cell>
          <cell r="B150" t="str">
            <v>40</v>
          </cell>
          <cell r="C150" t="str">
            <v>40</v>
          </cell>
          <cell r="D150" t="str">
            <v>BNU17</v>
          </cell>
          <cell r="E150">
            <v>149</v>
          </cell>
          <cell r="F150" t="str">
            <v>40</v>
          </cell>
          <cell r="G150">
            <v>45323</v>
          </cell>
          <cell r="H150">
            <v>45324</v>
          </cell>
          <cell r="I150">
            <v>45324</v>
          </cell>
          <cell r="J150">
            <v>45324</v>
          </cell>
          <cell r="K150">
            <v>45324</v>
          </cell>
          <cell r="L150" t="str">
            <v>5.1.02.01.01.00
24</v>
          </cell>
          <cell r="M150" t="str">
            <v>06.05.</v>
          </cell>
          <cell r="N150" t="str">
            <v>06.05.08.</v>
          </cell>
          <cell r="O150" t="str">
            <v>Stapler Stapler No, 50 MAX</v>
          </cell>
          <cell r="P150" t="str">
            <v>Stapler Stapler No, 50 MAX</v>
          </cell>
          <cell r="Q150" t="str">
            <v>Alat Tulis Kantor (ATK)</v>
          </cell>
          <cell r="R150" t="str">
            <v>Stapler 50 (Length 5.0Cm, Width 5.0Cm, Height 5.0Cm, Weight 5Gr)</v>
          </cell>
          <cell r="S150">
            <v>2</v>
          </cell>
          <cell r="T150" t="str">
            <v>buah</v>
          </cell>
          <cell r="U150">
            <v>25000</v>
          </cell>
          <cell r="V150">
            <v>50000</v>
          </cell>
          <cell r="W150" t="str">
            <v>UD. JOSUA</v>
          </cell>
          <cell r="X150" t="str">
            <v>Gestiwan Zebua</v>
          </cell>
          <cell r="Y150" t="str">
            <v>082166506229</v>
          </cell>
          <cell r="Z150" t="str">
            <v>Jl. Pasir Putih Pasar Telukdalam, Telukdalam Kab. Nias Selatan</v>
          </cell>
          <cell r="AG150">
            <v>2</v>
          </cell>
        </row>
        <row r="151">
          <cell r="A151">
            <v>149</v>
          </cell>
          <cell r="B151" t="str">
            <v>40</v>
          </cell>
          <cell r="C151" t="str">
            <v>40</v>
          </cell>
          <cell r="D151" t="str">
            <v>BNU17</v>
          </cell>
          <cell r="E151">
            <v>150</v>
          </cell>
          <cell r="F151" t="str">
            <v>40</v>
          </cell>
          <cell r="G151">
            <v>45323</v>
          </cell>
          <cell r="H151">
            <v>45324</v>
          </cell>
          <cell r="I151">
            <v>45324</v>
          </cell>
          <cell r="J151">
            <v>45324</v>
          </cell>
          <cell r="K151">
            <v>45324</v>
          </cell>
          <cell r="L151" t="str">
            <v>5.1.02.01.01.00
24</v>
          </cell>
          <cell r="M151" t="str">
            <v>06.05.</v>
          </cell>
          <cell r="N151" t="str">
            <v>06.05.08.</v>
          </cell>
          <cell r="O151" t="str">
            <v>Amplop Coklat Merk : GSU Ukuran : 1/2 folio, bergaris</v>
          </cell>
          <cell r="P151" t="str">
            <v>Amplop Coklat Merk : GSU Ukuran : 1/2 folio, bergaris</v>
          </cell>
          <cell r="Q151" t="str">
            <v>Alat Tulis Kantor (ATK)</v>
          </cell>
          <cell r="R151" t="str">
            <v>Amplop Coklat (Merk : GSU. Ukuran: 1/2 Folio. Isi: 100 Lbr)</v>
          </cell>
          <cell r="S151">
            <v>1</v>
          </cell>
          <cell r="T151" t="str">
            <v>bungkus</v>
          </cell>
          <cell r="U151">
            <v>45000</v>
          </cell>
          <cell r="V151">
            <v>45000</v>
          </cell>
          <cell r="W151" t="str">
            <v>UD. JOSUA</v>
          </cell>
          <cell r="X151" t="str">
            <v>Gestiwan Zebua</v>
          </cell>
          <cell r="Y151" t="str">
            <v>082166506229</v>
          </cell>
          <cell r="Z151" t="str">
            <v>Jl. Pasir Putih Pasar Telukdalam, Telukdalam Kab. Nias Selatan</v>
          </cell>
          <cell r="AG151">
            <v>2</v>
          </cell>
        </row>
        <row r="152">
          <cell r="A152">
            <v>150</v>
          </cell>
          <cell r="B152" t="str">
            <v>40</v>
          </cell>
          <cell r="C152" t="str">
            <v>40</v>
          </cell>
          <cell r="D152" t="str">
            <v>BNU17</v>
          </cell>
          <cell r="E152">
            <v>151</v>
          </cell>
          <cell r="F152" t="str">
            <v>40</v>
          </cell>
          <cell r="G152">
            <v>45323</v>
          </cell>
          <cell r="H152">
            <v>45324</v>
          </cell>
          <cell r="I152">
            <v>45324</v>
          </cell>
          <cell r="J152">
            <v>45324</v>
          </cell>
          <cell r="K152">
            <v>45324</v>
          </cell>
          <cell r="L152" t="str">
            <v>5.1.02.01.01.00
24</v>
          </cell>
          <cell r="M152" t="str">
            <v>06.05.</v>
          </cell>
          <cell r="N152" t="str">
            <v>06.05.08.</v>
          </cell>
          <cell r="O152" t="str">
            <v>Lakban Hitam--</v>
          </cell>
          <cell r="P152" t="str">
            <v>Lakban Hitam--</v>
          </cell>
          <cell r="Q152" t="str">
            <v>Alat Tulis Kantor (ATK)</v>
          </cell>
          <cell r="R152" t="str">
            <v>Lakban Hitam (Length 5.0Cm, Width 5.0Cm, Height 5.0Cm, Weight 5Gr)</v>
          </cell>
          <cell r="S152">
            <v>5</v>
          </cell>
          <cell r="T152" t="str">
            <v>buah</v>
          </cell>
          <cell r="U152">
            <v>15500</v>
          </cell>
          <cell r="V152">
            <v>77500</v>
          </cell>
          <cell r="W152" t="str">
            <v>UD. JOSUA</v>
          </cell>
          <cell r="X152" t="str">
            <v>Gestiwan Zebua</v>
          </cell>
          <cell r="Y152" t="str">
            <v>082166506229</v>
          </cell>
          <cell r="Z152" t="str">
            <v>Jl. Pasir Putih Pasar Telukdalam, Telukdalam Kab. Nias Selatan</v>
          </cell>
          <cell r="AG152">
            <v>2</v>
          </cell>
        </row>
        <row r="153">
          <cell r="A153">
            <v>151</v>
          </cell>
          <cell r="B153" t="str">
            <v>40</v>
          </cell>
          <cell r="C153" t="str">
            <v>40</v>
          </cell>
          <cell r="D153" t="str">
            <v>BNU17</v>
          </cell>
          <cell r="E153">
            <v>152</v>
          </cell>
          <cell r="F153" t="str">
            <v>40</v>
          </cell>
          <cell r="G153">
            <v>45323</v>
          </cell>
          <cell r="H153">
            <v>45324</v>
          </cell>
          <cell r="I153">
            <v>45324</v>
          </cell>
          <cell r="J153">
            <v>45324</v>
          </cell>
          <cell r="K153">
            <v>45324</v>
          </cell>
          <cell r="L153" t="str">
            <v>5.1.02.01.01.00
24</v>
          </cell>
          <cell r="M153" t="str">
            <v>06.05.</v>
          </cell>
          <cell r="N153" t="str">
            <v>06.05.08.</v>
          </cell>
          <cell r="O153" t="str">
            <v>Paper Clip No 1  Paper Clip No 3</v>
          </cell>
          <cell r="P153" t="str">
            <v>Paper Clip No 1  Paper Clip No 3</v>
          </cell>
          <cell r="Q153" t="str">
            <v>Alat Tulis Kantor (ATK)</v>
          </cell>
          <cell r="R153" t="str">
            <v>Paper Clip No 3 (Length 5.0Cm, Width 5.0Cm, Height 5.0Cm, Weight 5Gr)</v>
          </cell>
          <cell r="S153">
            <v>5</v>
          </cell>
          <cell r="T153" t="str">
            <v>kotak</v>
          </cell>
          <cell r="U153">
            <v>6000</v>
          </cell>
          <cell r="V153">
            <v>30000</v>
          </cell>
          <cell r="W153" t="str">
            <v>UD. JOSUA</v>
          </cell>
          <cell r="X153" t="str">
            <v>Gestiwan Zebua</v>
          </cell>
          <cell r="Y153" t="str">
            <v>082166506229</v>
          </cell>
          <cell r="Z153" t="str">
            <v>Jl. Pasir Putih Pasar Telukdalam, Telukdalam Kab. Nias Selatan</v>
          </cell>
          <cell r="AG153">
            <v>2</v>
          </cell>
        </row>
        <row r="154">
          <cell r="A154">
            <v>152</v>
          </cell>
          <cell r="B154" t="str">
            <v>40</v>
          </cell>
          <cell r="C154" t="str">
            <v>40</v>
          </cell>
          <cell r="D154" t="str">
            <v>BNU17</v>
          </cell>
          <cell r="E154">
            <v>153</v>
          </cell>
          <cell r="F154" t="str">
            <v>40</v>
          </cell>
          <cell r="G154">
            <v>45323</v>
          </cell>
          <cell r="H154">
            <v>45324</v>
          </cell>
          <cell r="I154">
            <v>45324</v>
          </cell>
          <cell r="J154">
            <v>45324</v>
          </cell>
          <cell r="K154">
            <v>45324</v>
          </cell>
          <cell r="L154" t="str">
            <v>5.1.02.01.01.00
24</v>
          </cell>
          <cell r="M154" t="str">
            <v>06.05.</v>
          </cell>
          <cell r="N154" t="str">
            <v>06.05.08.</v>
          </cell>
          <cell r="O154" t="str">
            <v>Lakban Hitam uk 2 " Warna hitam uk. 2 "</v>
          </cell>
          <cell r="P154" t="str">
            <v>Lakban Hitam uk 2 " Warna hitam uk. 2 "</v>
          </cell>
          <cell r="Q154" t="str">
            <v>Alat Tulis Kantor (ATK)</v>
          </cell>
          <cell r="R154" t="str">
            <v>Lakban Warna Uk 2" Warna Coklat Cofiie (Ukuran 90Yard Lebar : 48Mm)</v>
          </cell>
          <cell r="S154">
            <v>5</v>
          </cell>
          <cell r="T154" t="str">
            <v>buah</v>
          </cell>
          <cell r="U154">
            <v>25000</v>
          </cell>
          <cell r="V154">
            <v>125000</v>
          </cell>
          <cell r="W154" t="str">
            <v>UD. JOSUA</v>
          </cell>
          <cell r="X154" t="str">
            <v>Gestiwan Zebua</v>
          </cell>
          <cell r="Y154" t="str">
            <v>082166506229</v>
          </cell>
          <cell r="Z154" t="str">
            <v>Jl. Pasir Putih Pasar Telukdalam, Telukdalam Kab. Nias Selatan</v>
          </cell>
          <cell r="AG154">
            <v>2</v>
          </cell>
        </row>
        <row r="155">
          <cell r="A155">
            <v>153</v>
          </cell>
          <cell r="B155" t="str">
            <v>40</v>
          </cell>
          <cell r="C155" t="str">
            <v>40</v>
          </cell>
          <cell r="D155" t="str">
            <v>BNU17</v>
          </cell>
          <cell r="E155">
            <v>154</v>
          </cell>
          <cell r="F155" t="str">
            <v>40</v>
          </cell>
          <cell r="G155">
            <v>45323</v>
          </cell>
          <cell r="H155">
            <v>45324</v>
          </cell>
          <cell r="I155">
            <v>45324</v>
          </cell>
          <cell r="J155">
            <v>45324</v>
          </cell>
          <cell r="K155">
            <v>45324</v>
          </cell>
          <cell r="L155" t="str">
            <v>5.1.02.01.01.00
24</v>
          </cell>
          <cell r="M155" t="str">
            <v>06.05.</v>
          </cell>
          <cell r="N155" t="str">
            <v>06.05.08.</v>
          </cell>
          <cell r="O155" t="str">
            <v>Kertas StensiI</v>
          </cell>
          <cell r="P155" t="str">
            <v>Kertas StensiI</v>
          </cell>
          <cell r="Q155" t="str">
            <v>Alat Tulis Kantor (ATK)</v>
          </cell>
          <cell r="R155" t="str">
            <v>Kertas Stencil Folio (Length 33.0Cm, Width 21.0Cm, Height 5.0Cm, Weight 1400Gr)</v>
          </cell>
          <cell r="S155">
            <v>10</v>
          </cell>
          <cell r="T155" t="str">
            <v>bungkus</v>
          </cell>
          <cell r="U155">
            <v>50000</v>
          </cell>
          <cell r="V155">
            <v>500000</v>
          </cell>
          <cell r="W155" t="str">
            <v>UD. JOSUA</v>
          </cell>
          <cell r="X155" t="str">
            <v>Gestiwan Zebua</v>
          </cell>
          <cell r="Y155" t="str">
            <v>082166506229</v>
          </cell>
          <cell r="Z155" t="str">
            <v>Jl. Pasir Putih Pasar Telukdalam, Telukdalam Kab. Nias Selatan</v>
          </cell>
          <cell r="AG155">
            <v>2</v>
          </cell>
        </row>
        <row r="156">
          <cell r="A156">
            <v>154</v>
          </cell>
          <cell r="B156" t="str">
            <v>40</v>
          </cell>
          <cell r="C156" t="str">
            <v>40</v>
          </cell>
          <cell r="D156" t="str">
            <v>BNU17</v>
          </cell>
          <cell r="E156">
            <v>155</v>
          </cell>
          <cell r="F156" t="str">
            <v>40</v>
          </cell>
          <cell r="G156">
            <v>45323</v>
          </cell>
          <cell r="H156">
            <v>45324</v>
          </cell>
          <cell r="I156">
            <v>45324</v>
          </cell>
          <cell r="J156">
            <v>45324</v>
          </cell>
          <cell r="K156">
            <v>45324</v>
          </cell>
          <cell r="L156" t="str">
            <v>5.1.02.01.01.00
24</v>
          </cell>
          <cell r="M156" t="str">
            <v>06.05.</v>
          </cell>
          <cell r="N156" t="str">
            <v>06.05.08.</v>
          </cell>
          <cell r="O156" t="str">
            <v>Spidol White board</v>
          </cell>
          <cell r="P156" t="str">
            <v>Spidol White board</v>
          </cell>
          <cell r="Q156" t="str">
            <v>Alat Tulis Kantor (ATK)</v>
          </cell>
          <cell r="R156" t="str">
            <v>Spidol White Board (Berat Produk 0.5 Kg, Panjang Produk 10 Cm, Lebar Produk 3 Cm, Tinggi Produk 10 Cm)</v>
          </cell>
          <cell r="S156">
            <v>2</v>
          </cell>
          <cell r="T156" t="str">
            <v>lusin</v>
          </cell>
          <cell r="U156">
            <v>120000</v>
          </cell>
          <cell r="V156">
            <v>240000</v>
          </cell>
          <cell r="W156" t="str">
            <v>UD. JOSUA</v>
          </cell>
          <cell r="X156" t="str">
            <v>Gestiwan Zebua</v>
          </cell>
          <cell r="Y156" t="str">
            <v>082166506229</v>
          </cell>
          <cell r="Z156" t="str">
            <v>Jl. Pasir Putih Pasar Telukdalam, Telukdalam Kab. Nias Selatan</v>
          </cell>
          <cell r="AG156">
            <v>2</v>
          </cell>
        </row>
        <row r="157">
          <cell r="A157">
            <v>155</v>
          </cell>
          <cell r="B157" t="str">
            <v>40</v>
          </cell>
          <cell r="C157" t="str">
            <v>40</v>
          </cell>
          <cell r="D157" t="str">
            <v>BNU17</v>
          </cell>
          <cell r="E157">
            <v>156</v>
          </cell>
          <cell r="F157" t="str">
            <v>40</v>
          </cell>
          <cell r="G157">
            <v>45323</v>
          </cell>
          <cell r="H157">
            <v>45324</v>
          </cell>
          <cell r="I157">
            <v>45324</v>
          </cell>
          <cell r="J157">
            <v>45324</v>
          </cell>
          <cell r="K157">
            <v>45324</v>
          </cell>
          <cell r="L157" t="str">
            <v>5.1.02.01.01.00
24</v>
          </cell>
          <cell r="M157" t="str">
            <v>06.05.</v>
          </cell>
          <cell r="N157" t="str">
            <v>06.05.08.</v>
          </cell>
          <cell r="O157" t="str">
            <v>Pisau Cutter Kenko L-500</v>
          </cell>
          <cell r="P157" t="str">
            <v>Pisau Cutter Kenko L-500</v>
          </cell>
          <cell r="Q157" t="str">
            <v>Alat Tulis Kantor (ATK)</v>
          </cell>
          <cell r="R157" t="str">
            <v>Pisau Cutter L-500 (Merk: Kenko. Dimension: 15.50cm x 2.70cm x 1.00cm. Weight: 71.00g)</v>
          </cell>
          <cell r="S157">
            <v>2</v>
          </cell>
          <cell r="T157" t="str">
            <v>buah</v>
          </cell>
          <cell r="U157">
            <v>15000</v>
          </cell>
          <cell r="V157">
            <v>30000</v>
          </cell>
          <cell r="W157" t="str">
            <v>UD. JOSUA</v>
          </cell>
          <cell r="X157" t="str">
            <v>Gestiwan Zebua</v>
          </cell>
          <cell r="Y157" t="str">
            <v>082166506229</v>
          </cell>
          <cell r="Z157" t="str">
            <v>Jl. Pasir Putih Pasar Telukdalam, Telukdalam Kab. Nias Selatan</v>
          </cell>
          <cell r="AG157">
            <v>2</v>
          </cell>
        </row>
        <row r="158">
          <cell r="A158">
            <v>156</v>
          </cell>
          <cell r="B158" t="str">
            <v>40</v>
          </cell>
          <cell r="C158" t="str">
            <v>40</v>
          </cell>
          <cell r="D158" t="str">
            <v>BNU17</v>
          </cell>
          <cell r="E158">
            <v>157</v>
          </cell>
          <cell r="F158" t="str">
            <v>40</v>
          </cell>
          <cell r="G158">
            <v>45323</v>
          </cell>
          <cell r="H158">
            <v>45324</v>
          </cell>
          <cell r="I158">
            <v>45324</v>
          </cell>
          <cell r="J158">
            <v>45324</v>
          </cell>
          <cell r="K158">
            <v>45324</v>
          </cell>
          <cell r="L158" t="str">
            <v>5.1.02.01.01.00
24</v>
          </cell>
          <cell r="M158" t="str">
            <v>06.05.</v>
          </cell>
          <cell r="N158" t="str">
            <v>06.05.08.</v>
          </cell>
          <cell r="O158" t="str">
            <v>Binder Klip  nomor 260</v>
          </cell>
          <cell r="P158" t="str">
            <v>Binder Klip  nomor 260</v>
          </cell>
          <cell r="Q158" t="str">
            <v>Alat Tulis Kantor (ATK)</v>
          </cell>
          <cell r="R158" t="str">
            <v>Binder Klip  nomor 260 (Merk: Kenko. size : 9,5cm x 5cm x 15cm Weight : 268 gram)</v>
          </cell>
          <cell r="S158">
            <v>10</v>
          </cell>
          <cell r="T158" t="str">
            <v>kotak</v>
          </cell>
          <cell r="U158">
            <v>20000</v>
          </cell>
          <cell r="V158">
            <v>200000</v>
          </cell>
          <cell r="W158" t="str">
            <v>UD. JOSUA</v>
          </cell>
          <cell r="X158" t="str">
            <v>Gestiwan Zebua</v>
          </cell>
          <cell r="Y158" t="str">
            <v>082166506229</v>
          </cell>
          <cell r="Z158" t="str">
            <v>Jl. Pasir Putih Pasar Telukdalam, Telukdalam Kab. Nias Selatan</v>
          </cell>
          <cell r="AG158">
            <v>2</v>
          </cell>
        </row>
        <row r="159">
          <cell r="A159">
            <v>157</v>
          </cell>
          <cell r="B159" t="str">
            <v>40</v>
          </cell>
          <cell r="C159" t="str">
            <v>40</v>
          </cell>
          <cell r="D159" t="str">
            <v>BNU17</v>
          </cell>
          <cell r="E159">
            <v>158</v>
          </cell>
          <cell r="F159" t="str">
            <v>40</v>
          </cell>
          <cell r="G159">
            <v>45323</v>
          </cell>
          <cell r="H159">
            <v>45324</v>
          </cell>
          <cell r="I159">
            <v>45324</v>
          </cell>
          <cell r="J159">
            <v>45324</v>
          </cell>
          <cell r="K159">
            <v>45324</v>
          </cell>
          <cell r="L159" t="str">
            <v>5.1.02.01.01.00
24</v>
          </cell>
          <cell r="M159" t="str">
            <v>06.05.</v>
          </cell>
          <cell r="N159" t="str">
            <v>06.05.08.</v>
          </cell>
          <cell r="O159" t="str">
            <v>C. Tinta Printer EPSON Tinta Printer Epson Yellow</v>
          </cell>
          <cell r="P159" t="str">
            <v>C. Tinta Printer EPSON Tinta Printer Epson Yellow</v>
          </cell>
          <cell r="Q159" t="str">
            <v>Alat Tulis Kantor (ATK)</v>
          </cell>
          <cell r="R159" t="str">
            <v>Tinta Printer Epson 664 Kuning (Length 5.0Cm, Width 5.0Cm, Height 5.0Cm, Weight 5Gr)</v>
          </cell>
          <cell r="S159">
            <v>4</v>
          </cell>
          <cell r="T159" t="str">
            <v>botol</v>
          </cell>
          <cell r="U159">
            <v>110000</v>
          </cell>
          <cell r="V159">
            <v>440000</v>
          </cell>
          <cell r="W159" t="str">
            <v>UD. JOSUA</v>
          </cell>
          <cell r="X159" t="str">
            <v>Gestiwan Zebua</v>
          </cell>
          <cell r="Y159" t="str">
            <v>082166506229</v>
          </cell>
          <cell r="Z159" t="str">
            <v>Jl. Pasir Putih Pasar Telukdalam, Telukdalam Kab. Nias Selatan</v>
          </cell>
          <cell r="AG159">
            <v>2</v>
          </cell>
        </row>
        <row r="160">
          <cell r="A160">
            <v>158</v>
          </cell>
          <cell r="B160" t="str">
            <v>40</v>
          </cell>
          <cell r="C160" t="str">
            <v>40</v>
          </cell>
          <cell r="D160" t="str">
            <v>BNU17</v>
          </cell>
          <cell r="E160">
            <v>159</v>
          </cell>
          <cell r="F160" t="str">
            <v>40</v>
          </cell>
          <cell r="G160">
            <v>45323</v>
          </cell>
          <cell r="H160">
            <v>45324</v>
          </cell>
          <cell r="I160">
            <v>45324</v>
          </cell>
          <cell r="J160">
            <v>45324</v>
          </cell>
          <cell r="K160">
            <v>45324</v>
          </cell>
          <cell r="L160" t="str">
            <v>5.1.02.01.01.00
24</v>
          </cell>
          <cell r="M160" t="str">
            <v>06.05.</v>
          </cell>
          <cell r="N160" t="str">
            <v>06.05.08.</v>
          </cell>
          <cell r="O160" t="str">
            <v>PAPER CLIP  Paper Clip No 1</v>
          </cell>
          <cell r="P160" t="str">
            <v>PAPER CLIP  Paper Clip No 1</v>
          </cell>
          <cell r="Q160" t="str">
            <v>Alat Tulis Kantor (ATK)</v>
          </cell>
          <cell r="R160" t="str">
            <v>Paper Clip No 1 (Length 5.0Cm, Width 5.0Cm, Height 5.0Cm, Weight 5Gr)</v>
          </cell>
          <cell r="S160">
            <v>5</v>
          </cell>
          <cell r="T160" t="str">
            <v>kotak</v>
          </cell>
          <cell r="U160">
            <v>5000</v>
          </cell>
          <cell r="V160">
            <v>25000</v>
          </cell>
          <cell r="W160" t="str">
            <v>UD. JOSUA</v>
          </cell>
          <cell r="X160" t="str">
            <v>Gestiwan Zebua</v>
          </cell>
          <cell r="Y160" t="str">
            <v>082166506229</v>
          </cell>
          <cell r="Z160" t="str">
            <v>Jl. Pasir Putih Pasar Telukdalam, Telukdalam Kab. Nias Selatan</v>
          </cell>
          <cell r="AG160">
            <v>2</v>
          </cell>
        </row>
        <row r="161">
          <cell r="A161">
            <v>159</v>
          </cell>
          <cell r="B161" t="str">
            <v>40</v>
          </cell>
          <cell r="C161" t="str">
            <v>40</v>
          </cell>
          <cell r="D161" t="str">
            <v>BNU17</v>
          </cell>
          <cell r="E161">
            <v>160</v>
          </cell>
          <cell r="F161" t="str">
            <v>40</v>
          </cell>
          <cell r="G161">
            <v>45323</v>
          </cell>
          <cell r="H161">
            <v>45324</v>
          </cell>
          <cell r="I161">
            <v>45324</v>
          </cell>
          <cell r="J161">
            <v>45324</v>
          </cell>
          <cell r="K161">
            <v>45324</v>
          </cell>
          <cell r="L161" t="str">
            <v>5.1.02.01.01.00
24</v>
          </cell>
          <cell r="M161" t="str">
            <v>06.05.</v>
          </cell>
          <cell r="N161" t="str">
            <v>06.05.08.</v>
          </cell>
          <cell r="O161" t="str">
            <v>Kertas HVS 80 gram Merk : Paper One A4, Ukuran : 8,27" x 11,69", Isi : 500 lembar</v>
          </cell>
          <cell r="P161" t="str">
            <v>Kertas HVS 80 gram Merk : Paper One A4, Ukuran : 8,27" x 11,69", Isi : 500 lembar</v>
          </cell>
          <cell r="Q161" t="str">
            <v>Alat Tulis Kantor (ATK)</v>
          </cell>
          <cell r="R161" t="str">
            <v>Kertas Hvs A4 80Gsm Paper One (Length 30.0Cm, Width 21.0Cm, Height 7.0Cm, Weight 2394Gr)</v>
          </cell>
          <cell r="S161">
            <v>40</v>
          </cell>
          <cell r="T161" t="str">
            <v>rim</v>
          </cell>
          <cell r="U161">
            <v>50000</v>
          </cell>
          <cell r="V161">
            <v>2000000</v>
          </cell>
          <cell r="W161" t="str">
            <v>UD. JOSUA</v>
          </cell>
          <cell r="X161" t="str">
            <v>Gestiwan Zebua</v>
          </cell>
          <cell r="Y161" t="str">
            <v>082166506229</v>
          </cell>
          <cell r="Z161" t="str">
            <v>Jl. Pasir Putih Pasar Telukdalam, Telukdalam Kab. Nias Selatan</v>
          </cell>
          <cell r="AG161">
            <v>2</v>
          </cell>
        </row>
        <row r="162">
          <cell r="A162">
            <v>160</v>
          </cell>
          <cell r="B162" t="str">
            <v>40</v>
          </cell>
          <cell r="C162" t="str">
            <v>40</v>
          </cell>
          <cell r="D162" t="str">
            <v>BNU17</v>
          </cell>
          <cell r="E162">
            <v>161</v>
          </cell>
          <cell r="F162" t="str">
            <v>40</v>
          </cell>
          <cell r="G162">
            <v>45323</v>
          </cell>
          <cell r="H162">
            <v>45324</v>
          </cell>
          <cell r="I162">
            <v>45324</v>
          </cell>
          <cell r="J162">
            <v>45324</v>
          </cell>
          <cell r="K162">
            <v>45324</v>
          </cell>
          <cell r="L162" t="str">
            <v>5.1.02.01.01.00
24</v>
          </cell>
          <cell r="M162" t="str">
            <v>06.05.</v>
          </cell>
          <cell r="N162" t="str">
            <v>06.05.08.</v>
          </cell>
          <cell r="O162" t="str">
            <v>Stofmap Transparan</v>
          </cell>
          <cell r="P162" t="str">
            <v>Stofmap Transparan</v>
          </cell>
          <cell r="Q162" t="str">
            <v>Alat Tulis Kantor (ATK)</v>
          </cell>
          <cell r="R162" t="str">
            <v>Stofmap Transparan (Length 5.0Cm, Width 5.0Cm, Height 5.0Cm, Weight 5Gr)</v>
          </cell>
          <cell r="S162">
            <v>100</v>
          </cell>
          <cell r="T162" t="str">
            <v>buah</v>
          </cell>
          <cell r="U162">
            <v>5500</v>
          </cell>
          <cell r="V162">
            <v>550000</v>
          </cell>
          <cell r="W162" t="str">
            <v>UD. JOSUA</v>
          </cell>
          <cell r="X162" t="str">
            <v>Gestiwan Zebua</v>
          </cell>
          <cell r="Y162" t="str">
            <v>082166506229</v>
          </cell>
          <cell r="Z162" t="str">
            <v>Jl. Pasir Putih Pasar Telukdalam, Telukdalam Kab. Nias Selatan</v>
          </cell>
          <cell r="AG162">
            <v>2</v>
          </cell>
        </row>
        <row r="163">
          <cell r="A163">
            <v>161</v>
          </cell>
          <cell r="B163" t="str">
            <v>40</v>
          </cell>
          <cell r="C163" t="str">
            <v>40</v>
          </cell>
          <cell r="D163" t="str">
            <v>BNU17</v>
          </cell>
          <cell r="E163">
            <v>162</v>
          </cell>
          <cell r="F163" t="str">
            <v>40</v>
          </cell>
          <cell r="G163">
            <v>45323</v>
          </cell>
          <cell r="H163">
            <v>45324</v>
          </cell>
          <cell r="I163">
            <v>45324</v>
          </cell>
          <cell r="J163">
            <v>45324</v>
          </cell>
          <cell r="K163">
            <v>45324</v>
          </cell>
          <cell r="L163" t="str">
            <v>5.1.02.01.01.00
24</v>
          </cell>
          <cell r="M163" t="str">
            <v>06.05.</v>
          </cell>
          <cell r="N163" t="str">
            <v>06.05.08.</v>
          </cell>
          <cell r="O163" t="str">
            <v>Amplop Panjang Putih Polos Merk : Jaya Ukuran : 11 x 23 cm</v>
          </cell>
          <cell r="P163" t="str">
            <v>Amplop Panjang Putih Polos Merk : Jaya Ukuran : 11 x 23 cm</v>
          </cell>
          <cell r="Q163" t="str">
            <v>Alat Tulis Kantor (ATK)</v>
          </cell>
          <cell r="R163" t="str">
            <v>Amplop Putih Panjang (Length 5.0Cm, Width 5.0Cm, Height 5.0Cm, Weight 5Gr)</v>
          </cell>
          <cell r="S163">
            <v>1</v>
          </cell>
          <cell r="T163" t="str">
            <v>kotak</v>
          </cell>
          <cell r="U163">
            <v>48000</v>
          </cell>
          <cell r="V163">
            <v>48000</v>
          </cell>
          <cell r="W163" t="str">
            <v>UD. JOSUA</v>
          </cell>
          <cell r="X163" t="str">
            <v>Gestiwan Zebua</v>
          </cell>
          <cell r="Y163" t="str">
            <v>082166506229</v>
          </cell>
          <cell r="Z163" t="str">
            <v>Jl. Pasir Putih Pasar Telukdalam, Telukdalam Kab. Nias Selatan</v>
          </cell>
          <cell r="AG163">
            <v>2</v>
          </cell>
        </row>
        <row r="164">
          <cell r="A164">
            <v>162</v>
          </cell>
          <cell r="B164" t="str">
            <v>40</v>
          </cell>
          <cell r="C164" t="str">
            <v>40</v>
          </cell>
          <cell r="D164" t="str">
            <v>BNU17</v>
          </cell>
          <cell r="E164">
            <v>163</v>
          </cell>
          <cell r="F164" t="str">
            <v>40</v>
          </cell>
          <cell r="G164">
            <v>45323</v>
          </cell>
          <cell r="H164">
            <v>45324</v>
          </cell>
          <cell r="I164">
            <v>45324</v>
          </cell>
          <cell r="J164">
            <v>45324</v>
          </cell>
          <cell r="K164">
            <v>45324</v>
          </cell>
          <cell r="L164" t="str">
            <v>5.1.02.01.01.00
24</v>
          </cell>
          <cell r="M164" t="str">
            <v>06.05.</v>
          </cell>
          <cell r="N164" t="str">
            <v>06.05.08.</v>
          </cell>
          <cell r="O164" t="str">
            <v>Kertas Post-It Warna Warni  Sign Here</v>
          </cell>
          <cell r="P164" t="str">
            <v>Kertas Post-It Warna Warni  Sign Here</v>
          </cell>
          <cell r="Q164" t="str">
            <v>Alat Tulis Kantor (ATK)</v>
          </cell>
          <cell r="R164" t="str">
            <v>Kertas Post-it/Sticky Note (ukuran: 2 x 4.8 cm)</v>
          </cell>
          <cell r="S164">
            <v>5</v>
          </cell>
          <cell r="T164" t="str">
            <v>buah</v>
          </cell>
          <cell r="U164">
            <v>22800</v>
          </cell>
          <cell r="V164">
            <v>114000</v>
          </cell>
          <cell r="W164" t="str">
            <v>UD. JOSUA</v>
          </cell>
          <cell r="X164" t="str">
            <v>Gestiwan Zebua</v>
          </cell>
          <cell r="Y164" t="str">
            <v>082166506229</v>
          </cell>
          <cell r="Z164" t="str">
            <v>Jl. Pasir Putih Pasar Telukdalam, Telukdalam Kab. Nias Selatan</v>
          </cell>
          <cell r="AG164">
            <v>2</v>
          </cell>
        </row>
        <row r="165">
          <cell r="A165">
            <v>163</v>
          </cell>
          <cell r="B165" t="str">
            <v>40</v>
          </cell>
          <cell r="C165" t="str">
            <v>40</v>
          </cell>
          <cell r="D165" t="str">
            <v>BNU17</v>
          </cell>
          <cell r="E165">
            <v>164</v>
          </cell>
          <cell r="F165" t="str">
            <v>40</v>
          </cell>
          <cell r="G165">
            <v>45323</v>
          </cell>
          <cell r="H165">
            <v>45324</v>
          </cell>
          <cell r="I165">
            <v>45324</v>
          </cell>
          <cell r="J165">
            <v>45324</v>
          </cell>
          <cell r="K165">
            <v>45324</v>
          </cell>
          <cell r="L165" t="str">
            <v>5.1.02.01.01.00
24</v>
          </cell>
          <cell r="M165" t="str">
            <v>06.05.</v>
          </cell>
          <cell r="N165" t="str">
            <v>06.05.08.</v>
          </cell>
          <cell r="O165" t="str">
            <v>Lakban Bening</v>
          </cell>
          <cell r="P165" t="str">
            <v>Lakban Bening Kecil</v>
          </cell>
          <cell r="Q165" t="str">
            <v>Alat Tulis Kantor (ATK)</v>
          </cell>
          <cell r="R165" t="str">
            <v>Lakban Bening Kecil (Length 5.0Cm, Width 5.0Cm, Height 5.0Cm, Weight 5Gr)</v>
          </cell>
          <cell r="S165">
            <v>5</v>
          </cell>
          <cell r="T165" t="str">
            <v>buah</v>
          </cell>
          <cell r="U165">
            <v>10000</v>
          </cell>
          <cell r="V165">
            <v>50000</v>
          </cell>
          <cell r="W165" t="str">
            <v>UD. JOSUA</v>
          </cell>
          <cell r="X165" t="str">
            <v>Gestiwan Zebua</v>
          </cell>
          <cell r="Y165" t="str">
            <v>082166506229</v>
          </cell>
          <cell r="Z165" t="str">
            <v>Jl. Pasir Putih Pasar Telukdalam, Telukdalam Kab. Nias Selatan</v>
          </cell>
          <cell r="AG165">
            <v>2</v>
          </cell>
        </row>
        <row r="166">
          <cell r="A166">
            <v>164</v>
          </cell>
          <cell r="B166" t="str">
            <v>40</v>
          </cell>
          <cell r="C166" t="str">
            <v>40</v>
          </cell>
          <cell r="D166" t="str">
            <v>BNU17</v>
          </cell>
          <cell r="E166">
            <v>165</v>
          </cell>
          <cell r="F166" t="str">
            <v>40</v>
          </cell>
          <cell r="G166">
            <v>45323</v>
          </cell>
          <cell r="H166">
            <v>45324</v>
          </cell>
          <cell r="I166">
            <v>45324</v>
          </cell>
          <cell r="J166">
            <v>45324</v>
          </cell>
          <cell r="K166">
            <v>45324</v>
          </cell>
          <cell r="L166" t="str">
            <v>5.1.02.01.01.00
24</v>
          </cell>
          <cell r="M166" t="str">
            <v>06.05.</v>
          </cell>
          <cell r="N166" t="str">
            <v>06.05.08.</v>
          </cell>
          <cell r="O166" t="str">
            <v>Binder Klip  nomor 200</v>
          </cell>
          <cell r="P166" t="str">
            <v>Binder Klip  nomor 200</v>
          </cell>
          <cell r="Q166" t="str">
            <v>Alat Tulis Kantor (ATK)</v>
          </cell>
          <cell r="R166" t="str">
            <v>Binder Clip Nomor 200 (Length 5.0Cm, Width 5.0Cm, Height 5.0Cm, Weight 5Gr)</v>
          </cell>
          <cell r="S166">
            <v>10</v>
          </cell>
          <cell r="T166" t="str">
            <v>kotak</v>
          </cell>
          <cell r="U166">
            <v>16500</v>
          </cell>
          <cell r="V166">
            <v>165000</v>
          </cell>
          <cell r="W166" t="str">
            <v>UD. JOSUA</v>
          </cell>
          <cell r="X166" t="str">
            <v>Gestiwan Zebua</v>
          </cell>
          <cell r="Y166" t="str">
            <v>082166506229</v>
          </cell>
          <cell r="Z166" t="str">
            <v>Jl. Pasir Putih Pasar Telukdalam, Telukdalam Kab. Nias Selatan</v>
          </cell>
          <cell r="AG166">
            <v>2</v>
          </cell>
        </row>
        <row r="167">
          <cell r="A167">
            <v>165</v>
          </cell>
          <cell r="B167" t="str">
            <v>40</v>
          </cell>
          <cell r="C167" t="str">
            <v>40</v>
          </cell>
          <cell r="D167" t="str">
            <v>BNU17</v>
          </cell>
          <cell r="E167">
            <v>166</v>
          </cell>
          <cell r="F167" t="str">
            <v>40</v>
          </cell>
          <cell r="G167">
            <v>45323</v>
          </cell>
          <cell r="H167">
            <v>45324</v>
          </cell>
          <cell r="I167">
            <v>45324</v>
          </cell>
          <cell r="J167">
            <v>45324</v>
          </cell>
          <cell r="K167">
            <v>45324</v>
          </cell>
          <cell r="L167" t="str">
            <v>5.1.02.01.01.00
24</v>
          </cell>
          <cell r="M167" t="str">
            <v>06.05.</v>
          </cell>
          <cell r="N167" t="str">
            <v>06.05.08.</v>
          </cell>
          <cell r="O167" t="str">
            <v>C. Tinta Printer EPSON Toner Epson 664 Black</v>
          </cell>
          <cell r="P167" t="str">
            <v>C. Tinta Printer EPSON Toner Epson 664 Black</v>
          </cell>
          <cell r="Q167" t="str">
            <v>Alat Tulis Kantor (ATK)</v>
          </cell>
          <cell r="R167" t="str">
            <v>Tinta Printer Epson 664 Hitam (Length 5.0Cm, Width 5.0Cm, Height 5.0Cm, Weight 5Gr)</v>
          </cell>
          <cell r="S167">
            <v>6</v>
          </cell>
          <cell r="T167" t="str">
            <v>botol</v>
          </cell>
          <cell r="U167">
            <v>85000</v>
          </cell>
          <cell r="V167">
            <v>510000</v>
          </cell>
          <cell r="W167" t="str">
            <v>UD. JOSUA</v>
          </cell>
          <cell r="X167" t="str">
            <v>Gestiwan Zebua</v>
          </cell>
          <cell r="Y167" t="str">
            <v>082166506229</v>
          </cell>
          <cell r="Z167" t="str">
            <v>Jl. Pasir Putih Pasar Telukdalam, Telukdalam Kab. Nias Selatan</v>
          </cell>
          <cell r="AG167">
            <v>2</v>
          </cell>
        </row>
        <row r="168">
          <cell r="A168">
            <v>166</v>
          </cell>
          <cell r="B168" t="str">
            <v>40</v>
          </cell>
          <cell r="C168" t="str">
            <v>40</v>
          </cell>
          <cell r="D168" t="str">
            <v>BNU17</v>
          </cell>
          <cell r="E168">
            <v>167</v>
          </cell>
          <cell r="F168" t="str">
            <v>40</v>
          </cell>
          <cell r="G168">
            <v>45323</v>
          </cell>
          <cell r="H168">
            <v>45324</v>
          </cell>
          <cell r="I168">
            <v>45324</v>
          </cell>
          <cell r="J168">
            <v>45324</v>
          </cell>
          <cell r="K168">
            <v>45324</v>
          </cell>
          <cell r="L168" t="str">
            <v>5.1.02.01.01.00
24</v>
          </cell>
          <cell r="M168" t="str">
            <v>06.05.</v>
          </cell>
          <cell r="N168" t="str">
            <v>06.05.08.</v>
          </cell>
          <cell r="O168" t="str">
            <v>Kertas Warna Blank Folio, Ukuran : 8,5 x 14",  70 gram</v>
          </cell>
          <cell r="P168" t="str">
            <v>Kertas Warna Blank Folio, Ukuran : 8,5 x 14",  70 gram</v>
          </cell>
          <cell r="Q168" t="str">
            <v>Alat Tulis Kantor (ATK)</v>
          </cell>
          <cell r="R168" t="str">
            <v>Kertas Hvs Warna 70 Gsm (Length 21.0Cm, Width 33.0Cm, Height 7.0Cm, Weight 2400Gr)</v>
          </cell>
          <cell r="S168">
            <v>2</v>
          </cell>
          <cell r="T168" t="str">
            <v>rim</v>
          </cell>
          <cell r="U168">
            <v>90000</v>
          </cell>
          <cell r="V168">
            <v>180000</v>
          </cell>
          <cell r="W168" t="str">
            <v>UD. JOSUA</v>
          </cell>
          <cell r="X168" t="str">
            <v>Gestiwan Zebua</v>
          </cell>
          <cell r="Y168" t="str">
            <v>082166506229</v>
          </cell>
          <cell r="Z168" t="str">
            <v>Jl. Pasir Putih Pasar Telukdalam, Telukdalam Kab. Nias Selatan</v>
          </cell>
          <cell r="AG168">
            <v>2</v>
          </cell>
        </row>
        <row r="169">
          <cell r="A169">
            <v>167</v>
          </cell>
          <cell r="B169" t="str">
            <v>40</v>
          </cell>
          <cell r="C169" t="str">
            <v>40</v>
          </cell>
          <cell r="D169" t="str">
            <v>BNU17</v>
          </cell>
          <cell r="E169">
            <v>168</v>
          </cell>
          <cell r="F169" t="str">
            <v>40</v>
          </cell>
          <cell r="G169">
            <v>45323</v>
          </cell>
          <cell r="H169">
            <v>45324</v>
          </cell>
          <cell r="I169">
            <v>45324</v>
          </cell>
          <cell r="J169">
            <v>45324</v>
          </cell>
          <cell r="K169">
            <v>45324</v>
          </cell>
          <cell r="L169" t="str">
            <v>5.1.02.01.01.00
24</v>
          </cell>
          <cell r="M169" t="str">
            <v>06.05.</v>
          </cell>
          <cell r="N169" t="str">
            <v>06.05.08.</v>
          </cell>
          <cell r="O169" t="str">
            <v>Sampul Plastik</v>
          </cell>
          <cell r="P169" t="str">
            <v>Sampul Plastik</v>
          </cell>
          <cell r="Q169" t="str">
            <v>Alat Tulis Kantor (ATK)</v>
          </cell>
          <cell r="R169" t="str">
            <v>Sampul Plastik (Length 5.0Cm, Width 5.0Cm, Height 5.0Cm, Weight 5Gr)</v>
          </cell>
          <cell r="S169">
            <v>5</v>
          </cell>
          <cell r="T169" t="str">
            <v>bungkus</v>
          </cell>
          <cell r="U169">
            <v>65000</v>
          </cell>
          <cell r="V169">
            <v>325000</v>
          </cell>
          <cell r="W169" t="str">
            <v>UD. JOSUA</v>
          </cell>
          <cell r="X169" t="str">
            <v>Gestiwan Zebua</v>
          </cell>
          <cell r="Y169" t="str">
            <v>082166506229</v>
          </cell>
          <cell r="Z169" t="str">
            <v>Jl. Pasir Putih Pasar Telukdalam, Telukdalam Kab. Nias Selatan</v>
          </cell>
          <cell r="AG169">
            <v>2</v>
          </cell>
        </row>
        <row r="170">
          <cell r="A170">
            <v>168</v>
          </cell>
          <cell r="B170" t="str">
            <v>40</v>
          </cell>
          <cell r="C170" t="str">
            <v>40</v>
          </cell>
          <cell r="D170" t="str">
            <v>BNU17</v>
          </cell>
          <cell r="E170">
            <v>169</v>
          </cell>
          <cell r="F170" t="str">
            <v>40</v>
          </cell>
          <cell r="G170">
            <v>45323</v>
          </cell>
          <cell r="H170">
            <v>45324</v>
          </cell>
          <cell r="I170">
            <v>45324</v>
          </cell>
          <cell r="J170">
            <v>45324</v>
          </cell>
          <cell r="K170">
            <v>45324</v>
          </cell>
          <cell r="L170" t="str">
            <v>5.1.02.01.01.00
24</v>
          </cell>
          <cell r="M170" t="str">
            <v>06.05.</v>
          </cell>
          <cell r="N170" t="str">
            <v>06.05.08.</v>
          </cell>
          <cell r="O170" t="str">
            <v>Box File Merk : Bantex Ukuran : 115x270x325 mm</v>
          </cell>
          <cell r="P170" t="str">
            <v>Box File Merk : Bantex Ukuran : 115x270x325 mm</v>
          </cell>
          <cell r="Q170" t="str">
            <v>Alat Tulis Kantor (ATK)</v>
          </cell>
          <cell r="R170" t="str">
            <v>Box File (Merk : Bantex Ukuran : 115x270x325 mm)</v>
          </cell>
          <cell r="S170">
            <v>4</v>
          </cell>
          <cell r="T170" t="str">
            <v>buah</v>
          </cell>
          <cell r="U170">
            <v>59800</v>
          </cell>
          <cell r="V170">
            <v>239200</v>
          </cell>
          <cell r="W170" t="str">
            <v>UD. JOSUA</v>
          </cell>
          <cell r="X170" t="str">
            <v>Gestiwan Zebua</v>
          </cell>
          <cell r="Y170" t="str">
            <v>082166506229</v>
          </cell>
          <cell r="Z170" t="str">
            <v>Jl. Pasir Putih Pasar Telukdalam, Telukdalam Kab. Nias Selatan</v>
          </cell>
          <cell r="AG170">
            <v>2</v>
          </cell>
        </row>
        <row r="171">
          <cell r="A171">
            <v>169</v>
          </cell>
          <cell r="B171" t="str">
            <v>40</v>
          </cell>
          <cell r="C171" t="str">
            <v>40</v>
          </cell>
          <cell r="D171" t="str">
            <v>BNU17</v>
          </cell>
          <cell r="E171">
            <v>170</v>
          </cell>
          <cell r="F171" t="str">
            <v>40</v>
          </cell>
          <cell r="G171">
            <v>45323</v>
          </cell>
          <cell r="H171">
            <v>45324</v>
          </cell>
          <cell r="I171">
            <v>45324</v>
          </cell>
          <cell r="J171">
            <v>45324</v>
          </cell>
          <cell r="K171">
            <v>45324</v>
          </cell>
          <cell r="L171" t="str">
            <v>5.1.02.01.01.00
24</v>
          </cell>
          <cell r="M171" t="str">
            <v>06.05.</v>
          </cell>
          <cell r="N171" t="str">
            <v>06.05.08.</v>
          </cell>
          <cell r="O171" t="str">
            <v>Lakban warna Uk 2" Warna Coklat Cofiie</v>
          </cell>
          <cell r="P171" t="str">
            <v>Lakban warna Uk 2" Warna Coklat Cofiie</v>
          </cell>
          <cell r="Q171" t="str">
            <v>Alat Tulis Kantor (ATK)</v>
          </cell>
          <cell r="R171" t="str">
            <v>Lakban Warna Uk 2" Warna Coklat Cofiie (Ukuran 90Yard Lebar : 48Mm)</v>
          </cell>
          <cell r="S171">
            <v>3</v>
          </cell>
          <cell r="T171" t="str">
            <v>buah</v>
          </cell>
          <cell r="U171">
            <v>20000</v>
          </cell>
          <cell r="V171">
            <v>60000</v>
          </cell>
          <cell r="W171" t="str">
            <v>UD. JOSUA</v>
          </cell>
          <cell r="X171" t="str">
            <v>Gestiwan Zebua</v>
          </cell>
          <cell r="Y171" t="str">
            <v>082166506229</v>
          </cell>
          <cell r="Z171" t="str">
            <v>Jl. Pasir Putih Pasar Telukdalam, Telukdalam Kab. Nias Selatan</v>
          </cell>
          <cell r="AG171">
            <v>2</v>
          </cell>
        </row>
        <row r="172">
          <cell r="A172">
            <v>170</v>
          </cell>
          <cell r="B172" t="str">
            <v>40</v>
          </cell>
          <cell r="C172" t="str">
            <v>40</v>
          </cell>
          <cell r="D172" t="str">
            <v>BNU17</v>
          </cell>
          <cell r="E172">
            <v>171</v>
          </cell>
          <cell r="F172" t="str">
            <v>40</v>
          </cell>
          <cell r="G172">
            <v>45323</v>
          </cell>
          <cell r="H172">
            <v>45324</v>
          </cell>
          <cell r="I172">
            <v>45324</v>
          </cell>
          <cell r="J172">
            <v>45324</v>
          </cell>
          <cell r="K172">
            <v>45324</v>
          </cell>
          <cell r="L172" t="str">
            <v>5.1.02.01.01.00
24</v>
          </cell>
          <cell r="M172" t="str">
            <v>06.05.</v>
          </cell>
          <cell r="N172" t="str">
            <v>06.05.08.</v>
          </cell>
          <cell r="O172" t="str">
            <v>gunting kertas-ukuran : panjang 21cm x lebar 8cm, stainless steel</v>
          </cell>
          <cell r="P172" t="str">
            <v>gunting kertas-ukuran : panjang 21cm x lebar 8cm, stainless steel</v>
          </cell>
          <cell r="Q172" t="str">
            <v>Alat Tulis Kantor (ATK)</v>
          </cell>
          <cell r="R172" t="str">
            <v>Gunting Sedang (Length 5.0Cm, Width 5.0Cm, Height 5.0Cm, Weight 5Gr)</v>
          </cell>
          <cell r="S172">
            <v>2</v>
          </cell>
          <cell r="T172" t="str">
            <v>buah</v>
          </cell>
          <cell r="U172">
            <v>20000</v>
          </cell>
          <cell r="V172">
            <v>40000</v>
          </cell>
          <cell r="W172" t="str">
            <v>UD. JOSUA</v>
          </cell>
          <cell r="X172" t="str">
            <v>Gestiwan Zebua</v>
          </cell>
          <cell r="Y172" t="str">
            <v>082166506229</v>
          </cell>
          <cell r="Z172" t="str">
            <v>Jl. Pasir Putih Pasar Telukdalam, Telukdalam Kab. Nias Selatan</v>
          </cell>
          <cell r="AG172">
            <v>2</v>
          </cell>
        </row>
        <row r="173">
          <cell r="A173">
            <v>171</v>
          </cell>
          <cell r="B173" t="str">
            <v>40</v>
          </cell>
          <cell r="C173" t="str">
            <v>40</v>
          </cell>
          <cell r="D173" t="str">
            <v>BNU17</v>
          </cell>
          <cell r="E173">
            <v>172</v>
          </cell>
          <cell r="F173" t="str">
            <v>40</v>
          </cell>
          <cell r="G173">
            <v>45323</v>
          </cell>
          <cell r="H173">
            <v>45324</v>
          </cell>
          <cell r="I173">
            <v>45324</v>
          </cell>
          <cell r="J173">
            <v>45324</v>
          </cell>
          <cell r="K173">
            <v>45324</v>
          </cell>
          <cell r="L173" t="str">
            <v>5.1.02.01.01.00
24</v>
          </cell>
          <cell r="M173" t="str">
            <v>06.05.</v>
          </cell>
          <cell r="N173" t="str">
            <v>06.05.08.</v>
          </cell>
          <cell r="O173" t="str">
            <v>Ballpoint Standard AE7</v>
          </cell>
          <cell r="P173" t="str">
            <v>Ballpoint Standard AE7</v>
          </cell>
          <cell r="Q173" t="str">
            <v>Alat Tulis Kantor (ATK)</v>
          </cell>
          <cell r="R173" t="str">
            <v>Ballpoint Standard Ae7 (Ukuran: 0.5 Mm Warna: Hitam 1 , Lebar Produk 6 Cm, Tinggi Produk 4 Cm)</v>
          </cell>
          <cell r="S173">
            <v>2</v>
          </cell>
          <cell r="T173" t="str">
            <v>lusin</v>
          </cell>
          <cell r="U173">
            <v>20000</v>
          </cell>
          <cell r="V173">
            <v>40000</v>
          </cell>
          <cell r="W173" t="str">
            <v>UD. JOSUA</v>
          </cell>
          <cell r="X173" t="str">
            <v>Gestiwan Zebua</v>
          </cell>
          <cell r="Y173" t="str">
            <v>082166506229</v>
          </cell>
          <cell r="Z173" t="str">
            <v>Jl. Pasir Putih Pasar Telukdalam, Telukdalam Kab. Nias Selatan</v>
          </cell>
          <cell r="AG173">
            <v>2</v>
          </cell>
        </row>
        <row r="174">
          <cell r="A174">
            <v>172</v>
          </cell>
          <cell r="B174" t="str">
            <v>40</v>
          </cell>
          <cell r="C174" t="str">
            <v>40</v>
          </cell>
          <cell r="D174" t="str">
            <v>BNU17</v>
          </cell>
          <cell r="E174">
            <v>173</v>
          </cell>
          <cell r="F174" t="str">
            <v>40</v>
          </cell>
          <cell r="G174">
            <v>45323</v>
          </cell>
          <cell r="H174">
            <v>45324</v>
          </cell>
          <cell r="I174">
            <v>45324</v>
          </cell>
          <cell r="J174">
            <v>45324</v>
          </cell>
          <cell r="K174">
            <v>45324</v>
          </cell>
          <cell r="L174" t="str">
            <v>5.1.02.01.01.00
24</v>
          </cell>
          <cell r="M174" t="str">
            <v>06.05.</v>
          </cell>
          <cell r="N174" t="str">
            <v>06.05.08.</v>
          </cell>
          <cell r="O174" t="str">
            <v>C. Tinta Printer EPSON Tinta Printer Epson Read</v>
          </cell>
          <cell r="P174" t="str">
            <v>C. Tinta Printer EPSON Tinta Printer Epson Read</v>
          </cell>
          <cell r="Q174" t="str">
            <v>Alat Tulis Kantor (ATK)</v>
          </cell>
          <cell r="R174" t="str">
            <v>Tnta Printer Epson 664 Merah (Length 5.0Cm, Width 5.0Cm, Height 5.0Cm, Weight 5Gr)</v>
          </cell>
          <cell r="S174">
            <v>4</v>
          </cell>
          <cell r="T174" t="str">
            <v>botol</v>
          </cell>
          <cell r="U174">
            <v>110000</v>
          </cell>
          <cell r="V174">
            <v>440000</v>
          </cell>
          <cell r="W174" t="str">
            <v>UD. JOSUA</v>
          </cell>
          <cell r="X174" t="str">
            <v>Gestiwan Zebua</v>
          </cell>
          <cell r="Y174" t="str">
            <v>082166506229</v>
          </cell>
          <cell r="Z174" t="str">
            <v>Jl. Pasir Putih Pasar Telukdalam, Telukdalam Kab. Nias Selatan</v>
          </cell>
          <cell r="AG174">
            <v>2</v>
          </cell>
        </row>
        <row r="175">
          <cell r="A175">
            <v>173</v>
          </cell>
          <cell r="B175" t="str">
            <v>40</v>
          </cell>
          <cell r="C175" t="str">
            <v>40</v>
          </cell>
          <cell r="D175" t="str">
            <v>BNU17</v>
          </cell>
          <cell r="E175">
            <v>174</v>
          </cell>
          <cell r="F175" t="str">
            <v>40</v>
          </cell>
          <cell r="G175">
            <v>45323</v>
          </cell>
          <cell r="H175">
            <v>45324</v>
          </cell>
          <cell r="I175">
            <v>45324</v>
          </cell>
          <cell r="J175">
            <v>45324</v>
          </cell>
          <cell r="K175">
            <v>45324</v>
          </cell>
          <cell r="L175" t="str">
            <v>5.1.02.01.01.00
24</v>
          </cell>
          <cell r="M175" t="str">
            <v>06.05.</v>
          </cell>
          <cell r="N175" t="str">
            <v>06.05.08.</v>
          </cell>
          <cell r="O175" t="str">
            <v>Stofmap Kertas</v>
          </cell>
          <cell r="P175" t="str">
            <v>Stofmap Kertas</v>
          </cell>
          <cell r="Q175" t="str">
            <v>Alat Tulis Kantor (ATK)</v>
          </cell>
          <cell r="R175" t="str">
            <v>Stofmap Kertas (Length 5.0Cm, Width 5.0Cm, Height 5.0Cm, Weight 5Gr)</v>
          </cell>
          <cell r="S175">
            <v>1</v>
          </cell>
          <cell r="T175" t="str">
            <v>pak</v>
          </cell>
          <cell r="U175">
            <v>87500</v>
          </cell>
          <cell r="V175">
            <v>87500</v>
          </cell>
          <cell r="W175" t="str">
            <v>UD. JOSUA</v>
          </cell>
          <cell r="X175" t="str">
            <v>Gestiwan Zebua</v>
          </cell>
          <cell r="Y175" t="str">
            <v>082166506229</v>
          </cell>
          <cell r="Z175" t="str">
            <v>Jl. Pasir Putih Pasar Telukdalam, Telukdalam Kab. Nias Selatan</v>
          </cell>
          <cell r="AG175">
            <v>2</v>
          </cell>
        </row>
        <row r="176">
          <cell r="A176">
            <v>174</v>
          </cell>
          <cell r="B176" t="str">
            <v>40</v>
          </cell>
          <cell r="C176" t="str">
            <v>40</v>
          </cell>
          <cell r="D176" t="str">
            <v>BNU17</v>
          </cell>
          <cell r="E176">
            <v>175</v>
          </cell>
          <cell r="F176" t="str">
            <v>40</v>
          </cell>
          <cell r="G176">
            <v>45323</v>
          </cell>
          <cell r="H176">
            <v>45324</v>
          </cell>
          <cell r="I176">
            <v>45324</v>
          </cell>
          <cell r="J176">
            <v>45324</v>
          </cell>
          <cell r="K176">
            <v>45324</v>
          </cell>
          <cell r="L176" t="str">
            <v>5.1.02.01.01.00
24</v>
          </cell>
          <cell r="M176" t="str">
            <v>06.05.</v>
          </cell>
          <cell r="N176" t="str">
            <v>06.05.08.</v>
          </cell>
          <cell r="O176" t="str">
            <v>lakban hitam-ukuran : lebar 2 inch, panjang 12m, bahan : kain</v>
          </cell>
          <cell r="P176" t="str">
            <v>lakban hitam-ukuran : lebar 2 inch, panjang 12m, bahan : kain</v>
          </cell>
          <cell r="Q176" t="str">
            <v>Alat Tulis Kantor (ATK)</v>
          </cell>
          <cell r="R176" t="str">
            <v>Lakban Hitam (Length 5.0Cm, Width 5.0Cm, Height 5.0Cm, Weight 5Gr)</v>
          </cell>
          <cell r="S176">
            <v>4</v>
          </cell>
          <cell r="T176" t="str">
            <v>buah</v>
          </cell>
          <cell r="U176">
            <v>12500</v>
          </cell>
          <cell r="V176">
            <v>50000</v>
          </cell>
          <cell r="W176" t="str">
            <v>UD. JOSUA</v>
          </cell>
          <cell r="X176" t="str">
            <v>Gestiwan Zebua</v>
          </cell>
          <cell r="Y176" t="str">
            <v>082166506229</v>
          </cell>
          <cell r="Z176" t="str">
            <v>Jl. Pasir Putih Pasar Telukdalam, Telukdalam Kab. Nias Selatan</v>
          </cell>
          <cell r="AG176">
            <v>2</v>
          </cell>
        </row>
        <row r="177">
          <cell r="A177">
            <v>175</v>
          </cell>
          <cell r="B177" t="str">
            <v>40</v>
          </cell>
          <cell r="C177" t="str">
            <v>40</v>
          </cell>
          <cell r="D177" t="str">
            <v>BNU17</v>
          </cell>
          <cell r="E177">
            <v>176</v>
          </cell>
          <cell r="F177" t="str">
            <v>40</v>
          </cell>
          <cell r="G177">
            <v>45323</v>
          </cell>
          <cell r="H177">
            <v>45324</v>
          </cell>
          <cell r="I177">
            <v>45324</v>
          </cell>
          <cell r="J177">
            <v>45324</v>
          </cell>
          <cell r="K177">
            <v>45324</v>
          </cell>
          <cell r="L177" t="str">
            <v>5.1.02.01.01.00
24</v>
          </cell>
          <cell r="M177" t="str">
            <v>06.05.</v>
          </cell>
          <cell r="N177" t="str">
            <v>06.05.08.</v>
          </cell>
          <cell r="O177" t="str">
            <v>Lakban Besar</v>
          </cell>
          <cell r="P177" t="str">
            <v>Lakban Besar</v>
          </cell>
          <cell r="Q177" t="str">
            <v>Alat Tulis Kantor (ATK)</v>
          </cell>
          <cell r="R177" t="str">
            <v xml:space="preserve"> Lakban Hitam besar Kain (Daimaru 2 inch / 48 mm x 12 m)</v>
          </cell>
          <cell r="S177">
            <v>5</v>
          </cell>
          <cell r="T177" t="str">
            <v>buah</v>
          </cell>
          <cell r="U177">
            <v>25000</v>
          </cell>
          <cell r="V177">
            <v>125000</v>
          </cell>
          <cell r="W177" t="str">
            <v>UD. JOSUA</v>
          </cell>
          <cell r="X177" t="str">
            <v>Gestiwan Zebua</v>
          </cell>
          <cell r="Y177" t="str">
            <v>082166506229</v>
          </cell>
          <cell r="Z177" t="str">
            <v>Jl. Pasir Putih Pasar Telukdalam, Telukdalam Kab. Nias Selatan</v>
          </cell>
          <cell r="AG177">
            <v>2</v>
          </cell>
        </row>
        <row r="178">
          <cell r="A178">
            <v>176</v>
          </cell>
          <cell r="B178" t="str">
            <v>40</v>
          </cell>
          <cell r="C178" t="str">
            <v>40</v>
          </cell>
          <cell r="D178" t="str">
            <v>BNU17</v>
          </cell>
          <cell r="E178">
            <v>177</v>
          </cell>
          <cell r="F178" t="str">
            <v>40</v>
          </cell>
          <cell r="G178">
            <v>45323</v>
          </cell>
          <cell r="H178">
            <v>45324</v>
          </cell>
          <cell r="I178">
            <v>45324</v>
          </cell>
          <cell r="J178">
            <v>45324</v>
          </cell>
          <cell r="K178">
            <v>45324</v>
          </cell>
          <cell r="L178" t="str">
            <v>5.1.02.01.01.00
24</v>
          </cell>
          <cell r="M178" t="str">
            <v>06.05.</v>
          </cell>
          <cell r="N178" t="str">
            <v>06.05.08.</v>
          </cell>
          <cell r="O178" t="str">
            <v>Tinta Printer Canon 740 Hitam-740 Hitam</v>
          </cell>
          <cell r="P178" t="str">
            <v>Tinta Printer Canon 740 Hitam-740 Hitam</v>
          </cell>
          <cell r="Q178" t="str">
            <v>Alat Tulis Kantor (ATK)</v>
          </cell>
          <cell r="R178" t="str">
            <v>Tinta Printer Cano Aiflo Hitam (Length 5.0Cm, Width 5.0Cm, Height 5.0Cm, Weight 5Gr)</v>
          </cell>
          <cell r="S178">
            <v>8</v>
          </cell>
          <cell r="T178" t="str">
            <v>botol</v>
          </cell>
          <cell r="U178">
            <v>30000</v>
          </cell>
          <cell r="V178">
            <v>240000</v>
          </cell>
          <cell r="W178" t="str">
            <v>UD. JOSUA</v>
          </cell>
          <cell r="X178" t="str">
            <v>Gestiwan Zebua</v>
          </cell>
          <cell r="Y178" t="str">
            <v>082166506229</v>
          </cell>
          <cell r="Z178" t="str">
            <v>Jl. Pasir Putih Pasar Telukdalam, Telukdalam Kab. Nias Selatan</v>
          </cell>
          <cell r="AG178">
            <v>2</v>
          </cell>
        </row>
        <row r="179">
          <cell r="A179">
            <v>177</v>
          </cell>
          <cell r="B179" t="str">
            <v>40</v>
          </cell>
          <cell r="C179" t="str">
            <v>40</v>
          </cell>
          <cell r="D179" t="str">
            <v>BNU17</v>
          </cell>
          <cell r="E179">
            <v>178</v>
          </cell>
          <cell r="F179" t="str">
            <v>40</v>
          </cell>
          <cell r="G179">
            <v>45323</v>
          </cell>
          <cell r="H179">
            <v>45324</v>
          </cell>
          <cell r="I179">
            <v>45324</v>
          </cell>
          <cell r="J179">
            <v>45324</v>
          </cell>
          <cell r="K179">
            <v>45324</v>
          </cell>
          <cell r="L179" t="str">
            <v>5.1.02.01.01.00
24</v>
          </cell>
          <cell r="M179" t="str">
            <v>06.05.</v>
          </cell>
          <cell r="N179" t="str">
            <v>06.05.08.</v>
          </cell>
          <cell r="O179" t="str">
            <v>Kertas HVS 60 gram Merk : Paper One HVS F4 uk. 8.27"x11.69"</v>
          </cell>
          <cell r="P179" t="str">
            <v>Kertas HVS 60 gram Merk : Paper One HVS F4 uk. 8.27"x11.69"</v>
          </cell>
          <cell r="Q179" t="str">
            <v>Alat Tulis Kantor (ATK)</v>
          </cell>
          <cell r="R179" t="str">
            <v>Kertas Hvs 60Gsm Paper One F4 (Length 33.0Cm, Width 21.0Cm, Height 7.0Cm, Weight 1400Gr)</v>
          </cell>
          <cell r="S179">
            <v>10</v>
          </cell>
          <cell r="T179" t="str">
            <v>rim</v>
          </cell>
          <cell r="U179">
            <v>48500</v>
          </cell>
          <cell r="V179">
            <v>485000</v>
          </cell>
          <cell r="W179" t="str">
            <v>UD. JOSUA</v>
          </cell>
          <cell r="X179" t="str">
            <v>Gestiwan Zebua</v>
          </cell>
          <cell r="Y179" t="str">
            <v>082166506229</v>
          </cell>
          <cell r="Z179" t="str">
            <v>Jl. Pasir Putih Pasar Telukdalam, Telukdalam Kab. Nias Selatan</v>
          </cell>
          <cell r="AG179">
            <v>2</v>
          </cell>
        </row>
        <row r="180">
          <cell r="A180">
            <v>178</v>
          </cell>
          <cell r="B180" t="str">
            <v>40</v>
          </cell>
          <cell r="C180" t="str">
            <v>40</v>
          </cell>
          <cell r="D180" t="str">
            <v>BNU17</v>
          </cell>
          <cell r="E180">
            <v>179</v>
          </cell>
          <cell r="F180" t="str">
            <v>40</v>
          </cell>
          <cell r="G180">
            <v>45323</v>
          </cell>
          <cell r="H180">
            <v>45324</v>
          </cell>
          <cell r="I180">
            <v>45324</v>
          </cell>
          <cell r="J180">
            <v>45324</v>
          </cell>
          <cell r="K180">
            <v>45324</v>
          </cell>
          <cell r="L180" t="str">
            <v>5.1.02.01.01.00
24</v>
          </cell>
          <cell r="M180" t="str">
            <v>06.05.</v>
          </cell>
          <cell r="N180" t="str">
            <v>06.05.08.</v>
          </cell>
          <cell r="O180" t="str">
            <v>Binder Klip Ordner</v>
          </cell>
          <cell r="P180" t="str">
            <v>Binder Klip Ordner</v>
          </cell>
          <cell r="Q180" t="str">
            <v>Alat Tulis Kantor (ATK)</v>
          </cell>
          <cell r="R180" t="str">
            <v>Binder Klip Ordner (Length 5.0Cm, Width 5.0Cm, Height 5.0Cm, Weight 5Gr)</v>
          </cell>
          <cell r="S180">
            <v>6</v>
          </cell>
          <cell r="T180" t="str">
            <v>buah</v>
          </cell>
          <cell r="U180">
            <v>49500</v>
          </cell>
          <cell r="V180">
            <v>297000</v>
          </cell>
          <cell r="W180" t="str">
            <v>UD. JOSUA</v>
          </cell>
          <cell r="X180" t="str">
            <v>Gestiwan Zebua</v>
          </cell>
          <cell r="Y180" t="str">
            <v>082166506229</v>
          </cell>
          <cell r="Z180" t="str">
            <v>Jl. Pasir Putih Pasar Telukdalam, Telukdalam Kab. Nias Selatan</v>
          </cell>
          <cell r="AG180">
            <v>2</v>
          </cell>
        </row>
        <row r="181">
          <cell r="A181">
            <v>179</v>
          </cell>
          <cell r="B181" t="str">
            <v>41</v>
          </cell>
          <cell r="C181" t="str">
            <v>41</v>
          </cell>
          <cell r="D181" t="str">
            <v>BNU18</v>
          </cell>
          <cell r="E181">
            <v>180</v>
          </cell>
          <cell r="F181" t="str">
            <v>41</v>
          </cell>
          <cell r="G181">
            <v>45323</v>
          </cell>
          <cell r="H181">
            <v>45324</v>
          </cell>
          <cell r="I181">
            <v>45324</v>
          </cell>
          <cell r="J181">
            <v>45324</v>
          </cell>
          <cell r="K181">
            <v>45324</v>
          </cell>
          <cell r="L181" t="str">
            <v>5.1.02.01.01.00
30</v>
          </cell>
          <cell r="M181" t="str">
            <v>06.05.</v>
          </cell>
          <cell r="N181" t="str">
            <v>06.05.09.</v>
          </cell>
          <cell r="O181" t="str">
            <v>Handsoap/Pencuci Tangan</v>
          </cell>
          <cell r="P181" t="str">
            <v>Handsoap/Pencuci Tangan</v>
          </cell>
          <cell r="Q181" t="str">
            <v>Alat Kebersihan</v>
          </cell>
          <cell r="R181" t="str">
            <v>Handsoap/Pencuci Tangan (Antibacterial Hand Soap - 250ml, ekstrak aloevera)</v>
          </cell>
          <cell r="S181">
            <v>5</v>
          </cell>
          <cell r="T181" t="str">
            <v>botol</v>
          </cell>
          <cell r="U181">
            <v>67000</v>
          </cell>
          <cell r="V181">
            <v>335000</v>
          </cell>
          <cell r="W181" t="str">
            <v>UD. JOSUA</v>
          </cell>
          <cell r="X181" t="str">
            <v>Gestiwan Zebua</v>
          </cell>
          <cell r="Y181" t="str">
            <v>082166506229</v>
          </cell>
          <cell r="Z181" t="str">
            <v>Jl. Pasir Putih Pasar Telukdalam, Telukdalam Kab. Nias Selatan</v>
          </cell>
          <cell r="AG181">
            <v>2</v>
          </cell>
        </row>
        <row r="182">
          <cell r="A182">
            <v>180</v>
          </cell>
          <cell r="B182" t="str">
            <v>41</v>
          </cell>
          <cell r="C182" t="str">
            <v>41</v>
          </cell>
          <cell r="D182" t="str">
            <v>BNU18</v>
          </cell>
          <cell r="E182">
            <v>181</v>
          </cell>
          <cell r="F182" t="str">
            <v>41</v>
          </cell>
          <cell r="G182">
            <v>45323</v>
          </cell>
          <cell r="H182">
            <v>45324</v>
          </cell>
          <cell r="I182">
            <v>45324</v>
          </cell>
          <cell r="J182">
            <v>45324</v>
          </cell>
          <cell r="K182">
            <v>45324</v>
          </cell>
          <cell r="L182" t="str">
            <v>5.1.02.01.01.00
30</v>
          </cell>
          <cell r="M182" t="str">
            <v>06.05.</v>
          </cell>
          <cell r="N182" t="str">
            <v>06.05.09.</v>
          </cell>
          <cell r="O182" t="str">
            <v>Perlengkapan Kebersihan Pembersih Lantai Super Pel Varian 800ml</v>
          </cell>
          <cell r="P182" t="str">
            <v>Perlengkapan Kebersihan Pembersih Lantai Super Pel Varian 800ml</v>
          </cell>
          <cell r="Q182" t="str">
            <v>Alat Kebersihan</v>
          </cell>
          <cell r="R182" t="str">
            <v>Super Pel 800ml (Dimensi, 22cm x 12cm x 26cm. Berat, 800g.)</v>
          </cell>
          <cell r="S182">
            <v>15</v>
          </cell>
          <cell r="T182" t="str">
            <v>buah</v>
          </cell>
          <cell r="U182">
            <v>13700</v>
          </cell>
          <cell r="V182">
            <v>205500</v>
          </cell>
          <cell r="W182" t="str">
            <v>UD. JOSUA</v>
          </cell>
          <cell r="X182" t="str">
            <v>Gestiwan Zebua</v>
          </cell>
          <cell r="Y182" t="str">
            <v>082166506229</v>
          </cell>
          <cell r="Z182" t="str">
            <v>Jl. Pasir Putih Pasar Telukdalam, Telukdalam Kab. Nias Selatan</v>
          </cell>
          <cell r="AG182">
            <v>2</v>
          </cell>
        </row>
        <row r="183">
          <cell r="A183">
            <v>181</v>
          </cell>
          <cell r="B183" t="str">
            <v>41</v>
          </cell>
          <cell r="C183" t="str">
            <v>41</v>
          </cell>
          <cell r="D183" t="str">
            <v>BNU18</v>
          </cell>
          <cell r="E183">
            <v>182</v>
          </cell>
          <cell r="F183" t="str">
            <v>41</v>
          </cell>
          <cell r="G183">
            <v>45323</v>
          </cell>
          <cell r="H183">
            <v>45324</v>
          </cell>
          <cell r="I183">
            <v>45324</v>
          </cell>
          <cell r="J183">
            <v>45324</v>
          </cell>
          <cell r="K183">
            <v>45324</v>
          </cell>
          <cell r="L183" t="str">
            <v>5.1.02.01.01.00
30</v>
          </cell>
          <cell r="M183" t="str">
            <v>06.05.</v>
          </cell>
          <cell r="N183" t="str">
            <v>06.05.09.</v>
          </cell>
          <cell r="O183" t="str">
            <v>Pengharum Ruangan</v>
          </cell>
          <cell r="P183" t="str">
            <v>Pengharum Ruangan</v>
          </cell>
          <cell r="Q183" t="str">
            <v>Alat Kebersihan</v>
          </cell>
          <cell r="R183" t="str">
            <v>Stella pengharum ruangan sachet (Panjang : 10 cm, Lebar : 7 cm, Tinggi : 10 cm, Berat 10 Gr</v>
          </cell>
          <cell r="S183">
            <v>10</v>
          </cell>
          <cell r="T183" t="str">
            <v>buah</v>
          </cell>
          <cell r="U183">
            <v>12100</v>
          </cell>
          <cell r="V183">
            <v>121000</v>
          </cell>
          <cell r="W183" t="str">
            <v>UD. JOSUA</v>
          </cell>
          <cell r="X183" t="str">
            <v>Gestiwan Zebua</v>
          </cell>
          <cell r="Y183" t="str">
            <v>082166506229</v>
          </cell>
          <cell r="Z183" t="str">
            <v>Jl. Pasir Putih Pasar Telukdalam, Telukdalam Kab. Nias Selatan</v>
          </cell>
          <cell r="AG183">
            <v>2</v>
          </cell>
        </row>
        <row r="184">
          <cell r="A184">
            <v>182</v>
          </cell>
          <cell r="B184" t="str">
            <v>41</v>
          </cell>
          <cell r="C184" t="str">
            <v>41</v>
          </cell>
          <cell r="D184" t="str">
            <v>BNU18</v>
          </cell>
          <cell r="E184">
            <v>183</v>
          </cell>
          <cell r="F184" t="str">
            <v>41</v>
          </cell>
          <cell r="G184">
            <v>45323</v>
          </cell>
          <cell r="H184">
            <v>45324</v>
          </cell>
          <cell r="I184">
            <v>45324</v>
          </cell>
          <cell r="J184">
            <v>45324</v>
          </cell>
          <cell r="K184">
            <v>45324</v>
          </cell>
          <cell r="L184" t="str">
            <v>5.1.02.01.01.00
30</v>
          </cell>
          <cell r="M184" t="str">
            <v>06.05.</v>
          </cell>
          <cell r="N184" t="str">
            <v>06.05.09.</v>
          </cell>
          <cell r="O184" t="str">
            <v>Perlengkapan Kebersihan Pembersih Pakaian Sunlight Refil 800ml</v>
          </cell>
          <cell r="P184" t="str">
            <v>Perlengkapan Kebersihan Pembersih Pakaian Sunlight Refil 800ml</v>
          </cell>
          <cell r="Q184" t="str">
            <v>Alat Kebersihan</v>
          </cell>
          <cell r="R184" t="str">
            <v>Sunlight Refil 800ml (Dimensi, 6cm x 15cm x 22cm. Berat, 800g.)</v>
          </cell>
          <cell r="S184">
            <v>3</v>
          </cell>
          <cell r="T184" t="str">
            <v>buah</v>
          </cell>
          <cell r="U184">
            <v>15000</v>
          </cell>
          <cell r="V184">
            <v>45000</v>
          </cell>
          <cell r="W184" t="str">
            <v>UD. JOSUA</v>
          </cell>
          <cell r="X184" t="str">
            <v>Gestiwan Zebua</v>
          </cell>
          <cell r="Y184" t="str">
            <v>082166506229</v>
          </cell>
          <cell r="Z184" t="str">
            <v>Jl. Pasir Putih Pasar Telukdalam, Telukdalam Kab. Nias Selatan</v>
          </cell>
          <cell r="AG184">
            <v>2</v>
          </cell>
        </row>
        <row r="185">
          <cell r="A185">
            <v>183</v>
          </cell>
          <cell r="B185" t="str">
            <v>41</v>
          </cell>
          <cell r="C185" t="str">
            <v>41</v>
          </cell>
          <cell r="D185" t="str">
            <v>BNU18</v>
          </cell>
          <cell r="E185">
            <v>184</v>
          </cell>
          <cell r="F185" t="str">
            <v>41</v>
          </cell>
          <cell r="G185">
            <v>45323</v>
          </cell>
          <cell r="H185">
            <v>45324</v>
          </cell>
          <cell r="I185">
            <v>45324</v>
          </cell>
          <cell r="J185">
            <v>45324</v>
          </cell>
          <cell r="K185">
            <v>45324</v>
          </cell>
          <cell r="L185" t="str">
            <v>5.1.02.01.01.00
30</v>
          </cell>
          <cell r="M185" t="str">
            <v>06.05.</v>
          </cell>
          <cell r="N185" t="str">
            <v>06.05.09.</v>
          </cell>
          <cell r="O185" t="str">
            <v>vixal 500ml</v>
          </cell>
          <cell r="P185" t="str">
            <v>vixal 500ml</v>
          </cell>
          <cell r="Q185" t="str">
            <v>Alat Kebersihan</v>
          </cell>
          <cell r="R185" t="str">
            <v>Pembersih Lantai (Merk vixal, Kemasan Botol, isi  500ml)</v>
          </cell>
          <cell r="S185">
            <v>10</v>
          </cell>
          <cell r="T185" t="str">
            <v>botol</v>
          </cell>
          <cell r="U185">
            <v>30000</v>
          </cell>
          <cell r="V185">
            <v>300000</v>
          </cell>
          <cell r="W185" t="str">
            <v>UD. JOSUA</v>
          </cell>
          <cell r="X185" t="str">
            <v>Gestiwan Zebua</v>
          </cell>
          <cell r="Y185" t="str">
            <v>082166506229</v>
          </cell>
          <cell r="Z185" t="str">
            <v>Jl. Pasir Putih Pasar Telukdalam, Telukdalam Kab. Nias Selatan</v>
          </cell>
          <cell r="AG185">
            <v>2</v>
          </cell>
        </row>
        <row r="186">
          <cell r="A186">
            <v>184</v>
          </cell>
          <cell r="B186" t="str">
            <v>41</v>
          </cell>
          <cell r="C186" t="str">
            <v>41</v>
          </cell>
          <cell r="D186" t="str">
            <v>BNU18</v>
          </cell>
          <cell r="E186">
            <v>185</v>
          </cell>
          <cell r="F186" t="str">
            <v>41</v>
          </cell>
          <cell r="G186">
            <v>45323</v>
          </cell>
          <cell r="H186">
            <v>45324</v>
          </cell>
          <cell r="I186">
            <v>45324</v>
          </cell>
          <cell r="J186">
            <v>45324</v>
          </cell>
          <cell r="K186">
            <v>45324</v>
          </cell>
          <cell r="L186" t="str">
            <v>5.1.02.01.01.00
30</v>
          </cell>
          <cell r="M186" t="str">
            <v>06.05.</v>
          </cell>
          <cell r="N186" t="str">
            <v>06.05.09.</v>
          </cell>
          <cell r="O186" t="str">
            <v>Spon Cuci</v>
          </cell>
          <cell r="P186" t="str">
            <v>Spon Cuci</v>
          </cell>
          <cell r="Q186" t="str">
            <v>Alat Kebersihan</v>
          </cell>
          <cell r="R186" t="str">
            <v>Spon Cuci (G Spons Busa Cuci Piring Minyak Dua Sisi / Sponge Cuci Piring 2 sisi / Spons Abu Dua sisi Anti Minyak)</v>
          </cell>
          <cell r="S186">
            <v>5</v>
          </cell>
          <cell r="T186" t="str">
            <v>buah</v>
          </cell>
          <cell r="U186">
            <v>12000</v>
          </cell>
          <cell r="V186">
            <v>60000</v>
          </cell>
          <cell r="W186" t="str">
            <v>UD. JOSUA</v>
          </cell>
          <cell r="X186" t="str">
            <v>Gestiwan Zebua</v>
          </cell>
          <cell r="Y186" t="str">
            <v>082166506229</v>
          </cell>
          <cell r="Z186" t="str">
            <v>Jl. Pasir Putih Pasar Telukdalam, Telukdalam Kab. Nias Selatan</v>
          </cell>
          <cell r="AG186">
            <v>2</v>
          </cell>
        </row>
        <row r="187">
          <cell r="A187">
            <v>185</v>
          </cell>
          <cell r="B187" t="str">
            <v>41</v>
          </cell>
          <cell r="C187" t="str">
            <v>41</v>
          </cell>
          <cell r="D187" t="str">
            <v>BNU18</v>
          </cell>
          <cell r="E187">
            <v>186</v>
          </cell>
          <cell r="F187" t="str">
            <v>41</v>
          </cell>
          <cell r="G187">
            <v>45323</v>
          </cell>
          <cell r="H187">
            <v>45324</v>
          </cell>
          <cell r="I187">
            <v>45324</v>
          </cell>
          <cell r="J187">
            <v>45324</v>
          </cell>
          <cell r="K187">
            <v>45324</v>
          </cell>
          <cell r="L187" t="str">
            <v>5.1.02.01.01.00
30</v>
          </cell>
          <cell r="M187" t="str">
            <v>06.05.</v>
          </cell>
          <cell r="N187" t="str">
            <v>06.05.09.</v>
          </cell>
          <cell r="O187" t="str">
            <v>Tisu--</v>
          </cell>
          <cell r="P187" t="str">
            <v>Tisu--</v>
          </cell>
          <cell r="Q187" t="str">
            <v>Alat Kebersihan</v>
          </cell>
          <cell r="R187" t="str">
            <v>Tissue (Merk JOLLY 250 Sheets 2 Ply, Berat Volume = 285 gr)</v>
          </cell>
          <cell r="S187">
            <v>12</v>
          </cell>
          <cell r="T187" t="str">
            <v>buah</v>
          </cell>
          <cell r="U187">
            <v>12500</v>
          </cell>
          <cell r="V187">
            <v>150000</v>
          </cell>
          <cell r="W187" t="str">
            <v>UD. JOSUA</v>
          </cell>
          <cell r="X187" t="str">
            <v>Gestiwan Zebua</v>
          </cell>
          <cell r="Y187" t="str">
            <v>082166506229</v>
          </cell>
          <cell r="Z187" t="str">
            <v>Jl. Pasir Putih Pasar Telukdalam, Telukdalam Kab. Nias Selatan</v>
          </cell>
          <cell r="AG187">
            <v>2</v>
          </cell>
        </row>
        <row r="188">
          <cell r="A188">
            <v>186</v>
          </cell>
          <cell r="B188" t="str">
            <v>41</v>
          </cell>
          <cell r="C188" t="str">
            <v>41</v>
          </cell>
          <cell r="D188" t="str">
            <v>BNU18</v>
          </cell>
          <cell r="E188">
            <v>187</v>
          </cell>
          <cell r="F188" t="str">
            <v>41</v>
          </cell>
          <cell r="G188">
            <v>45323</v>
          </cell>
          <cell r="H188">
            <v>45324</v>
          </cell>
          <cell r="I188">
            <v>45324</v>
          </cell>
          <cell r="J188">
            <v>45324</v>
          </cell>
          <cell r="K188">
            <v>45324</v>
          </cell>
          <cell r="L188" t="str">
            <v>5.1.02.01.01.00
30</v>
          </cell>
          <cell r="M188" t="str">
            <v>06.05.</v>
          </cell>
          <cell r="N188" t="str">
            <v>06.05.09.</v>
          </cell>
          <cell r="O188" t="str">
            <v>Cairan Pembersih Kaca</v>
          </cell>
          <cell r="P188" t="str">
            <v>Cairan Pembersih Kaca</v>
          </cell>
          <cell r="Q188" t="str">
            <v>Alat Kebersihan</v>
          </cell>
          <cell r="R188" t="str">
            <v>Pembersih Kaca (Merk: CLING. Isi: 450ml. Dimensi 25 cm x 13 cm x 13 cm )</v>
          </cell>
          <cell r="S188">
            <v>5</v>
          </cell>
          <cell r="T188" t="str">
            <v>buah</v>
          </cell>
          <cell r="U188">
            <v>12000</v>
          </cell>
          <cell r="V188">
            <v>60000</v>
          </cell>
          <cell r="W188" t="str">
            <v>UD. JOSUA</v>
          </cell>
          <cell r="X188" t="str">
            <v>Gestiwan Zebua</v>
          </cell>
          <cell r="Y188" t="str">
            <v>082166506229</v>
          </cell>
          <cell r="Z188" t="str">
            <v>Jl. Pasir Putih Pasar Telukdalam, Telukdalam Kab. Nias Selatan</v>
          </cell>
          <cell r="AG188">
            <v>2</v>
          </cell>
        </row>
        <row r="189">
          <cell r="A189">
            <v>187</v>
          </cell>
          <cell r="B189" t="str">
            <v>41</v>
          </cell>
          <cell r="C189" t="str">
            <v>41</v>
          </cell>
          <cell r="D189" t="str">
            <v>BNU18</v>
          </cell>
          <cell r="E189">
            <v>188</v>
          </cell>
          <cell r="F189" t="str">
            <v>41</v>
          </cell>
          <cell r="G189">
            <v>45323</v>
          </cell>
          <cell r="H189">
            <v>45324</v>
          </cell>
          <cell r="I189">
            <v>45324</v>
          </cell>
          <cell r="J189">
            <v>45324</v>
          </cell>
          <cell r="K189">
            <v>45324</v>
          </cell>
          <cell r="L189" t="str">
            <v>5.1.02.01.01.00
30</v>
          </cell>
          <cell r="M189" t="str">
            <v>06.05.</v>
          </cell>
          <cell r="N189" t="str">
            <v>06.05.09.</v>
          </cell>
          <cell r="O189" t="str">
            <v>Hand Sanitizer-Unit</v>
          </cell>
          <cell r="P189" t="str">
            <v>Hand Sanitizer-Unit</v>
          </cell>
          <cell r="Q189" t="str">
            <v>Alat Kebersihan</v>
          </cell>
          <cell r="R189" t="str">
            <v>Hand Sanitizer (Merk: SOS. Isi: 300ml</v>
          </cell>
          <cell r="S189">
            <v>5</v>
          </cell>
          <cell r="T189" t="str">
            <v>unit</v>
          </cell>
          <cell r="U189">
            <v>70000</v>
          </cell>
          <cell r="V189">
            <v>350000</v>
          </cell>
          <cell r="W189" t="str">
            <v>UD. JOSUA</v>
          </cell>
          <cell r="X189" t="str">
            <v>Gestiwan Zebua</v>
          </cell>
          <cell r="Y189" t="str">
            <v>082166506229</v>
          </cell>
          <cell r="Z189" t="str">
            <v>Jl. Pasir Putih Pasar Telukdalam, Telukdalam Kab. Nias Selatan</v>
          </cell>
          <cell r="AG189">
            <v>2</v>
          </cell>
        </row>
        <row r="190">
          <cell r="A190">
            <v>188</v>
          </cell>
          <cell r="B190" t="str">
            <v>42</v>
          </cell>
          <cell r="C190" t="str">
            <v>42</v>
          </cell>
          <cell r="D190" t="str">
            <v>BNU19</v>
          </cell>
          <cell r="E190">
            <v>189</v>
          </cell>
          <cell r="F190" t="str">
            <v>42</v>
          </cell>
          <cell r="G190">
            <v>45323</v>
          </cell>
          <cell r="H190">
            <v>45324</v>
          </cell>
          <cell r="I190">
            <v>45326</v>
          </cell>
          <cell r="J190">
            <v>45326</v>
          </cell>
          <cell r="K190">
            <v>45329</v>
          </cell>
          <cell r="L190" t="str">
            <v>5.2.02.05.01.00
05</v>
          </cell>
          <cell r="M190" t="str">
            <v>05.08.</v>
          </cell>
          <cell r="N190" t="str">
            <v>05.08.02.</v>
          </cell>
          <cell r="O190" t="str">
            <v>Passive Speaker</v>
          </cell>
          <cell r="P190" t="str">
            <v>Passive Speaker</v>
          </cell>
          <cell r="Q190" t="str">
            <v>Sarana Prsasrana</v>
          </cell>
          <cell r="S190">
            <v>2</v>
          </cell>
          <cell r="T190" t="str">
            <v>unit</v>
          </cell>
          <cell r="U190">
            <v>10800000</v>
          </cell>
          <cell r="V190">
            <v>21600000</v>
          </cell>
          <cell r="W190" t="str">
            <v>CV. Marsatu Jaya Badiri</v>
          </cell>
          <cell r="X190" t="str">
            <v>Marusaha Simanjuntak</v>
          </cell>
          <cell r="Y190" t="str">
            <v>085277086701</v>
          </cell>
          <cell r="Z190" t="str">
            <v>Jl. Oswald Siahaan No. 6A. Aek Tolang Pandan</v>
          </cell>
          <cell r="AG190">
            <v>2</v>
          </cell>
        </row>
        <row r="191">
          <cell r="A191">
            <v>189</v>
          </cell>
          <cell r="B191" t="str">
            <v>42</v>
          </cell>
          <cell r="C191" t="str">
            <v>42</v>
          </cell>
          <cell r="D191" t="str">
            <v>BNU20</v>
          </cell>
          <cell r="E191">
            <v>190</v>
          </cell>
          <cell r="F191" t="str">
            <v>42</v>
          </cell>
          <cell r="G191">
            <v>45323</v>
          </cell>
          <cell r="H191">
            <v>45324</v>
          </cell>
          <cell r="I191">
            <v>45326</v>
          </cell>
          <cell r="J191">
            <v>45326</v>
          </cell>
          <cell r="K191">
            <v>45329</v>
          </cell>
          <cell r="L191" t="str">
            <v>5.2.05.02.01.00
01</v>
          </cell>
          <cell r="M191" t="str">
            <v>05.08.</v>
          </cell>
          <cell r="N191" t="str">
            <v>05.08.02.</v>
          </cell>
          <cell r="O191" t="str">
            <v>microphone wireless-mic sennheiser skm 5300 wireless microphone ( gold edition )</v>
          </cell>
          <cell r="P191" t="str">
            <v>microphone wireless-mic sennheiser skm 5300 wireless microphone ( gold edition )</v>
          </cell>
          <cell r="Q191" t="str">
            <v>Sarana Prsasrana</v>
          </cell>
          <cell r="S191">
            <v>2</v>
          </cell>
          <cell r="T191" t="str">
            <v>buah</v>
          </cell>
          <cell r="U191">
            <v>1450000</v>
          </cell>
          <cell r="V191">
            <v>2900000</v>
          </cell>
          <cell r="W191" t="str">
            <v>CV. Marsatu Jaya Badiri</v>
          </cell>
          <cell r="X191" t="str">
            <v>Marusaha Simanjuntak</v>
          </cell>
          <cell r="Y191" t="str">
            <v>085277086701</v>
          </cell>
          <cell r="Z191" t="str">
            <v>Jl. Oswald Siahaan No. 6A. Aek Tolang Pandan</v>
          </cell>
          <cell r="AG191">
            <v>2</v>
          </cell>
        </row>
        <row r="192">
          <cell r="A192">
            <v>190</v>
          </cell>
          <cell r="B192" t="str">
            <v>43</v>
          </cell>
          <cell r="C192" t="str">
            <v>43</v>
          </cell>
          <cell r="D192" t="str">
            <v>BNU21</v>
          </cell>
          <cell r="E192">
            <v>191</v>
          </cell>
          <cell r="F192" t="str">
            <v>43</v>
          </cell>
          <cell r="G192">
            <v>45323</v>
          </cell>
          <cell r="H192">
            <v>45326</v>
          </cell>
          <cell r="I192">
            <v>45328</v>
          </cell>
          <cell r="J192">
            <v>45328</v>
          </cell>
          <cell r="K192">
            <v>45329</v>
          </cell>
          <cell r="L192" t="str">
            <v>5.2.04.02.06.00
05</v>
          </cell>
          <cell r="M192" t="str">
            <v>05.08.</v>
          </cell>
          <cell r="N192" t="str">
            <v>05.08.04.</v>
          </cell>
          <cell r="O192" t="str">
            <v>Dispencer</v>
          </cell>
          <cell r="P192" t="str">
            <v>Dispencer</v>
          </cell>
          <cell r="Q192" t="str">
            <v>Sarana Prsasrana</v>
          </cell>
          <cell r="S192">
            <v>12</v>
          </cell>
          <cell r="T192" t="str">
            <v>unit</v>
          </cell>
          <cell r="U192">
            <v>624900</v>
          </cell>
          <cell r="V192">
            <v>7498800</v>
          </cell>
          <cell r="W192" t="str">
            <v>CV. Marsatu Jaya Badiri</v>
          </cell>
          <cell r="X192" t="str">
            <v>Marusaha Simanjuntak</v>
          </cell>
          <cell r="Y192" t="str">
            <v>085277086701</v>
          </cell>
          <cell r="Z192" t="str">
            <v>Jl. Oswald Siahaan No. 6A. Aek Tolang Pandan</v>
          </cell>
          <cell r="AG192">
            <v>2</v>
          </cell>
        </row>
        <row r="193">
          <cell r="A193">
            <v>191</v>
          </cell>
          <cell r="B193" t="str">
            <v>44</v>
          </cell>
          <cell r="C193" t="str">
            <v>44</v>
          </cell>
          <cell r="D193" t="str">
            <v>BNU22</v>
          </cell>
          <cell r="E193">
            <v>192</v>
          </cell>
          <cell r="F193" t="str">
            <v>44</v>
          </cell>
          <cell r="G193">
            <v>45323</v>
          </cell>
          <cell r="H193">
            <v>45326</v>
          </cell>
          <cell r="I193">
            <v>45328</v>
          </cell>
          <cell r="J193">
            <v>45328</v>
          </cell>
          <cell r="K193">
            <v>45329</v>
          </cell>
          <cell r="L193" t="str">
            <v>5.1.02.03.03.00
10</v>
          </cell>
          <cell r="M193" t="str">
            <v>05.08.</v>
          </cell>
          <cell r="N193" t="str">
            <v>05.08.05.</v>
          </cell>
          <cell r="O193" t="str">
            <v>Pengadaan Gagang Pintu Satu Set</v>
          </cell>
          <cell r="P193" t="str">
            <v>Pengadaan Gagang Pintu Satu Set</v>
          </cell>
          <cell r="Q193" t="str">
            <v>Sarana Prsasrana</v>
          </cell>
          <cell r="S193">
            <v>15</v>
          </cell>
          <cell r="T193" t="str">
            <v>buah</v>
          </cell>
          <cell r="U193">
            <v>650000</v>
          </cell>
          <cell r="V193">
            <v>9750000</v>
          </cell>
          <cell r="W193" t="str">
            <v>CV. Marsatu Jaya Badiri</v>
          </cell>
          <cell r="X193" t="str">
            <v>Marusaha Simanjuntak</v>
          </cell>
          <cell r="Y193" t="str">
            <v>085277086701</v>
          </cell>
          <cell r="Z193" t="str">
            <v>Jl. Oswald Siahaan No. 6A. Aek Tolang Pandan</v>
          </cell>
          <cell r="AG193">
            <v>2</v>
          </cell>
        </row>
        <row r="194">
          <cell r="A194">
            <v>192</v>
          </cell>
          <cell r="B194" t="str">
            <v>45</v>
          </cell>
          <cell r="C194" t="str">
            <v>45</v>
          </cell>
          <cell r="D194" t="str">
            <v>BPU26</v>
          </cell>
          <cell r="E194">
            <v>193</v>
          </cell>
          <cell r="F194" t="str">
            <v>45</v>
          </cell>
          <cell r="G194">
            <v>45326</v>
          </cell>
          <cell r="H194">
            <v>45327</v>
          </cell>
          <cell r="I194">
            <v>45327</v>
          </cell>
          <cell r="J194">
            <v>45327</v>
          </cell>
          <cell r="K194">
            <v>45341</v>
          </cell>
          <cell r="L194" t="str">
            <v>5.1.02.01.01.00
52</v>
          </cell>
          <cell r="M194" t="str">
            <v>03.03.</v>
          </cell>
          <cell r="N194" t="str">
            <v>03.03.08.</v>
          </cell>
          <cell r="O194" t="str">
            <v>Kudapan pada Kegiatan Rapat Penyusunan Program Kesiswaan TP 2024/2025</v>
          </cell>
          <cell r="P194" t="str">
            <v>Kue Kotak</v>
          </cell>
          <cell r="Q194" t="str">
            <v>Kudapan</v>
          </cell>
          <cell r="R194" t="str">
            <v>Kue (bahan tepung terigu, gula, telur, mentega; berat 100gr, panjang 15cm, lebar 8 cm)</v>
          </cell>
          <cell r="S194">
            <v>90</v>
          </cell>
          <cell r="T194" t="str">
            <v>kotak</v>
          </cell>
          <cell r="U194">
            <v>15000</v>
          </cell>
          <cell r="V194">
            <v>1350000</v>
          </cell>
          <cell r="W194" t="str">
            <v>Rumah Roti Helena</v>
          </cell>
          <cell r="X194" t="str">
            <v>Fudi Supiyanto</v>
          </cell>
          <cell r="Y194" t="str">
            <v>082164895397</v>
          </cell>
          <cell r="Z194" t="str">
            <v>Jl. Jend A. Yani No. 89 Kelurahan Pasar Telukdalam - Nias Selatan</v>
          </cell>
          <cell r="AG194">
            <v>2</v>
          </cell>
        </row>
        <row r="195">
          <cell r="A195">
            <v>193</v>
          </cell>
          <cell r="B195" t="str">
            <v>46</v>
          </cell>
          <cell r="C195" t="str">
            <v>46</v>
          </cell>
          <cell r="D195" t="str">
            <v>BPU27</v>
          </cell>
          <cell r="E195">
            <v>194</v>
          </cell>
          <cell r="F195" t="str">
            <v>46</v>
          </cell>
          <cell r="G195">
            <v>45326</v>
          </cell>
          <cell r="H195">
            <v>45327</v>
          </cell>
          <cell r="I195">
            <v>45327</v>
          </cell>
          <cell r="J195">
            <v>45327</v>
          </cell>
          <cell r="K195">
            <v>45341</v>
          </cell>
          <cell r="L195" t="str">
            <v>5.1.02.01.01.00
52</v>
          </cell>
          <cell r="M195" t="str">
            <v>03.03.</v>
          </cell>
          <cell r="N195" t="str">
            <v>03.03.08.</v>
          </cell>
          <cell r="O195" t="str">
            <v>Konsumsi pada Kegiatan Rapat Penyusunan Program Kesiswaan TP 2024/2025</v>
          </cell>
          <cell r="P195" t="str">
            <v>Nasi Kotak</v>
          </cell>
          <cell r="Q195" t="str">
            <v>Konsumsi</v>
          </cell>
          <cell r="R195" t="str">
            <v>Nasi putih;Sop daging; Sayur; Berat 1000gr; Dimensi; (PxLxT) 25cmx25cmx10cm</v>
          </cell>
          <cell r="S195">
            <v>90</v>
          </cell>
          <cell r="T195" t="str">
            <v>kotak</v>
          </cell>
          <cell r="U195">
            <v>40000</v>
          </cell>
          <cell r="V195">
            <v>3600000</v>
          </cell>
          <cell r="W195" t="str">
            <v>Resto JFC Esther</v>
          </cell>
          <cell r="X195" t="str">
            <v>Limaati Daeli</v>
          </cell>
          <cell r="Y195" t="str">
            <v>085297578868</v>
          </cell>
          <cell r="Z195" t="str">
            <v>Jl. Saonigeho Km. 5 Telukdalam, Kab. Nias Selatan</v>
          </cell>
          <cell r="AG195">
            <v>2</v>
          </cell>
        </row>
        <row r="196">
          <cell r="A196">
            <v>194</v>
          </cell>
          <cell r="B196" t="str">
            <v>47</v>
          </cell>
          <cell r="C196" t="str">
            <v>47</v>
          </cell>
          <cell r="D196" t="str">
            <v>BPU28</v>
          </cell>
          <cell r="E196">
            <v>195</v>
          </cell>
          <cell r="F196" t="str">
            <v>47</v>
          </cell>
          <cell r="G196">
            <v>45338</v>
          </cell>
          <cell r="H196">
            <v>45339</v>
          </cell>
          <cell r="I196">
            <v>45339</v>
          </cell>
          <cell r="J196">
            <v>45339</v>
          </cell>
          <cell r="K196">
            <v>45341</v>
          </cell>
          <cell r="L196" t="str">
            <v>5.1.02.01.01.00
26</v>
          </cell>
          <cell r="M196" t="str">
            <v>03.03.</v>
          </cell>
          <cell r="N196" t="str">
            <v>03.03.21.</v>
          </cell>
          <cell r="O196" t="str">
            <v>Spanduk Uk. 1 x 6 meter-</v>
          </cell>
          <cell r="P196" t="str">
            <v>Spanduk Uk. 1 x 6 meter-</v>
          </cell>
          <cell r="Q196" t="str">
            <v>Percetakan</v>
          </cell>
          <cell r="R196" t="str">
            <v>Spanduk (Ukuran 2 X 4 m)</v>
          </cell>
          <cell r="S196">
            <v>2</v>
          </cell>
          <cell r="T196" t="str">
            <v>buah</v>
          </cell>
          <cell r="U196">
            <v>300000</v>
          </cell>
          <cell r="V196">
            <v>600000</v>
          </cell>
          <cell r="W196" t="str">
            <v>UD. Balizato</v>
          </cell>
          <cell r="X196" t="str">
            <v>Pieter Buala P. Loi</v>
          </cell>
          <cell r="Y196" t="str">
            <v>082166506229</v>
          </cell>
          <cell r="Z196" t="str">
            <v>Jl. Pasir Putih Pasar Telukdalam, Telukdalam Kab. Nias Selatan</v>
          </cell>
          <cell r="AG196">
            <v>2</v>
          </cell>
        </row>
        <row r="197">
          <cell r="A197">
            <v>195</v>
          </cell>
          <cell r="B197" t="str">
            <v>48</v>
          </cell>
          <cell r="C197" t="str">
            <v>48</v>
          </cell>
          <cell r="D197" t="str">
            <v>BPU29</v>
          </cell>
          <cell r="E197">
            <v>196</v>
          </cell>
          <cell r="F197" t="str">
            <v>48</v>
          </cell>
          <cell r="G197">
            <v>45338</v>
          </cell>
          <cell r="H197">
            <v>45339</v>
          </cell>
          <cell r="I197">
            <v>45339</v>
          </cell>
          <cell r="J197">
            <v>45339</v>
          </cell>
          <cell r="K197">
            <v>45341</v>
          </cell>
          <cell r="L197" t="str">
            <v>5.1.02.01.01.00
52</v>
          </cell>
          <cell r="M197" t="str">
            <v>04.06.</v>
          </cell>
          <cell r="N197" t="str">
            <v>04.06.07.</v>
          </cell>
          <cell r="O197" t="str">
            <v>Kudapan pada Kegiatan Bimtek Tenaga Pelaksana Sekolah (Tenaga Ekstrakurikuler, TU, Laboratorium, Perustakaan, dan UKS)</v>
          </cell>
          <cell r="P197" t="str">
            <v>Kue Kotak</v>
          </cell>
          <cell r="Q197" t="str">
            <v>Kudapan</v>
          </cell>
          <cell r="R197" t="str">
            <v>Kue (bahan tepung terigu, gula, telur, mentega; berat 100gr, panjang 15cm, lebar 8 cm)</v>
          </cell>
          <cell r="S197">
            <v>360</v>
          </cell>
          <cell r="T197" t="str">
            <v>kotak</v>
          </cell>
          <cell r="U197">
            <v>15000</v>
          </cell>
          <cell r="V197">
            <v>5400000</v>
          </cell>
          <cell r="W197" t="str">
            <v>Rumah Roti Helena</v>
          </cell>
          <cell r="X197" t="str">
            <v>Fudi Supiyanto</v>
          </cell>
          <cell r="Y197" t="str">
            <v>082164895397</v>
          </cell>
          <cell r="Z197" t="str">
            <v>Jl. Jend A. Yani No. 89 Kelurahan Pasar Telukdalam - Nias Selatan</v>
          </cell>
          <cell r="AG197">
            <v>2</v>
          </cell>
        </row>
        <row r="198">
          <cell r="A198">
            <v>196</v>
          </cell>
          <cell r="B198" t="str">
            <v>49</v>
          </cell>
          <cell r="C198" t="str">
            <v>49</v>
          </cell>
          <cell r="D198" t="str">
            <v>BPU30</v>
          </cell>
          <cell r="E198">
            <v>197</v>
          </cell>
          <cell r="F198" t="str">
            <v>49</v>
          </cell>
          <cell r="G198">
            <v>45338</v>
          </cell>
          <cell r="H198">
            <v>45339</v>
          </cell>
          <cell r="I198">
            <v>45339</v>
          </cell>
          <cell r="J198">
            <v>45339</v>
          </cell>
          <cell r="K198">
            <v>45341</v>
          </cell>
          <cell r="L198" t="str">
            <v>5.1.02.01.01.00
52</v>
          </cell>
          <cell r="M198" t="str">
            <v>04.06.</v>
          </cell>
          <cell r="N198" t="str">
            <v>04.06.07.</v>
          </cell>
          <cell r="O198" t="str">
            <v>Konsumsi pada Kegiatan Bimtek Tenaga Pelaksana Sekolah (Tenaga Ekstrakurikuler, TU, Laboratorium, Perustakaan, dan UKS)</v>
          </cell>
          <cell r="P198" t="str">
            <v>Nasi Kotak</v>
          </cell>
          <cell r="Q198" t="str">
            <v>Konsumsi</v>
          </cell>
          <cell r="R198" t="str">
            <v>Nasi putih;Sop daging; Sayur; Berat 1000gr; Dimensi; (PxLxT) 25cmx25cmx10cm</v>
          </cell>
          <cell r="S198">
            <v>180</v>
          </cell>
          <cell r="T198" t="str">
            <v>kotak</v>
          </cell>
          <cell r="U198">
            <v>40000</v>
          </cell>
          <cell r="V198">
            <v>7200000</v>
          </cell>
          <cell r="W198" t="str">
            <v>Resto JFC Esther</v>
          </cell>
          <cell r="X198" t="str">
            <v>Limaati Daeli</v>
          </cell>
          <cell r="Y198" t="str">
            <v>085297578868</v>
          </cell>
          <cell r="Z198" t="str">
            <v>Jl. Saonigeho Km. 5 Telukdalam, Kab. Nias Selatan</v>
          </cell>
          <cell r="AG198">
            <v>2</v>
          </cell>
        </row>
        <row r="199">
          <cell r="A199">
            <v>197</v>
          </cell>
          <cell r="B199" t="str">
            <v>50</v>
          </cell>
          <cell r="C199" t="str">
            <v>50</v>
          </cell>
          <cell r="D199" t="str">
            <v>BPU31</v>
          </cell>
          <cell r="E199">
            <v>198</v>
          </cell>
          <cell r="F199" t="str">
            <v>50</v>
          </cell>
          <cell r="G199">
            <v>45341</v>
          </cell>
          <cell r="H199">
            <v>45341</v>
          </cell>
          <cell r="I199">
            <v>45341</v>
          </cell>
          <cell r="J199">
            <v>45341</v>
          </cell>
          <cell r="K199">
            <v>45341</v>
          </cell>
          <cell r="L199" t="str">
            <v>5.1.02.02.01.00
61</v>
          </cell>
          <cell r="M199" t="str">
            <v>06.07.</v>
          </cell>
          <cell r="N199" t="str">
            <v>06.07.01.</v>
          </cell>
          <cell r="O199" t="str">
            <v>Biaya Rekening Listrik--</v>
          </cell>
          <cell r="P199" t="str">
            <v>Biaya Rekening Listrik--</v>
          </cell>
          <cell r="Q199" t="str">
            <v>Jasa PLN</v>
          </cell>
          <cell r="R199" t="str">
            <v>Jasa Listrik 4400 VA</v>
          </cell>
          <cell r="S199">
            <v>1</v>
          </cell>
          <cell r="T199" t="str">
            <v>bulan</v>
          </cell>
          <cell r="U199">
            <v>2000000</v>
          </cell>
          <cell r="V199">
            <v>1360780</v>
          </cell>
          <cell r="W199" t="str">
            <v>PLN</v>
          </cell>
          <cell r="X199" t="str">
            <v>Riama Siahaan</v>
          </cell>
          <cell r="Y199" t="str">
            <v>082370389806</v>
          </cell>
          <cell r="Z199" t="str">
            <v>Desa Fanayama, Kec. Fanayama, Kab. Nias Selatan</v>
          </cell>
          <cell r="AG199">
            <v>2</v>
          </cell>
        </row>
        <row r="200">
          <cell r="A200">
            <v>198</v>
          </cell>
          <cell r="B200" t="str">
            <v>51</v>
          </cell>
          <cell r="C200" t="str">
            <v>51</v>
          </cell>
          <cell r="D200" t="str">
            <v>BPU32</v>
          </cell>
          <cell r="E200">
            <v>199</v>
          </cell>
          <cell r="F200" t="str">
            <v>51</v>
          </cell>
          <cell r="G200">
            <v>45341</v>
          </cell>
          <cell r="H200">
            <v>45341</v>
          </cell>
          <cell r="I200">
            <v>45341</v>
          </cell>
          <cell r="J200">
            <v>45341</v>
          </cell>
          <cell r="K200">
            <v>45341</v>
          </cell>
          <cell r="L200" t="str">
            <v>5.1.02.02.01.00
63</v>
          </cell>
          <cell r="M200" t="str">
            <v>06.07.</v>
          </cell>
          <cell r="N200" t="str">
            <v>06.07.05.</v>
          </cell>
          <cell r="O200" t="str">
            <v>Biaya Langganan Internet--</v>
          </cell>
          <cell r="P200" t="str">
            <v>Biaya Langganan Internet--</v>
          </cell>
          <cell r="Q200" t="str">
            <v>Jasa Internet</v>
          </cell>
          <cell r="R200" t="str">
            <v>Jasa Indihome Unlimited</v>
          </cell>
          <cell r="S200">
            <v>1</v>
          </cell>
          <cell r="T200" t="str">
            <v>bulan</v>
          </cell>
          <cell r="U200">
            <v>1500000</v>
          </cell>
          <cell r="V200">
            <v>1179100</v>
          </cell>
          <cell r="W200" t="str">
            <v>Indihome</v>
          </cell>
          <cell r="X200" t="str">
            <v>Riama Siahaan</v>
          </cell>
          <cell r="Y200" t="str">
            <v>082370389806</v>
          </cell>
          <cell r="Z200" t="str">
            <v>Desa Fanayama, Kec. Fanayama, Kab. Nias Selatan</v>
          </cell>
          <cell r="AG200">
            <v>2</v>
          </cell>
        </row>
        <row r="201">
          <cell r="A201">
            <v>199</v>
          </cell>
          <cell r="B201" t="str">
            <v>52</v>
          </cell>
          <cell r="C201" t="str">
            <v>52</v>
          </cell>
          <cell r="D201" t="str">
            <v>BPU33</v>
          </cell>
          <cell r="E201">
            <v>200</v>
          </cell>
          <cell r="F201" t="str">
            <v>52</v>
          </cell>
          <cell r="G201">
            <v>45323</v>
          </cell>
          <cell r="H201">
            <v>45323</v>
          </cell>
          <cell r="I201">
            <v>45348</v>
          </cell>
          <cell r="J201">
            <v>45348</v>
          </cell>
          <cell r="K201">
            <v>45348</v>
          </cell>
          <cell r="L201" t="str">
            <v>5.1.02.01.01.00
26</v>
          </cell>
          <cell r="M201" t="str">
            <v>06.05.</v>
          </cell>
          <cell r="N201" t="str">
            <v>06.05.08.</v>
          </cell>
          <cell r="O201" t="str">
            <v>Foto Copy Filio dan Kuarto</v>
          </cell>
          <cell r="P201" t="str">
            <v>Foto Copy Filio dan Kuarto</v>
          </cell>
          <cell r="Q201" t="str">
            <v>Penggandaan</v>
          </cell>
          <cell r="R201" t="str">
            <v>Fotocopy ukuran A4/F4</v>
          </cell>
          <cell r="S201">
            <v>4739</v>
          </cell>
          <cell r="T201" t="str">
            <v>lembar</v>
          </cell>
          <cell r="U201">
            <v>350</v>
          </cell>
          <cell r="V201">
            <v>1732500</v>
          </cell>
          <cell r="W201" t="str">
            <v>UD. JOSUA</v>
          </cell>
          <cell r="X201" t="str">
            <v>Gestiwan Zebua</v>
          </cell>
          <cell r="Y201" t="str">
            <v>082166506229</v>
          </cell>
          <cell r="Z201" t="str">
            <v>Jl. Pasir Putih Pasar Telukdalam, Telukdalam Kab. Nias Selatan</v>
          </cell>
          <cell r="AG201">
            <v>2</v>
          </cell>
        </row>
        <row r="202">
          <cell r="A202">
            <v>200</v>
          </cell>
          <cell r="B202" t="str">
            <v>53</v>
          </cell>
          <cell r="C202" t="str">
            <v>53</v>
          </cell>
          <cell r="D202" t="str">
            <v>BPU34</v>
          </cell>
          <cell r="E202">
            <v>201</v>
          </cell>
          <cell r="F202" t="str">
            <v>53</v>
          </cell>
          <cell r="G202">
            <v>45348</v>
          </cell>
          <cell r="H202">
            <v>45348</v>
          </cell>
          <cell r="I202">
            <v>45348</v>
          </cell>
          <cell r="J202">
            <v>45348</v>
          </cell>
          <cell r="K202">
            <v>45348</v>
          </cell>
          <cell r="L202" t="str">
            <v>5.1.02.01.01.00
52</v>
          </cell>
          <cell r="M202" t="str">
            <v>05.05.</v>
          </cell>
          <cell r="N202" t="str">
            <v>05.05.02.</v>
          </cell>
          <cell r="O202" t="str">
            <v>Air Mineral pada pelaksanaan kegiatan bulanan Gerakan Bersih Lingkungan Sekolah</v>
          </cell>
          <cell r="P202" t="str">
            <v>Aqua Cup</v>
          </cell>
          <cell r="Q202" t="str">
            <v>Air Mineral</v>
          </cell>
          <cell r="R202" t="str">
            <v>Aqua Cup (Diameter: 6.3cm. Tinggi: 9.5cm)</v>
          </cell>
          <cell r="S202">
            <v>25</v>
          </cell>
          <cell r="T202" t="str">
            <v>dus</v>
          </cell>
          <cell r="U202">
            <v>50000</v>
          </cell>
          <cell r="V202">
            <v>1250000</v>
          </cell>
          <cell r="W202" t="str">
            <v>Rumah Roti Helena</v>
          </cell>
          <cell r="X202" t="str">
            <v>Fudi Supiyanto</v>
          </cell>
          <cell r="Y202" t="str">
            <v>082164895397</v>
          </cell>
          <cell r="Z202" t="str">
            <v>Jl. Jend A. Yani No. 89 Kelurahan Pasar Telukdalam - Nias Selatan</v>
          </cell>
          <cell r="AG202">
            <v>2</v>
          </cell>
        </row>
        <row r="203">
          <cell r="A203">
            <v>201</v>
          </cell>
          <cell r="B203" t="str">
            <v>54</v>
          </cell>
          <cell r="C203" t="str">
            <v>54</v>
          </cell>
          <cell r="D203" t="str">
            <v>BPU35</v>
          </cell>
          <cell r="E203">
            <v>202</v>
          </cell>
          <cell r="F203" t="str">
            <v>54</v>
          </cell>
          <cell r="G203">
            <v>45348</v>
          </cell>
          <cell r="H203">
            <v>45349</v>
          </cell>
          <cell r="I203">
            <v>45349</v>
          </cell>
          <cell r="J203">
            <v>45349</v>
          </cell>
          <cell r="K203">
            <v>45349</v>
          </cell>
          <cell r="L203" t="str">
            <v>5.1.02.02.01.00
27</v>
          </cell>
          <cell r="M203" t="str">
            <v>06.05.</v>
          </cell>
          <cell r="N203" t="str">
            <v>06.05.03.</v>
          </cell>
          <cell r="O203" t="str">
            <v>Belanja Jasa Tenaga Operator Komputer--</v>
          </cell>
          <cell r="P203" t="str">
            <v>Belanja Jasa Tenaga Operator Komputer--</v>
          </cell>
          <cell r="Q203" t="str">
            <v>Jasa Tenaga Operator</v>
          </cell>
          <cell r="R203" t="str">
            <v xml:space="preserve"> Biaya Jasa Operator Sekolah</v>
          </cell>
          <cell r="S203">
            <v>1</v>
          </cell>
          <cell r="T203" t="str">
            <v>bulan</v>
          </cell>
          <cell r="U203">
            <v>1000000</v>
          </cell>
          <cell r="V203">
            <v>1000000</v>
          </cell>
          <cell r="W203" t="str">
            <v>Riama Siahaan</v>
          </cell>
          <cell r="X203" t="str">
            <v>Riama Siahaan</v>
          </cell>
          <cell r="Y203" t="str">
            <v>082370389806</v>
          </cell>
          <cell r="Z203" t="str">
            <v>Desa Fanayama, Kec. Fanayama, Kab. Nias Selatan</v>
          </cell>
          <cell r="AG203">
            <v>2</v>
          </cell>
        </row>
        <row r="204">
          <cell r="A204">
            <v>202</v>
          </cell>
          <cell r="B204" t="str">
            <v>55</v>
          </cell>
          <cell r="C204" t="str">
            <v>55</v>
          </cell>
          <cell r="D204" t="str">
            <v>BNU23</v>
          </cell>
          <cell r="E204">
            <v>203</v>
          </cell>
          <cell r="F204" t="str">
            <v>55</v>
          </cell>
          <cell r="G204">
            <v>45348</v>
          </cell>
          <cell r="H204">
            <v>45349</v>
          </cell>
          <cell r="I204">
            <v>45349</v>
          </cell>
          <cell r="J204">
            <v>45349</v>
          </cell>
          <cell r="K204">
            <v>45349</v>
          </cell>
          <cell r="L204" t="str">
            <v>5.1.02.02.01.00
13</v>
          </cell>
          <cell r="M204" t="str">
            <v>07.12.</v>
          </cell>
          <cell r="N204" t="str">
            <v>07.12.01.</v>
          </cell>
          <cell r="O204" t="str">
            <v>Selatieli Nehe</v>
          </cell>
          <cell r="P204" t="str">
            <v>Selatieli Nehe</v>
          </cell>
          <cell r="Q204" t="str">
            <v>Jasa Tenaga Pengajar</v>
          </cell>
          <cell r="R204" t="str">
            <v>Honor Guru Tidak Tetap Sekolah (GTTS)</v>
          </cell>
          <cell r="S204">
            <v>33</v>
          </cell>
          <cell r="T204" t="str">
            <v>jpl</v>
          </cell>
          <cell r="U204">
            <v>75000</v>
          </cell>
          <cell r="V204">
            <v>2475000</v>
          </cell>
          <cell r="W204" t="str">
            <v>GTTS dan PTTS</v>
          </cell>
          <cell r="X204">
            <v>0</v>
          </cell>
          <cell r="Y204">
            <v>0</v>
          </cell>
          <cell r="Z204">
            <v>0</v>
          </cell>
          <cell r="AG204">
            <v>2</v>
          </cell>
        </row>
        <row r="205">
          <cell r="A205">
            <v>203</v>
          </cell>
          <cell r="B205" t="str">
            <v>56</v>
          </cell>
          <cell r="C205" t="str">
            <v>56</v>
          </cell>
          <cell r="D205" t="str">
            <v>BNU24</v>
          </cell>
          <cell r="E205">
            <v>204</v>
          </cell>
          <cell r="F205" t="str">
            <v>56</v>
          </cell>
          <cell r="G205">
            <v>45348</v>
          </cell>
          <cell r="H205">
            <v>45349</v>
          </cell>
          <cell r="I205">
            <v>45349</v>
          </cell>
          <cell r="J205">
            <v>45349</v>
          </cell>
          <cell r="K205">
            <v>45349</v>
          </cell>
          <cell r="L205" t="str">
            <v>5.1.02.02.01.00
13</v>
          </cell>
          <cell r="M205" t="str">
            <v>07.12.</v>
          </cell>
          <cell r="N205" t="str">
            <v>07.12.01.</v>
          </cell>
          <cell r="O205" t="str">
            <v>Arifin Metodi Bate'e</v>
          </cell>
          <cell r="P205" t="str">
            <v>Arifin Metodi Bate'e</v>
          </cell>
          <cell r="Q205" t="str">
            <v>Jasa Tenaga Pengajar</v>
          </cell>
          <cell r="R205" t="str">
            <v>Honor Guru Tidak Tetap Sekolah (GTTS)</v>
          </cell>
          <cell r="S205">
            <v>34</v>
          </cell>
          <cell r="T205" t="str">
            <v>jpl</v>
          </cell>
          <cell r="U205">
            <v>75000</v>
          </cell>
          <cell r="V205">
            <v>2550000</v>
          </cell>
          <cell r="W205" t="str">
            <v>GTTS dan PTTS</v>
          </cell>
          <cell r="X205">
            <v>0</v>
          </cell>
          <cell r="Y205">
            <v>0</v>
          </cell>
          <cell r="Z205">
            <v>0</v>
          </cell>
          <cell r="AG205">
            <v>2</v>
          </cell>
        </row>
        <row r="206">
          <cell r="A206">
            <v>204</v>
          </cell>
          <cell r="B206" t="str">
            <v>57</v>
          </cell>
          <cell r="C206" t="str">
            <v>57</v>
          </cell>
          <cell r="D206" t="str">
            <v>BNU25</v>
          </cell>
          <cell r="E206">
            <v>205</v>
          </cell>
          <cell r="F206" t="str">
            <v>57</v>
          </cell>
          <cell r="G206">
            <v>45348</v>
          </cell>
          <cell r="H206">
            <v>45349</v>
          </cell>
          <cell r="I206">
            <v>45349</v>
          </cell>
          <cell r="J206">
            <v>45349</v>
          </cell>
          <cell r="K206">
            <v>45349</v>
          </cell>
          <cell r="L206" t="str">
            <v>5.1.02.02.01.00
13</v>
          </cell>
          <cell r="M206" t="str">
            <v>07.12.</v>
          </cell>
          <cell r="N206" t="str">
            <v>07.12.01.</v>
          </cell>
          <cell r="O206" t="str">
            <v>Ferdiwati Wau</v>
          </cell>
          <cell r="P206" t="str">
            <v>Ferdiwati Wau</v>
          </cell>
          <cell r="Q206" t="str">
            <v>Jasa Tenaga Pengajar</v>
          </cell>
          <cell r="R206" t="str">
            <v>Honor Guru Tidak Tetap Sekolah (GTTS)</v>
          </cell>
          <cell r="S206">
            <v>30</v>
          </cell>
          <cell r="T206" t="str">
            <v>jpl</v>
          </cell>
          <cell r="U206">
            <v>75000</v>
          </cell>
          <cell r="V206">
            <v>2250000</v>
          </cell>
          <cell r="W206" t="str">
            <v>GTTS dan PTTS</v>
          </cell>
          <cell r="X206">
            <v>0</v>
          </cell>
          <cell r="Y206">
            <v>0</v>
          </cell>
          <cell r="Z206">
            <v>0</v>
          </cell>
          <cell r="AG206">
            <v>2</v>
          </cell>
        </row>
        <row r="207">
          <cell r="A207">
            <v>205</v>
          </cell>
          <cell r="B207" t="str">
            <v>58</v>
          </cell>
          <cell r="C207" t="str">
            <v>58</v>
          </cell>
          <cell r="D207" t="str">
            <v>BNU26</v>
          </cell>
          <cell r="E207">
            <v>206</v>
          </cell>
          <cell r="F207" t="str">
            <v>58</v>
          </cell>
          <cell r="G207">
            <v>45348</v>
          </cell>
          <cell r="H207">
            <v>45349</v>
          </cell>
          <cell r="I207">
            <v>45349</v>
          </cell>
          <cell r="J207">
            <v>45349</v>
          </cell>
          <cell r="K207">
            <v>45349</v>
          </cell>
          <cell r="L207" t="str">
            <v>5.1.02.02.01.00
13</v>
          </cell>
          <cell r="M207" t="str">
            <v>07.12.</v>
          </cell>
          <cell r="N207" t="str">
            <v>07.12.01.</v>
          </cell>
          <cell r="O207" t="str">
            <v>Noni Alfanita Sarumaha, S.Pd</v>
          </cell>
          <cell r="P207" t="str">
            <v>Noni Alfanita Sarumaha, S.Pd</v>
          </cell>
          <cell r="Q207" t="str">
            <v>Jasa Tenaga Pengajar</v>
          </cell>
          <cell r="R207" t="str">
            <v>Honor Guru Tidak Tetap Sekolah (GTTS)</v>
          </cell>
          <cell r="S207">
            <v>33</v>
          </cell>
          <cell r="T207" t="str">
            <v>jpl</v>
          </cell>
          <cell r="U207">
            <v>75000</v>
          </cell>
          <cell r="V207">
            <v>2475000</v>
          </cell>
          <cell r="W207" t="str">
            <v>GTTS dan PTTS</v>
          </cell>
          <cell r="X207">
            <v>0</v>
          </cell>
          <cell r="Y207">
            <v>0</v>
          </cell>
          <cell r="Z207">
            <v>0</v>
          </cell>
          <cell r="AG207">
            <v>2</v>
          </cell>
        </row>
        <row r="208">
          <cell r="A208">
            <v>206</v>
          </cell>
          <cell r="B208" t="str">
            <v>59</v>
          </cell>
          <cell r="C208" t="str">
            <v>59</v>
          </cell>
          <cell r="D208" t="str">
            <v>BNU27</v>
          </cell>
          <cell r="E208">
            <v>207</v>
          </cell>
          <cell r="F208" t="str">
            <v>59</v>
          </cell>
          <cell r="G208">
            <v>45348</v>
          </cell>
          <cell r="H208">
            <v>45349</v>
          </cell>
          <cell r="I208">
            <v>45349</v>
          </cell>
          <cell r="J208">
            <v>45349</v>
          </cell>
          <cell r="K208">
            <v>45349</v>
          </cell>
          <cell r="L208" t="str">
            <v>5.1.02.02.01.00
13</v>
          </cell>
          <cell r="M208" t="str">
            <v>07.12.</v>
          </cell>
          <cell r="N208" t="str">
            <v>07.12.01.</v>
          </cell>
          <cell r="O208" t="str">
            <v>EMILA HAFO</v>
          </cell>
          <cell r="P208" t="str">
            <v>EMILA HAFO</v>
          </cell>
          <cell r="Q208" t="str">
            <v>Jasa Tenaga Pengajar</v>
          </cell>
          <cell r="R208" t="str">
            <v>Honor Guru Tidak Tetap Sekolah (GTTS)</v>
          </cell>
          <cell r="S208">
            <v>28</v>
          </cell>
          <cell r="T208" t="str">
            <v>jpl</v>
          </cell>
          <cell r="U208">
            <v>75000</v>
          </cell>
          <cell r="V208">
            <v>2100000</v>
          </cell>
          <cell r="W208" t="str">
            <v>GTTS dan PTTS</v>
          </cell>
          <cell r="X208">
            <v>0</v>
          </cell>
          <cell r="Y208">
            <v>0</v>
          </cell>
          <cell r="Z208">
            <v>0</v>
          </cell>
          <cell r="AG208">
            <v>2</v>
          </cell>
        </row>
        <row r="209">
          <cell r="A209">
            <v>207</v>
          </cell>
          <cell r="B209" t="str">
            <v>60</v>
          </cell>
          <cell r="C209" t="str">
            <v>60</v>
          </cell>
          <cell r="D209" t="str">
            <v>BNU28</v>
          </cell>
          <cell r="E209">
            <v>208</v>
          </cell>
          <cell r="F209" t="str">
            <v>60</v>
          </cell>
          <cell r="G209">
            <v>45348</v>
          </cell>
          <cell r="H209">
            <v>45349</v>
          </cell>
          <cell r="I209">
            <v>45349</v>
          </cell>
          <cell r="J209">
            <v>45349</v>
          </cell>
          <cell r="K209">
            <v>45349</v>
          </cell>
          <cell r="L209" t="str">
            <v>5.1.02.02.01.00
13</v>
          </cell>
          <cell r="M209" t="str">
            <v>07.12.</v>
          </cell>
          <cell r="N209" t="str">
            <v>07.12.01.</v>
          </cell>
          <cell r="O209" t="str">
            <v>Asep Nurhidayat</v>
          </cell>
          <cell r="P209" t="str">
            <v>Asep Nurhidayat</v>
          </cell>
          <cell r="Q209" t="str">
            <v>Jasa Tenaga Pengajar</v>
          </cell>
          <cell r="R209" t="str">
            <v>Honor Guru Tidak Tetap Sekolah (GTTS)</v>
          </cell>
          <cell r="S209">
            <v>33</v>
          </cell>
          <cell r="T209" t="str">
            <v>jpl</v>
          </cell>
          <cell r="U209">
            <v>75000</v>
          </cell>
          <cell r="V209">
            <v>2475000</v>
          </cell>
          <cell r="W209" t="str">
            <v>GTTS dan PTTS</v>
          </cell>
          <cell r="X209">
            <v>0</v>
          </cell>
          <cell r="Y209">
            <v>0</v>
          </cell>
          <cell r="Z209">
            <v>0</v>
          </cell>
          <cell r="AG209">
            <v>2</v>
          </cell>
        </row>
        <row r="210">
          <cell r="A210">
            <v>208</v>
          </cell>
          <cell r="B210" t="str">
            <v>61</v>
          </cell>
          <cell r="C210" t="str">
            <v>61</v>
          </cell>
          <cell r="D210" t="str">
            <v>BNU29</v>
          </cell>
          <cell r="E210">
            <v>209</v>
          </cell>
          <cell r="F210" t="str">
            <v>61</v>
          </cell>
          <cell r="G210">
            <v>45348</v>
          </cell>
          <cell r="H210">
            <v>45349</v>
          </cell>
          <cell r="I210">
            <v>45349</v>
          </cell>
          <cell r="J210">
            <v>45349</v>
          </cell>
          <cell r="K210">
            <v>45349</v>
          </cell>
          <cell r="L210" t="str">
            <v>5.1.02.02.01.00
26</v>
          </cell>
          <cell r="M210" t="str">
            <v>07.12.</v>
          </cell>
          <cell r="N210" t="str">
            <v>07.12.02.</v>
          </cell>
          <cell r="O210" t="str">
            <v>Estera Nehe</v>
          </cell>
          <cell r="P210" t="str">
            <v>Estera Nehe</v>
          </cell>
          <cell r="Q210" t="str">
            <v>Jasa Tenaga TU</v>
          </cell>
          <cell r="R210" t="str">
            <v>Honor Pegawai Tidak Tetap Sekolah (PTTS)</v>
          </cell>
          <cell r="S210">
            <v>1</v>
          </cell>
          <cell r="T210" t="str">
            <v>bulan</v>
          </cell>
          <cell r="U210">
            <v>2000000</v>
          </cell>
          <cell r="V210">
            <v>2000000</v>
          </cell>
          <cell r="W210" t="str">
            <v>GTTS dan PTTS</v>
          </cell>
          <cell r="X210">
            <v>0</v>
          </cell>
          <cell r="Y210">
            <v>0</v>
          </cell>
          <cell r="Z210">
            <v>0</v>
          </cell>
          <cell r="AG210">
            <v>2</v>
          </cell>
        </row>
        <row r="211">
          <cell r="A211">
            <v>209</v>
          </cell>
          <cell r="B211" t="str">
            <v>62</v>
          </cell>
          <cell r="C211" t="str">
            <v>62</v>
          </cell>
          <cell r="D211" t="str">
            <v>BNU30</v>
          </cell>
          <cell r="E211">
            <v>210</v>
          </cell>
          <cell r="F211" t="str">
            <v>62</v>
          </cell>
          <cell r="G211">
            <v>45348</v>
          </cell>
          <cell r="H211">
            <v>45349</v>
          </cell>
          <cell r="I211">
            <v>45349</v>
          </cell>
          <cell r="J211">
            <v>45349</v>
          </cell>
          <cell r="K211">
            <v>45349</v>
          </cell>
          <cell r="L211" t="str">
            <v>5.1.02.02.01.00
26</v>
          </cell>
          <cell r="M211" t="str">
            <v>07.12.</v>
          </cell>
          <cell r="N211" t="str">
            <v>07.12.02.</v>
          </cell>
          <cell r="O211" t="str">
            <v>Hatieli Buulolo</v>
          </cell>
          <cell r="P211" t="str">
            <v>Hatieli Buulolo</v>
          </cell>
          <cell r="Q211" t="str">
            <v>Jasa Tenaga TU</v>
          </cell>
          <cell r="R211" t="str">
            <v>Honor Pegawai Tidak Tetap Sekolah (PTTS)</v>
          </cell>
          <cell r="S211">
            <v>1</v>
          </cell>
          <cell r="T211" t="str">
            <v>bulan</v>
          </cell>
          <cell r="U211">
            <v>2000000</v>
          </cell>
          <cell r="V211">
            <v>2000000</v>
          </cell>
          <cell r="W211" t="str">
            <v>GTTS dan PTTS</v>
          </cell>
          <cell r="X211">
            <v>0</v>
          </cell>
          <cell r="Y211">
            <v>0</v>
          </cell>
          <cell r="Z211">
            <v>0</v>
          </cell>
          <cell r="AG211">
            <v>2</v>
          </cell>
        </row>
        <row r="212">
          <cell r="A212">
            <v>210</v>
          </cell>
          <cell r="B212" t="str">
            <v>63</v>
          </cell>
          <cell r="C212" t="str">
            <v>63</v>
          </cell>
          <cell r="D212" t="str">
            <v>BNU31</v>
          </cell>
          <cell r="E212">
            <v>211</v>
          </cell>
          <cell r="F212" t="str">
            <v>63</v>
          </cell>
          <cell r="G212">
            <v>45348</v>
          </cell>
          <cell r="H212">
            <v>45349</v>
          </cell>
          <cell r="I212">
            <v>45349</v>
          </cell>
          <cell r="J212">
            <v>45349</v>
          </cell>
          <cell r="K212">
            <v>45349</v>
          </cell>
          <cell r="L212" t="str">
            <v>5.1.02.02.01.00
26</v>
          </cell>
          <cell r="M212" t="str">
            <v>07.12.</v>
          </cell>
          <cell r="N212" t="str">
            <v>07.12.02.</v>
          </cell>
          <cell r="O212" t="str">
            <v>David J. Sitinjak</v>
          </cell>
          <cell r="P212" t="str">
            <v>David J. Sitinjak</v>
          </cell>
          <cell r="Q212" t="str">
            <v>Jasa Tenaga TU</v>
          </cell>
          <cell r="R212" t="str">
            <v>Honor Pegawai Tidak Tetap Sekolah (PTTS)</v>
          </cell>
          <cell r="S212">
            <v>1</v>
          </cell>
          <cell r="T212" t="str">
            <v>bulan</v>
          </cell>
          <cell r="U212">
            <v>2000000</v>
          </cell>
          <cell r="V212">
            <v>2000000</v>
          </cell>
          <cell r="W212" t="str">
            <v>GTTS dan PTTS</v>
          </cell>
          <cell r="X212">
            <v>0</v>
          </cell>
          <cell r="Y212">
            <v>0</v>
          </cell>
          <cell r="Z212">
            <v>0</v>
          </cell>
          <cell r="AG212">
            <v>2</v>
          </cell>
        </row>
        <row r="213">
          <cell r="A213">
            <v>211</v>
          </cell>
          <cell r="B213" t="str">
            <v>64</v>
          </cell>
          <cell r="C213" t="str">
            <v>64</v>
          </cell>
          <cell r="D213" t="str">
            <v>BNU32</v>
          </cell>
          <cell r="E213">
            <v>212</v>
          </cell>
          <cell r="F213" t="str">
            <v>64</v>
          </cell>
          <cell r="G213">
            <v>45348</v>
          </cell>
          <cell r="H213">
            <v>45349</v>
          </cell>
          <cell r="I213">
            <v>45349</v>
          </cell>
          <cell r="J213">
            <v>45349</v>
          </cell>
          <cell r="K213">
            <v>45349</v>
          </cell>
          <cell r="L213" t="str">
            <v>5.1.02.02.01.00
26</v>
          </cell>
          <cell r="M213" t="str">
            <v>07.12.</v>
          </cell>
          <cell r="N213" t="str">
            <v>07.12.02.</v>
          </cell>
          <cell r="O213" t="str">
            <v>Siona Ziraluo</v>
          </cell>
          <cell r="P213" t="str">
            <v>Siona Ziraluo</v>
          </cell>
          <cell r="Q213" t="str">
            <v>Jasa Tenaga TU</v>
          </cell>
          <cell r="R213" t="str">
            <v>Honor Pegawai Tidak Tetap Sekolah (PTTS)</v>
          </cell>
          <cell r="S213">
            <v>1</v>
          </cell>
          <cell r="T213" t="str">
            <v>bulan</v>
          </cell>
          <cell r="U213">
            <v>2000000</v>
          </cell>
          <cell r="V213">
            <v>2000000</v>
          </cell>
          <cell r="W213" t="str">
            <v>GTTS dan PTTS</v>
          </cell>
          <cell r="X213">
            <v>0</v>
          </cell>
          <cell r="Y213">
            <v>0</v>
          </cell>
          <cell r="Z213">
            <v>0</v>
          </cell>
          <cell r="AG213">
            <v>2</v>
          </cell>
        </row>
        <row r="214">
          <cell r="A214">
            <v>212</v>
          </cell>
          <cell r="B214" t="str">
            <v>65</v>
          </cell>
          <cell r="C214" t="str">
            <v>65</v>
          </cell>
          <cell r="D214" t="str">
            <v>BNU33</v>
          </cell>
          <cell r="E214">
            <v>213</v>
          </cell>
          <cell r="F214" t="str">
            <v>65</v>
          </cell>
          <cell r="G214">
            <v>45348</v>
          </cell>
          <cell r="H214">
            <v>45349</v>
          </cell>
          <cell r="I214">
            <v>45349</v>
          </cell>
          <cell r="J214">
            <v>45349</v>
          </cell>
          <cell r="K214">
            <v>45349</v>
          </cell>
          <cell r="L214" t="str">
            <v>5.1.02.02.01.00
26</v>
          </cell>
          <cell r="M214" t="str">
            <v>07.12.</v>
          </cell>
          <cell r="N214" t="str">
            <v>07.12.02.</v>
          </cell>
          <cell r="O214" t="str">
            <v>Merdina Ziraluo</v>
          </cell>
          <cell r="P214" t="str">
            <v>Merdina Ziraluo</v>
          </cell>
          <cell r="Q214" t="str">
            <v>Jasa Tenaga TU</v>
          </cell>
          <cell r="R214" t="str">
            <v>Honor Pegawai Tidak Tetap Sekolah (PTTS)</v>
          </cell>
          <cell r="S214">
            <v>1</v>
          </cell>
          <cell r="T214" t="str">
            <v>bulan</v>
          </cell>
          <cell r="U214">
            <v>2000000</v>
          </cell>
          <cell r="V214">
            <v>2000000</v>
          </cell>
          <cell r="W214" t="str">
            <v>GTTS dan PTTS</v>
          </cell>
          <cell r="X214">
            <v>0</v>
          </cell>
          <cell r="Y214">
            <v>0</v>
          </cell>
          <cell r="Z214">
            <v>0</v>
          </cell>
          <cell r="AG214">
            <v>2</v>
          </cell>
        </row>
        <row r="215">
          <cell r="A215">
            <v>213</v>
          </cell>
          <cell r="B215" t="str">
            <v>66</v>
          </cell>
          <cell r="C215" t="str">
            <v>66</v>
          </cell>
          <cell r="D215" t="str">
            <v>BNU34</v>
          </cell>
          <cell r="E215">
            <v>214</v>
          </cell>
          <cell r="F215" t="str">
            <v>66</v>
          </cell>
          <cell r="G215">
            <v>45348</v>
          </cell>
          <cell r="H215">
            <v>45349</v>
          </cell>
          <cell r="I215">
            <v>45349</v>
          </cell>
          <cell r="J215">
            <v>45349</v>
          </cell>
          <cell r="K215">
            <v>45349</v>
          </cell>
          <cell r="L215" t="str">
            <v>5.1.02.02.01.00
30</v>
          </cell>
          <cell r="M215" t="str">
            <v>07.12.</v>
          </cell>
          <cell r="N215" t="str">
            <v>07.12.04.</v>
          </cell>
          <cell r="O215" t="str">
            <v>Fransiskus Lombu</v>
          </cell>
          <cell r="P215" t="str">
            <v>Fransiskus Lombu</v>
          </cell>
          <cell r="Q215" t="str">
            <v>Jasa Tenaga Kebersihan</v>
          </cell>
          <cell r="R215" t="str">
            <v>Honorarius Pegawai Kebersihan Sekolah</v>
          </cell>
          <cell r="S215">
            <v>1</v>
          </cell>
          <cell r="T215" t="str">
            <v>bulan</v>
          </cell>
          <cell r="U215">
            <v>1000000</v>
          </cell>
          <cell r="V215">
            <v>1000000</v>
          </cell>
          <cell r="W215" t="str">
            <v>Pegawai Kebersihan</v>
          </cell>
          <cell r="X215">
            <v>0</v>
          </cell>
          <cell r="AG215">
            <v>2</v>
          </cell>
        </row>
        <row r="216">
          <cell r="A216">
            <v>214</v>
          </cell>
          <cell r="B216" t="str">
            <v>67</v>
          </cell>
          <cell r="C216" t="str">
            <v>67</v>
          </cell>
          <cell r="D216" t="str">
            <v>BPU36</v>
          </cell>
          <cell r="E216">
            <v>215</v>
          </cell>
          <cell r="F216" t="str">
            <v>67</v>
          </cell>
          <cell r="G216">
            <v>45348</v>
          </cell>
          <cell r="H216">
            <v>45349</v>
          </cell>
          <cell r="I216">
            <v>45351</v>
          </cell>
          <cell r="J216">
            <v>45351</v>
          </cell>
          <cell r="K216">
            <v>45351</v>
          </cell>
          <cell r="L216" t="str">
            <v>5.1.02.03.03.00
10</v>
          </cell>
          <cell r="M216" t="str">
            <v>05.08.</v>
          </cell>
          <cell r="N216" t="str">
            <v>05.08.05.</v>
          </cell>
          <cell r="O216" t="str">
            <v>Upah Tukang Perbaikan Pintu dan Jendela Kelas</v>
          </cell>
          <cell r="P216" t="str">
            <v>Upah Tukang Perbaikan Pintu dan Jendela Kelas</v>
          </cell>
          <cell r="Q216" t="str">
            <v>Jasa Pemeliharaan</v>
          </cell>
          <cell r="R216" t="str">
            <v>Jasa Perbaikan Pintu dan Jendela Kelas</v>
          </cell>
          <cell r="S216">
            <v>5</v>
          </cell>
          <cell r="T216" t="str">
            <v>hari</v>
          </cell>
          <cell r="U216">
            <v>300000</v>
          </cell>
          <cell r="V216">
            <v>1500000</v>
          </cell>
          <cell r="W216" t="str">
            <v>Marselinus Bago</v>
          </cell>
          <cell r="X216" t="str">
            <v>Marselinus Bago</v>
          </cell>
          <cell r="Y216" t="str">
            <v>081376852210</v>
          </cell>
          <cell r="AG216">
            <v>2</v>
          </cell>
        </row>
        <row r="217">
          <cell r="A217">
            <v>215</v>
          </cell>
          <cell r="B217" t="str">
            <v>68</v>
          </cell>
          <cell r="C217" t="str">
            <v>68</v>
          </cell>
          <cell r="D217" t="str">
            <v>BPU37</v>
          </cell>
          <cell r="E217">
            <v>216</v>
          </cell>
          <cell r="F217" t="str">
            <v>68</v>
          </cell>
          <cell r="G217">
            <v>45348</v>
          </cell>
          <cell r="H217">
            <v>45349</v>
          </cell>
          <cell r="I217">
            <v>45351</v>
          </cell>
          <cell r="J217">
            <v>45351</v>
          </cell>
          <cell r="K217">
            <v>45351</v>
          </cell>
          <cell r="L217" t="str">
            <v>5.1.02.01.01.00
52</v>
          </cell>
          <cell r="M217" t="str">
            <v>06.05.</v>
          </cell>
          <cell r="N217" t="str">
            <v>06.05.02.</v>
          </cell>
          <cell r="O217" t="str">
            <v>Kudapan Rapat Rutin Bulanan</v>
          </cell>
          <cell r="P217" t="str">
            <v>Kue Kotak</v>
          </cell>
          <cell r="Q217" t="str">
            <v>Kudapan</v>
          </cell>
          <cell r="R217" t="str">
            <v>Kue (bahan tepung terigu, gula, telur, mentega; berat 100gr, panjang 15cm, lebar 8 cm)</v>
          </cell>
          <cell r="S217">
            <v>60</v>
          </cell>
          <cell r="T217" t="str">
            <v>buah</v>
          </cell>
          <cell r="U217">
            <v>15000</v>
          </cell>
          <cell r="V217">
            <v>900000</v>
          </cell>
          <cell r="W217" t="str">
            <v>Rumah Roti Helena</v>
          </cell>
          <cell r="X217" t="str">
            <v>Fudi Supiyanto</v>
          </cell>
          <cell r="Y217" t="str">
            <v>082164895397</v>
          </cell>
          <cell r="Z217" t="str">
            <v>Jl. Jend A. Yani No. 89 Kelurahan Pasar Telukdalam - Nias Selatan</v>
          </cell>
          <cell r="AG217">
            <v>2</v>
          </cell>
        </row>
        <row r="218">
          <cell r="A218">
            <v>216</v>
          </cell>
          <cell r="B218" t="str">
            <v>69</v>
          </cell>
          <cell r="C218" t="str">
            <v>69</v>
          </cell>
          <cell r="D218" t="str">
            <v>BPU38</v>
          </cell>
          <cell r="E218">
            <v>217</v>
          </cell>
          <cell r="F218" t="str">
            <v>69</v>
          </cell>
          <cell r="G218">
            <v>45352</v>
          </cell>
          <cell r="H218">
            <v>45352</v>
          </cell>
          <cell r="I218">
            <v>45352</v>
          </cell>
          <cell r="J218">
            <v>45352</v>
          </cell>
          <cell r="K218">
            <v>45355</v>
          </cell>
          <cell r="L218" t="str">
            <v>5.1.02.01.01.00
24</v>
          </cell>
          <cell r="M218" t="str">
            <v>06.05.</v>
          </cell>
          <cell r="N218" t="str">
            <v>06.05.08.</v>
          </cell>
          <cell r="O218" t="str">
            <v>Materai 10.000</v>
          </cell>
          <cell r="P218" t="str">
            <v>Materai 10.000</v>
          </cell>
          <cell r="Q218" t="str">
            <v>Alat Tulis Kantor (ATK)</v>
          </cell>
          <cell r="R218" t="str">
            <v>Materai 10.000 (Dimensi, 3.2Cm X 4.7Cm X 0Cm. Berat, 5Gr)</v>
          </cell>
          <cell r="S218">
            <v>100</v>
          </cell>
          <cell r="T218" t="str">
            <v>buah</v>
          </cell>
          <cell r="U218">
            <v>12000</v>
          </cell>
          <cell r="V218">
            <v>1200000</v>
          </cell>
          <cell r="W218" t="str">
            <v>UD. JOSUA</v>
          </cell>
          <cell r="X218" t="str">
            <v>Gestiwan Zebua</v>
          </cell>
          <cell r="Y218" t="str">
            <v>082166506229</v>
          </cell>
          <cell r="Z218" t="str">
            <v>Jl. Pasir Putih Pasar Telukdalam, Telukdalam Kab. Nias Selatan</v>
          </cell>
          <cell r="AG218">
            <v>3</v>
          </cell>
        </row>
        <row r="219">
          <cell r="A219">
            <v>217</v>
          </cell>
          <cell r="B219" t="str">
            <v>70</v>
          </cell>
          <cell r="C219" t="str">
            <v>70</v>
          </cell>
          <cell r="D219" t="str">
            <v>BPU39</v>
          </cell>
          <cell r="E219">
            <v>218</v>
          </cell>
          <cell r="F219" t="str">
            <v>70</v>
          </cell>
          <cell r="G219">
            <v>45352</v>
          </cell>
          <cell r="H219">
            <v>45352</v>
          </cell>
          <cell r="I219">
            <v>45352</v>
          </cell>
          <cell r="J219">
            <v>45352</v>
          </cell>
          <cell r="K219">
            <v>45355</v>
          </cell>
          <cell r="L219" t="str">
            <v>5.1.02.01.01.00
26</v>
          </cell>
          <cell r="M219" t="str">
            <v>06.05.</v>
          </cell>
          <cell r="N219" t="str">
            <v>06.05.08.</v>
          </cell>
          <cell r="O219" t="str">
            <v>Foto Copy Filio dan Kuarto</v>
          </cell>
          <cell r="P219" t="str">
            <v>Foto Copy Filio dan Kuarto</v>
          </cell>
          <cell r="Q219" t="str">
            <v>Penggandaan</v>
          </cell>
          <cell r="R219" t="str">
            <v>Fotocopy ukuran A4/F4</v>
          </cell>
          <cell r="S219">
            <v>4739</v>
          </cell>
          <cell r="T219" t="str">
            <v>lembar</v>
          </cell>
          <cell r="U219">
            <v>350</v>
          </cell>
          <cell r="V219">
            <v>1575000</v>
          </cell>
          <cell r="W219" t="str">
            <v>UD. JOSUA</v>
          </cell>
          <cell r="X219" t="str">
            <v>Gestiwan Zebua</v>
          </cell>
          <cell r="Y219" t="str">
            <v>082166506229</v>
          </cell>
          <cell r="Z219" t="str">
            <v>Jl. Pasir Putih Pasar Telukdalam, Telukdalam Kab. Nias Selatan</v>
          </cell>
          <cell r="AG219">
            <v>3</v>
          </cell>
        </row>
        <row r="220">
          <cell r="A220">
            <v>218</v>
          </cell>
          <cell r="B220" t="str">
            <v>71</v>
          </cell>
          <cell r="C220" t="str">
            <v>71</v>
          </cell>
          <cell r="D220" t="str">
            <v>BPU40</v>
          </cell>
          <cell r="E220">
            <v>219</v>
          </cell>
          <cell r="F220" t="str">
            <v>71</v>
          </cell>
          <cell r="G220">
            <v>45352</v>
          </cell>
          <cell r="H220">
            <v>45353</v>
          </cell>
          <cell r="I220">
            <v>45353</v>
          </cell>
          <cell r="J220">
            <v>45353</v>
          </cell>
          <cell r="K220">
            <v>45355</v>
          </cell>
          <cell r="L220" t="str">
            <v>5.1.02.01.01.00
30</v>
          </cell>
          <cell r="M220" t="str">
            <v>06.05.</v>
          </cell>
          <cell r="N220" t="str">
            <v>06.05.09.</v>
          </cell>
          <cell r="O220" t="str">
            <v>Handsoap/Pencuci Tangan</v>
          </cell>
          <cell r="P220" t="str">
            <v>Handsoap/Pencuci Tangan</v>
          </cell>
          <cell r="Q220" t="str">
            <v>Alat Kebersihan</v>
          </cell>
          <cell r="R220" t="str">
            <v>Handsoap/Pencuci Tangan (Antibacterial Hand Soap - 250ml, ekstrak aloevera)</v>
          </cell>
          <cell r="S220">
            <v>5</v>
          </cell>
          <cell r="T220" t="str">
            <v>botol</v>
          </cell>
          <cell r="U220">
            <v>67000</v>
          </cell>
          <cell r="V220">
            <v>335000</v>
          </cell>
          <cell r="W220" t="str">
            <v>UD. JOSUA</v>
          </cell>
          <cell r="X220" t="str">
            <v>Gestiwan Zebua</v>
          </cell>
          <cell r="Y220" t="str">
            <v>082166506229</v>
          </cell>
          <cell r="Z220" t="str">
            <v>Jl. Pasir Putih Pasar Telukdalam, Telukdalam Kab. Nias Selatan</v>
          </cell>
          <cell r="AG220">
            <v>3</v>
          </cell>
        </row>
        <row r="221">
          <cell r="A221">
            <v>219</v>
          </cell>
          <cell r="B221" t="str">
            <v>71</v>
          </cell>
          <cell r="C221" t="str">
            <v>71</v>
          </cell>
          <cell r="D221" t="str">
            <v>BPU40</v>
          </cell>
          <cell r="E221">
            <v>220</v>
          </cell>
          <cell r="F221" t="str">
            <v>71</v>
          </cell>
          <cell r="G221">
            <v>45352</v>
          </cell>
          <cell r="H221">
            <v>45353</v>
          </cell>
          <cell r="I221">
            <v>45353</v>
          </cell>
          <cell r="J221">
            <v>45353</v>
          </cell>
          <cell r="K221">
            <v>45355</v>
          </cell>
          <cell r="L221" t="str">
            <v>5.1.02.01.01.00
30</v>
          </cell>
          <cell r="M221" t="str">
            <v>06.05.</v>
          </cell>
          <cell r="N221" t="str">
            <v>06.05.09.</v>
          </cell>
          <cell r="O221" t="str">
            <v>Perlengkapan Kebersihan Pembersih Lantai Super Pel Varian 800ml</v>
          </cell>
          <cell r="P221" t="str">
            <v>Perlengkapan Kebersihan Pembersih Lantai Super Pel Varian 800ml</v>
          </cell>
          <cell r="Q221" t="str">
            <v>Alat Kebersihan</v>
          </cell>
          <cell r="R221" t="str">
            <v>Super Pel 800ml (Dimensi, 22cm x 12cm x 26cm. Berat, 800g.)</v>
          </cell>
          <cell r="S221">
            <v>15</v>
          </cell>
          <cell r="T221" t="str">
            <v>buah</v>
          </cell>
          <cell r="U221">
            <v>13700</v>
          </cell>
          <cell r="V221">
            <v>205500</v>
          </cell>
          <cell r="W221" t="str">
            <v>UD. JOSUA</v>
          </cell>
          <cell r="X221" t="str">
            <v>Gestiwan Zebua</v>
          </cell>
          <cell r="Y221" t="str">
            <v>082166506229</v>
          </cell>
          <cell r="Z221" t="str">
            <v>Jl. Pasir Putih Pasar Telukdalam, Telukdalam Kab. Nias Selatan</v>
          </cell>
          <cell r="AG221">
            <v>3</v>
          </cell>
        </row>
        <row r="222">
          <cell r="A222">
            <v>220</v>
          </cell>
          <cell r="B222" t="str">
            <v>71</v>
          </cell>
          <cell r="C222" t="str">
            <v>71</v>
          </cell>
          <cell r="D222" t="str">
            <v>BPU40</v>
          </cell>
          <cell r="E222">
            <v>221</v>
          </cell>
          <cell r="F222" t="str">
            <v>71</v>
          </cell>
          <cell r="G222">
            <v>45352</v>
          </cell>
          <cell r="H222">
            <v>45353</v>
          </cell>
          <cell r="I222">
            <v>45353</v>
          </cell>
          <cell r="J222">
            <v>45353</v>
          </cell>
          <cell r="K222">
            <v>45355</v>
          </cell>
          <cell r="L222" t="str">
            <v>5.1.02.01.01.00
30</v>
          </cell>
          <cell r="M222" t="str">
            <v>06.05.</v>
          </cell>
          <cell r="N222" t="str">
            <v>06.05.09.</v>
          </cell>
          <cell r="O222" t="str">
            <v>Pengharum Ruangan</v>
          </cell>
          <cell r="P222" t="str">
            <v>Pengharum Ruangan</v>
          </cell>
          <cell r="Q222" t="str">
            <v>Alat Kebersihan</v>
          </cell>
          <cell r="R222" t="str">
            <v>Stella pengharum ruangan sachet (Panjang : 10 cm, Lebar : 7 cm, Tinggi : 10 cm, Berat 10 Gr</v>
          </cell>
          <cell r="S222">
            <v>10</v>
          </cell>
          <cell r="T222" t="str">
            <v>buah</v>
          </cell>
          <cell r="U222">
            <v>12100</v>
          </cell>
          <cell r="V222">
            <v>121000</v>
          </cell>
          <cell r="W222" t="str">
            <v>UD. JOSUA</v>
          </cell>
          <cell r="X222" t="str">
            <v>Gestiwan Zebua</v>
          </cell>
          <cell r="Y222" t="str">
            <v>082166506229</v>
          </cell>
          <cell r="Z222" t="str">
            <v>Jl. Pasir Putih Pasar Telukdalam, Telukdalam Kab. Nias Selatan</v>
          </cell>
          <cell r="AG222">
            <v>3</v>
          </cell>
        </row>
        <row r="223">
          <cell r="A223">
            <v>221</v>
          </cell>
          <cell r="B223" t="str">
            <v>71</v>
          </cell>
          <cell r="C223" t="str">
            <v>71</v>
          </cell>
          <cell r="D223" t="str">
            <v>BPU40</v>
          </cell>
          <cell r="E223">
            <v>222</v>
          </cell>
          <cell r="F223" t="str">
            <v>71</v>
          </cell>
          <cell r="G223">
            <v>45352</v>
          </cell>
          <cell r="H223">
            <v>45353</v>
          </cell>
          <cell r="I223">
            <v>45353</v>
          </cell>
          <cell r="J223">
            <v>45353</v>
          </cell>
          <cell r="K223">
            <v>45355</v>
          </cell>
          <cell r="L223" t="str">
            <v>5.1.02.01.01.00
30</v>
          </cell>
          <cell r="M223" t="str">
            <v>06.05.</v>
          </cell>
          <cell r="N223" t="str">
            <v>06.05.09.</v>
          </cell>
          <cell r="O223" t="str">
            <v>Perlengkapan Kebersihan Pembersih Pakaian Sunlight Refil 800ml</v>
          </cell>
          <cell r="P223" t="str">
            <v>Perlengkapan Kebersihan Pembersih Pakaian Sunlight Refil 800ml</v>
          </cell>
          <cell r="Q223" t="str">
            <v>Alat Kebersihan</v>
          </cell>
          <cell r="R223" t="str">
            <v>Sunlight Refil 800ml (Dimensi, 6cm x 15cm x 22cm. Berat, 800g.)</v>
          </cell>
          <cell r="S223">
            <v>3</v>
          </cell>
          <cell r="T223" t="str">
            <v>buah</v>
          </cell>
          <cell r="U223">
            <v>15000</v>
          </cell>
          <cell r="V223">
            <v>45000</v>
          </cell>
          <cell r="W223" t="str">
            <v>UD. JOSUA</v>
          </cell>
          <cell r="X223" t="str">
            <v>Gestiwan Zebua</v>
          </cell>
          <cell r="Y223" t="str">
            <v>082166506229</v>
          </cell>
          <cell r="Z223" t="str">
            <v>Jl. Pasir Putih Pasar Telukdalam, Telukdalam Kab. Nias Selatan</v>
          </cell>
          <cell r="AG223">
            <v>3</v>
          </cell>
        </row>
        <row r="224">
          <cell r="A224">
            <v>222</v>
          </cell>
          <cell r="B224" t="str">
            <v>71</v>
          </cell>
          <cell r="C224" t="str">
            <v>71</v>
          </cell>
          <cell r="D224" t="str">
            <v>BPU40</v>
          </cell>
          <cell r="E224">
            <v>223</v>
          </cell>
          <cell r="F224" t="str">
            <v>71</v>
          </cell>
          <cell r="G224">
            <v>45352</v>
          </cell>
          <cell r="H224">
            <v>45353</v>
          </cell>
          <cell r="I224">
            <v>45353</v>
          </cell>
          <cell r="J224">
            <v>45353</v>
          </cell>
          <cell r="K224">
            <v>45355</v>
          </cell>
          <cell r="L224" t="str">
            <v>5.1.02.01.01.00
30</v>
          </cell>
          <cell r="M224" t="str">
            <v>06.05.</v>
          </cell>
          <cell r="N224" t="str">
            <v>06.05.09.</v>
          </cell>
          <cell r="O224" t="str">
            <v>vixal 500ml</v>
          </cell>
          <cell r="P224" t="str">
            <v>vixal 500ml</v>
          </cell>
          <cell r="Q224" t="str">
            <v>Alat Kebersihan</v>
          </cell>
          <cell r="R224" t="str">
            <v>Pembersih Lantai (Merk vixal, Kemasan Botol, isi  500ml)</v>
          </cell>
          <cell r="S224">
            <v>10</v>
          </cell>
          <cell r="T224" t="str">
            <v>botol</v>
          </cell>
          <cell r="U224">
            <v>30000</v>
          </cell>
          <cell r="V224">
            <v>300000</v>
          </cell>
          <cell r="W224" t="str">
            <v>UD. JOSUA</v>
          </cell>
          <cell r="X224" t="str">
            <v>Gestiwan Zebua</v>
          </cell>
          <cell r="Y224" t="str">
            <v>082166506229</v>
          </cell>
          <cell r="Z224" t="str">
            <v>Jl. Pasir Putih Pasar Telukdalam, Telukdalam Kab. Nias Selatan</v>
          </cell>
          <cell r="AG224">
            <v>3</v>
          </cell>
        </row>
        <row r="225">
          <cell r="A225">
            <v>223</v>
          </cell>
          <cell r="B225" t="str">
            <v>71</v>
          </cell>
          <cell r="C225" t="str">
            <v>71</v>
          </cell>
          <cell r="D225" t="str">
            <v>BPU40</v>
          </cell>
          <cell r="E225">
            <v>224</v>
          </cell>
          <cell r="F225" t="str">
            <v>71</v>
          </cell>
          <cell r="G225">
            <v>45352</v>
          </cell>
          <cell r="H225">
            <v>45353</v>
          </cell>
          <cell r="I225">
            <v>45353</v>
          </cell>
          <cell r="J225">
            <v>45353</v>
          </cell>
          <cell r="K225">
            <v>45355</v>
          </cell>
          <cell r="L225" t="str">
            <v>5.1.02.01.01.00
30</v>
          </cell>
          <cell r="M225" t="str">
            <v>06.05.</v>
          </cell>
          <cell r="N225" t="str">
            <v>06.05.09.</v>
          </cell>
          <cell r="O225" t="str">
            <v>Spon Cuci</v>
          </cell>
          <cell r="P225" t="str">
            <v>Spon Cuci</v>
          </cell>
          <cell r="Q225" t="str">
            <v>Alat Kebersihan</v>
          </cell>
          <cell r="R225" t="str">
            <v>Spon Cuci (G Spons Busa Cuci Piring Minyak Dua Sisi / Sponge Cuci Piring 2 sisi / Spons Abu Dua sisi Anti Minyak)</v>
          </cell>
          <cell r="S225">
            <v>5</v>
          </cell>
          <cell r="T225" t="str">
            <v>buah</v>
          </cell>
          <cell r="U225">
            <v>12000</v>
          </cell>
          <cell r="V225">
            <v>60000</v>
          </cell>
          <cell r="W225" t="str">
            <v>UD. JOSUA</v>
          </cell>
          <cell r="X225" t="str">
            <v>Gestiwan Zebua</v>
          </cell>
          <cell r="Y225" t="str">
            <v>082166506229</v>
          </cell>
          <cell r="Z225" t="str">
            <v>Jl. Pasir Putih Pasar Telukdalam, Telukdalam Kab. Nias Selatan</v>
          </cell>
          <cell r="AG225">
            <v>3</v>
          </cell>
        </row>
        <row r="226">
          <cell r="A226">
            <v>224</v>
          </cell>
          <cell r="B226" t="str">
            <v>71</v>
          </cell>
          <cell r="C226" t="str">
            <v>71</v>
          </cell>
          <cell r="D226" t="str">
            <v>BPU40</v>
          </cell>
          <cell r="E226">
            <v>225</v>
          </cell>
          <cell r="F226" t="str">
            <v>71</v>
          </cell>
          <cell r="G226">
            <v>45352</v>
          </cell>
          <cell r="H226">
            <v>45353</v>
          </cell>
          <cell r="I226">
            <v>45353</v>
          </cell>
          <cell r="J226">
            <v>45353</v>
          </cell>
          <cell r="K226">
            <v>45355</v>
          </cell>
          <cell r="L226" t="str">
            <v>5.1.02.01.01.00
30</v>
          </cell>
          <cell r="M226" t="str">
            <v>06.05.</v>
          </cell>
          <cell r="N226" t="str">
            <v>06.05.09.</v>
          </cell>
          <cell r="O226" t="str">
            <v>Tisu--</v>
          </cell>
          <cell r="P226" t="str">
            <v>Tisu--</v>
          </cell>
          <cell r="Q226" t="str">
            <v>Alat Kebersihan</v>
          </cell>
          <cell r="R226" t="str">
            <v>Tissue (Merk JOLLY 250 Sheets 2 Ply, Berat Volume = 285 gr)</v>
          </cell>
          <cell r="S226">
            <v>12</v>
          </cell>
          <cell r="T226" t="str">
            <v>buah</v>
          </cell>
          <cell r="U226">
            <v>12500</v>
          </cell>
          <cell r="V226">
            <v>150000</v>
          </cell>
          <cell r="W226" t="str">
            <v>UD. JOSUA</v>
          </cell>
          <cell r="X226" t="str">
            <v>Gestiwan Zebua</v>
          </cell>
          <cell r="Y226" t="str">
            <v>082166506229</v>
          </cell>
          <cell r="Z226" t="str">
            <v>Jl. Pasir Putih Pasar Telukdalam, Telukdalam Kab. Nias Selatan</v>
          </cell>
          <cell r="AG226">
            <v>3</v>
          </cell>
        </row>
        <row r="227">
          <cell r="A227">
            <v>225</v>
          </cell>
          <cell r="B227" t="str">
            <v>71</v>
          </cell>
          <cell r="C227" t="str">
            <v>71</v>
          </cell>
          <cell r="D227" t="str">
            <v>BPU40</v>
          </cell>
          <cell r="E227">
            <v>226</v>
          </cell>
          <cell r="F227" t="str">
            <v>71</v>
          </cell>
          <cell r="G227">
            <v>45352</v>
          </cell>
          <cell r="H227">
            <v>45353</v>
          </cell>
          <cell r="I227">
            <v>45353</v>
          </cell>
          <cell r="J227">
            <v>45353</v>
          </cell>
          <cell r="K227">
            <v>45355</v>
          </cell>
          <cell r="L227" t="str">
            <v>5.1.02.01.01.00
30</v>
          </cell>
          <cell r="M227" t="str">
            <v>06.05.</v>
          </cell>
          <cell r="N227" t="str">
            <v>06.05.09.</v>
          </cell>
          <cell r="O227" t="str">
            <v>Cairan Pembersih Kaca</v>
          </cell>
          <cell r="P227" t="str">
            <v>Cairan Pembersih Kaca</v>
          </cell>
          <cell r="Q227" t="str">
            <v>Alat Kebersihan</v>
          </cell>
          <cell r="R227" t="str">
            <v>Pembersih Kaca (Merk: CLING. Isi: 450ml. Dimensi 25 cm x 13 cm x 13 cm )</v>
          </cell>
          <cell r="S227">
            <v>5</v>
          </cell>
          <cell r="T227" t="str">
            <v>buah</v>
          </cell>
          <cell r="U227">
            <v>12000</v>
          </cell>
          <cell r="V227">
            <v>60000</v>
          </cell>
          <cell r="W227" t="str">
            <v>UD. JOSUA</v>
          </cell>
          <cell r="X227" t="str">
            <v>Gestiwan Zebua</v>
          </cell>
          <cell r="Y227" t="str">
            <v>082166506229</v>
          </cell>
          <cell r="Z227" t="str">
            <v>Jl. Pasir Putih Pasar Telukdalam, Telukdalam Kab. Nias Selatan</v>
          </cell>
          <cell r="AG227">
            <v>3</v>
          </cell>
        </row>
        <row r="228">
          <cell r="A228">
            <v>226</v>
          </cell>
          <cell r="B228" t="str">
            <v>71</v>
          </cell>
          <cell r="C228" t="str">
            <v>71</v>
          </cell>
          <cell r="D228" t="str">
            <v>BPU40</v>
          </cell>
          <cell r="E228">
            <v>227</v>
          </cell>
          <cell r="F228" t="str">
            <v>71</v>
          </cell>
          <cell r="G228">
            <v>45352</v>
          </cell>
          <cell r="H228">
            <v>45353</v>
          </cell>
          <cell r="I228">
            <v>45353</v>
          </cell>
          <cell r="J228">
            <v>45353</v>
          </cell>
          <cell r="K228">
            <v>45355</v>
          </cell>
          <cell r="L228" t="str">
            <v>5.1.02.01.01.00
30</v>
          </cell>
          <cell r="M228" t="str">
            <v>06.05.</v>
          </cell>
          <cell r="N228" t="str">
            <v>06.05.09.</v>
          </cell>
          <cell r="O228" t="str">
            <v>Hand Sanitizer-Unit</v>
          </cell>
          <cell r="P228" t="str">
            <v>Hand Sanitizer-Unit</v>
          </cell>
          <cell r="Q228" t="str">
            <v>Alat Kebersihan</v>
          </cell>
          <cell r="R228" t="str">
            <v>Hand Sanitizer (Merk: SOS. Isi: 300ml</v>
          </cell>
          <cell r="S228">
            <v>5</v>
          </cell>
          <cell r="T228" t="str">
            <v>unit</v>
          </cell>
          <cell r="U228">
            <v>70000</v>
          </cell>
          <cell r="V228">
            <v>350000</v>
          </cell>
          <cell r="W228" t="str">
            <v>UD. JOSUA</v>
          </cell>
          <cell r="X228" t="str">
            <v>Gestiwan Zebua</v>
          </cell>
          <cell r="Y228" t="str">
            <v>082166506229</v>
          </cell>
          <cell r="Z228" t="str">
            <v>Jl. Pasir Putih Pasar Telukdalam, Telukdalam Kab. Nias Selatan</v>
          </cell>
          <cell r="AG228">
            <v>3</v>
          </cell>
        </row>
        <row r="229">
          <cell r="A229">
            <v>227</v>
          </cell>
          <cell r="B229" t="str">
            <v>72</v>
          </cell>
          <cell r="C229" t="str">
            <v>72</v>
          </cell>
          <cell r="D229" t="str">
            <v>BPU41</v>
          </cell>
          <cell r="E229">
            <v>228</v>
          </cell>
          <cell r="F229" t="str">
            <v>72</v>
          </cell>
          <cell r="G229">
            <v>45354</v>
          </cell>
          <cell r="H229">
            <v>45355</v>
          </cell>
          <cell r="I229">
            <v>45355</v>
          </cell>
          <cell r="J229">
            <v>45355</v>
          </cell>
          <cell r="K229">
            <v>45355</v>
          </cell>
          <cell r="L229" t="str">
            <v>5.1.02.01.01.00
52</v>
          </cell>
          <cell r="M229" t="str">
            <v>02.02.</v>
          </cell>
          <cell r="N229" t="str">
            <v>02.02.01.</v>
          </cell>
          <cell r="O229" t="str">
            <v xml:space="preserve">Kudapan pada Kegiatan Sosialisasi pemberdayaan perpustakaan terutama untuk pengembangan minat baca peserta didik
</v>
          </cell>
          <cell r="P229" t="str">
            <v>Kue Kotak</v>
          </cell>
          <cell r="Q229" t="str">
            <v>Kudapan</v>
          </cell>
          <cell r="R229" t="str">
            <v>Kue (bahan tepung terigu, gula, telur, mentega; berat 100gr, panjang 15cm, lebar 8 cm)</v>
          </cell>
          <cell r="S229">
            <v>150</v>
          </cell>
          <cell r="T229" t="str">
            <v>kotak</v>
          </cell>
          <cell r="U229">
            <v>15000</v>
          </cell>
          <cell r="V229">
            <v>2250000</v>
          </cell>
          <cell r="W229" t="str">
            <v>Rumah Roti Helena</v>
          </cell>
          <cell r="X229" t="str">
            <v>Fudi Supiyanto</v>
          </cell>
          <cell r="Y229" t="str">
            <v>082164895397</v>
          </cell>
          <cell r="Z229" t="str">
            <v>Jl. Jend A. Yani No. 89 Kelurahan Pasar Telukdalam - Nias Selatan</v>
          </cell>
          <cell r="AG229">
            <v>3</v>
          </cell>
        </row>
        <row r="230">
          <cell r="A230">
            <v>228</v>
          </cell>
          <cell r="B230" t="str">
            <v>73</v>
          </cell>
          <cell r="C230" t="str">
            <v>73</v>
          </cell>
          <cell r="D230" t="str">
            <v>BPU42</v>
          </cell>
          <cell r="E230">
            <v>229</v>
          </cell>
          <cell r="F230" t="str">
            <v>73</v>
          </cell>
          <cell r="G230">
            <v>45354</v>
          </cell>
          <cell r="H230">
            <v>45355</v>
          </cell>
          <cell r="I230">
            <v>45355</v>
          </cell>
          <cell r="J230">
            <v>45355</v>
          </cell>
          <cell r="K230">
            <v>45355</v>
          </cell>
          <cell r="L230" t="str">
            <v>5.1.02.01.01.00
52</v>
          </cell>
          <cell r="M230" t="str">
            <v>02.02.</v>
          </cell>
          <cell r="N230" t="str">
            <v>02.02.01.</v>
          </cell>
          <cell r="O230" t="str">
            <v>Konsumsi pada Kegiatan Sosialisasi pemberdayaan perpustakaan terutama untuk pengembangan minat baca peserta didik</v>
          </cell>
          <cell r="P230" t="str">
            <v>Nasi Kotak</v>
          </cell>
          <cell r="Q230" t="str">
            <v>Konsumsi</v>
          </cell>
          <cell r="R230" t="str">
            <v>Nasi putih;Sop daging; Sayur; Berat 1000gr; Dimensi; (PxLxT) 25cmx25cmx10cm</v>
          </cell>
          <cell r="S230">
            <v>150</v>
          </cell>
          <cell r="T230" t="str">
            <v>kotak</v>
          </cell>
          <cell r="U230">
            <v>40000</v>
          </cell>
          <cell r="V230">
            <v>6000000</v>
          </cell>
          <cell r="W230" t="str">
            <v>Resto JFC Esther</v>
          </cell>
          <cell r="X230" t="str">
            <v>Limaati Daeli</v>
          </cell>
          <cell r="Y230" t="str">
            <v>085297578868</v>
          </cell>
          <cell r="Z230" t="str">
            <v>Jl. Saonigeho Km. 5 Telukdalam, Kab. Nias Selatan</v>
          </cell>
          <cell r="AG230">
            <v>3</v>
          </cell>
        </row>
        <row r="231">
          <cell r="A231">
            <v>229</v>
          </cell>
          <cell r="B231" t="str">
            <v>74</v>
          </cell>
          <cell r="C231" t="str">
            <v>74</v>
          </cell>
          <cell r="D231" t="str">
            <v>BPU43</v>
          </cell>
          <cell r="E231">
            <v>230</v>
          </cell>
          <cell r="F231" t="str">
            <v>74</v>
          </cell>
          <cell r="G231">
            <v>45356</v>
          </cell>
          <cell r="H231">
            <v>45357</v>
          </cell>
          <cell r="I231">
            <v>45357</v>
          </cell>
          <cell r="J231">
            <v>45357</v>
          </cell>
          <cell r="K231">
            <v>45357</v>
          </cell>
          <cell r="L231" t="str">
            <v>5.1.02.01.01.00
24</v>
          </cell>
          <cell r="M231" t="str">
            <v>06.05.</v>
          </cell>
          <cell r="N231" t="str">
            <v>06.05.08.</v>
          </cell>
          <cell r="O231" t="str">
            <v>Binder Klip  nomor 111</v>
          </cell>
          <cell r="P231" t="str">
            <v>Binder Klip  nomor 111</v>
          </cell>
          <cell r="Q231" t="str">
            <v>Alat Tulis Kantor (ATK)</v>
          </cell>
          <cell r="R231" t="str">
            <v>Binder Clip No 111 (Length 5.0Cm, Width 5.0Cm, Height 5.0Cm, Weight 5Gr)</v>
          </cell>
          <cell r="S231">
            <v>5</v>
          </cell>
          <cell r="T231" t="str">
            <v>kotak</v>
          </cell>
          <cell r="U231">
            <v>11000</v>
          </cell>
          <cell r="V231">
            <v>55000</v>
          </cell>
          <cell r="W231" t="str">
            <v>UD. JOSUA</v>
          </cell>
          <cell r="X231" t="str">
            <v>Gestiwan Zebua</v>
          </cell>
          <cell r="Y231" t="str">
            <v>082166506229</v>
          </cell>
          <cell r="Z231" t="str">
            <v>Jl. Pasir Putih Pasar Telukdalam, Telukdalam Kab. Nias Selatan</v>
          </cell>
          <cell r="AG231">
            <v>3</v>
          </cell>
        </row>
        <row r="232">
          <cell r="A232">
            <v>230</v>
          </cell>
          <cell r="B232" t="str">
            <v>74</v>
          </cell>
          <cell r="C232" t="str">
            <v>74</v>
          </cell>
          <cell r="D232" t="str">
            <v>BPU43</v>
          </cell>
          <cell r="E232">
            <v>231</v>
          </cell>
          <cell r="F232" t="str">
            <v>74</v>
          </cell>
          <cell r="G232">
            <v>45356</v>
          </cell>
          <cell r="H232">
            <v>45357</v>
          </cell>
          <cell r="I232">
            <v>45357</v>
          </cell>
          <cell r="J232">
            <v>45357</v>
          </cell>
          <cell r="K232">
            <v>45357</v>
          </cell>
          <cell r="L232" t="str">
            <v>5.1.02.01.01.00
24</v>
          </cell>
          <cell r="M232" t="str">
            <v>06.05.</v>
          </cell>
          <cell r="N232" t="str">
            <v>06.05.08.</v>
          </cell>
          <cell r="O232" t="str">
            <v>Ballpoint Drawing Pen 0,1 Snowman</v>
          </cell>
          <cell r="P232" t="str">
            <v>Ballpoint Drawing Pen 0,1 Snowman</v>
          </cell>
          <cell r="Q232" t="str">
            <v>Alat Tulis Kantor (ATK)</v>
          </cell>
          <cell r="R232" t="str">
            <v>Ballpoint Drawing Pen 0,1 Snowman (Dimensi, 1cm x 1cm x 1cm. Berat, 50g)</v>
          </cell>
          <cell r="S232">
            <v>1</v>
          </cell>
          <cell r="T232" t="str">
            <v>lusin</v>
          </cell>
          <cell r="U232">
            <v>95000</v>
          </cell>
          <cell r="V232">
            <v>95000</v>
          </cell>
          <cell r="W232" t="str">
            <v>UD. JOSUA</v>
          </cell>
          <cell r="X232" t="str">
            <v>Gestiwan Zebua</v>
          </cell>
          <cell r="Y232" t="str">
            <v>082166506229</v>
          </cell>
          <cell r="Z232" t="str">
            <v>Jl. Pasir Putih Pasar Telukdalam, Telukdalam Kab. Nias Selatan</v>
          </cell>
          <cell r="AG232">
            <v>3</v>
          </cell>
        </row>
        <row r="233">
          <cell r="A233">
            <v>231</v>
          </cell>
          <cell r="B233" t="str">
            <v>74</v>
          </cell>
          <cell r="C233" t="str">
            <v>74</v>
          </cell>
          <cell r="D233" t="str">
            <v>BPU43</v>
          </cell>
          <cell r="E233">
            <v>232</v>
          </cell>
          <cell r="F233" t="str">
            <v>74</v>
          </cell>
          <cell r="G233">
            <v>45356</v>
          </cell>
          <cell r="H233">
            <v>45357</v>
          </cell>
          <cell r="I233">
            <v>45357</v>
          </cell>
          <cell r="J233">
            <v>45357</v>
          </cell>
          <cell r="K233">
            <v>45357</v>
          </cell>
          <cell r="L233" t="str">
            <v>5.1.02.01.01.00
24</v>
          </cell>
          <cell r="M233" t="str">
            <v>06.05.</v>
          </cell>
          <cell r="N233" t="str">
            <v>06.05.08.</v>
          </cell>
          <cell r="O233" t="str">
            <v>Stofmap Transparan tali</v>
          </cell>
          <cell r="P233" t="str">
            <v>Stofmap Transparan tali</v>
          </cell>
          <cell r="Q233" t="str">
            <v>Alat Tulis Kantor (ATK)</v>
          </cell>
          <cell r="R233" t="str">
            <v>Stofmap Transparan Tali (Length 5.0Cm, Width 5.0Cm, Height 5.0Cm, Weight 5Gr)</v>
          </cell>
          <cell r="S233">
            <v>100</v>
          </cell>
          <cell r="T233" t="str">
            <v>buah</v>
          </cell>
          <cell r="U233">
            <v>5500</v>
          </cell>
          <cell r="V233">
            <v>550000</v>
          </cell>
          <cell r="W233" t="str">
            <v>UD. JOSUA</v>
          </cell>
          <cell r="X233" t="str">
            <v>Gestiwan Zebua</v>
          </cell>
          <cell r="Y233" t="str">
            <v>082166506229</v>
          </cell>
          <cell r="Z233" t="str">
            <v>Jl. Pasir Putih Pasar Telukdalam, Telukdalam Kab. Nias Selatan</v>
          </cell>
          <cell r="AG233">
            <v>3</v>
          </cell>
        </row>
        <row r="234">
          <cell r="A234">
            <v>232</v>
          </cell>
          <cell r="B234" t="str">
            <v>74</v>
          </cell>
          <cell r="C234" t="str">
            <v>74</v>
          </cell>
          <cell r="D234" t="str">
            <v>BPU43</v>
          </cell>
          <cell r="E234">
            <v>233</v>
          </cell>
          <cell r="F234" t="str">
            <v>74</v>
          </cell>
          <cell r="G234">
            <v>45356</v>
          </cell>
          <cell r="H234">
            <v>45357</v>
          </cell>
          <cell r="I234">
            <v>45357</v>
          </cell>
          <cell r="J234">
            <v>45357</v>
          </cell>
          <cell r="K234">
            <v>45357</v>
          </cell>
          <cell r="L234" t="str">
            <v>5.1.02.01.01.00
24</v>
          </cell>
          <cell r="M234" t="str">
            <v>06.05.</v>
          </cell>
          <cell r="N234" t="str">
            <v>06.05.08.</v>
          </cell>
          <cell r="O234" t="str">
            <v>Amplop Coklat Merk : GSU Ukuran Folio polos</v>
          </cell>
          <cell r="P234" t="str">
            <v>Amplop Coklat Merk : GSU Ukuran Folio polos</v>
          </cell>
          <cell r="Q234" t="str">
            <v>Alat Tulis Kantor (ATK)</v>
          </cell>
          <cell r="R234" t="str">
            <v>Amplop Coklat GSU Polos (Panjang: 25 cm. Lebar: 5 cm. Tinggi: 35 cm. Berat: 1000 gram)</v>
          </cell>
          <cell r="S234">
            <v>2</v>
          </cell>
          <cell r="T234" t="str">
            <v>bungkus</v>
          </cell>
          <cell r="U234">
            <v>60000</v>
          </cell>
          <cell r="V234">
            <v>120000</v>
          </cell>
          <cell r="W234" t="str">
            <v>UD. JOSUA</v>
          </cell>
          <cell r="X234" t="str">
            <v>Gestiwan Zebua</v>
          </cell>
          <cell r="Y234" t="str">
            <v>082166506229</v>
          </cell>
          <cell r="Z234" t="str">
            <v>Jl. Pasir Putih Pasar Telukdalam, Telukdalam Kab. Nias Selatan</v>
          </cell>
          <cell r="AG234">
            <v>3</v>
          </cell>
        </row>
        <row r="235">
          <cell r="A235">
            <v>233</v>
          </cell>
          <cell r="B235" t="str">
            <v>74</v>
          </cell>
          <cell r="C235" t="str">
            <v>74</v>
          </cell>
          <cell r="D235" t="str">
            <v>BPU43</v>
          </cell>
          <cell r="E235">
            <v>234</v>
          </cell>
          <cell r="F235" t="str">
            <v>74</v>
          </cell>
          <cell r="G235">
            <v>45356</v>
          </cell>
          <cell r="H235">
            <v>45357</v>
          </cell>
          <cell r="I235">
            <v>45357</v>
          </cell>
          <cell r="J235">
            <v>45357</v>
          </cell>
          <cell r="K235">
            <v>45357</v>
          </cell>
          <cell r="L235" t="str">
            <v>5.1.02.01.01.00
24</v>
          </cell>
          <cell r="M235" t="str">
            <v>06.05.</v>
          </cell>
          <cell r="N235" t="str">
            <v>06.05.08.</v>
          </cell>
          <cell r="O235" t="str">
            <v>Stapler HD-10--</v>
          </cell>
          <cell r="P235" t="str">
            <v>Stapler HD-10--</v>
          </cell>
          <cell r="Q235" t="str">
            <v>Alat Tulis Kantor (ATK)</v>
          </cell>
          <cell r="R235" t="str">
            <v>Stapler Hd-10 (Size : 9.1 X 4.2 X 1.8 Cm, Berat. 0.07 Kg. Lebar. 10.0 Cm. Tinggi. 3.5 Cm)</v>
          </cell>
          <cell r="S235">
            <v>2</v>
          </cell>
          <cell r="T235" t="str">
            <v>buah</v>
          </cell>
          <cell r="U235">
            <v>20000</v>
          </cell>
          <cell r="V235">
            <v>40000</v>
          </cell>
          <cell r="W235" t="str">
            <v>UD. JOSUA</v>
          </cell>
          <cell r="X235" t="str">
            <v>Gestiwan Zebua</v>
          </cell>
          <cell r="Y235" t="str">
            <v>082166506229</v>
          </cell>
          <cell r="Z235" t="str">
            <v>Jl. Pasir Putih Pasar Telukdalam, Telukdalam Kab. Nias Selatan</v>
          </cell>
          <cell r="AG235">
            <v>3</v>
          </cell>
        </row>
        <row r="236">
          <cell r="A236">
            <v>234</v>
          </cell>
          <cell r="B236" t="str">
            <v>74</v>
          </cell>
          <cell r="C236" t="str">
            <v>74</v>
          </cell>
          <cell r="D236" t="str">
            <v>BPU43</v>
          </cell>
          <cell r="E236">
            <v>235</v>
          </cell>
          <cell r="F236" t="str">
            <v>74</v>
          </cell>
          <cell r="G236">
            <v>45356</v>
          </cell>
          <cell r="H236">
            <v>45357</v>
          </cell>
          <cell r="I236">
            <v>45357</v>
          </cell>
          <cell r="J236">
            <v>45357</v>
          </cell>
          <cell r="K236">
            <v>45357</v>
          </cell>
          <cell r="L236" t="str">
            <v>5.1.02.01.01.00
24</v>
          </cell>
          <cell r="M236" t="str">
            <v>06.05.</v>
          </cell>
          <cell r="N236" t="str">
            <v>06.05.08.</v>
          </cell>
          <cell r="O236" t="str">
            <v>Kertas Lain-Lain Kertas Buffalo</v>
          </cell>
          <cell r="P236" t="str">
            <v>Kertas Lain-Lain Kertas Buffalo</v>
          </cell>
          <cell r="Q236" t="str">
            <v>Alat Tulis Kantor (ATK)</v>
          </cell>
          <cell r="R236" t="str">
            <v>Kertas Buffalo F4 (Length 21.0Cm, Width 33.0Cm, Height 7.0Cm, Weight 1006Gr)</v>
          </cell>
          <cell r="S236">
            <v>5</v>
          </cell>
          <cell r="T236" t="str">
            <v>bungkus</v>
          </cell>
          <cell r="U236">
            <v>31000</v>
          </cell>
          <cell r="V236">
            <v>155000</v>
          </cell>
          <cell r="W236" t="str">
            <v>UD. JOSUA</v>
          </cell>
          <cell r="X236" t="str">
            <v>Gestiwan Zebua</v>
          </cell>
          <cell r="Y236" t="str">
            <v>082166506229</v>
          </cell>
          <cell r="Z236" t="str">
            <v>Jl. Pasir Putih Pasar Telukdalam, Telukdalam Kab. Nias Selatan</v>
          </cell>
          <cell r="AG236">
            <v>3</v>
          </cell>
        </row>
        <row r="237">
          <cell r="A237">
            <v>235</v>
          </cell>
          <cell r="B237" t="str">
            <v>74</v>
          </cell>
          <cell r="C237" t="str">
            <v>74</v>
          </cell>
          <cell r="D237" t="str">
            <v>BPU43</v>
          </cell>
          <cell r="E237">
            <v>236</v>
          </cell>
          <cell r="F237" t="str">
            <v>74</v>
          </cell>
          <cell r="G237">
            <v>45356</v>
          </cell>
          <cell r="H237">
            <v>45357</v>
          </cell>
          <cell r="I237">
            <v>45357</v>
          </cell>
          <cell r="J237">
            <v>45357</v>
          </cell>
          <cell r="K237">
            <v>45357</v>
          </cell>
          <cell r="L237" t="str">
            <v>5.1.02.01.01.00
24</v>
          </cell>
          <cell r="M237" t="str">
            <v>06.05.</v>
          </cell>
          <cell r="N237" t="str">
            <v>06.05.08.</v>
          </cell>
          <cell r="O237" t="str">
            <v>Baterey Kecil</v>
          </cell>
          <cell r="P237" t="str">
            <v>Baterey Kecil</v>
          </cell>
          <cell r="Q237" t="str">
            <v>Alat Tulis Kantor (ATK)</v>
          </cell>
          <cell r="R237" t="str">
            <v>Baterey Kecil (Type: Aa; Tegangan: 1.5 Volt; Ukuran: 14 X 50 Mm)</v>
          </cell>
          <cell r="S237">
            <v>2</v>
          </cell>
          <cell r="T237" t="str">
            <v>pasang</v>
          </cell>
          <cell r="U237">
            <v>20000</v>
          </cell>
          <cell r="V237">
            <v>40000</v>
          </cell>
          <cell r="W237" t="str">
            <v>UD. JOSUA</v>
          </cell>
          <cell r="X237" t="str">
            <v>Gestiwan Zebua</v>
          </cell>
          <cell r="Y237" t="str">
            <v>082166506229</v>
          </cell>
          <cell r="Z237" t="str">
            <v>Jl. Pasir Putih Pasar Telukdalam, Telukdalam Kab. Nias Selatan</v>
          </cell>
          <cell r="AG237">
            <v>3</v>
          </cell>
        </row>
        <row r="238">
          <cell r="A238">
            <v>236</v>
          </cell>
          <cell r="B238" t="str">
            <v>74</v>
          </cell>
          <cell r="C238" t="str">
            <v>74</v>
          </cell>
          <cell r="D238" t="str">
            <v>BPU43</v>
          </cell>
          <cell r="E238">
            <v>237</v>
          </cell>
          <cell r="F238" t="str">
            <v>74</v>
          </cell>
          <cell r="G238">
            <v>45356</v>
          </cell>
          <cell r="H238">
            <v>45357</v>
          </cell>
          <cell r="I238">
            <v>45357</v>
          </cell>
          <cell r="J238">
            <v>45357</v>
          </cell>
          <cell r="K238">
            <v>45357</v>
          </cell>
          <cell r="L238" t="str">
            <v>5.1.02.01.01.00
24</v>
          </cell>
          <cell r="M238" t="str">
            <v>06.05.</v>
          </cell>
          <cell r="N238" t="str">
            <v>06.05.08.</v>
          </cell>
          <cell r="O238" t="str">
            <v>Tinta Printer Canon 741 Warna-741 Warna</v>
          </cell>
          <cell r="P238" t="str">
            <v>Tinta Printer Canon 741 Warna-741 Warna</v>
          </cell>
          <cell r="Q238" t="str">
            <v>Alat Tulis Kantor (ATK)</v>
          </cell>
          <cell r="R238" t="str">
            <v>Tinta Printer Canon Aiflo Warna (Length 5.0Cm, Width 5.0Cm, Height 5.0Cm, Weight 5Gr)</v>
          </cell>
          <cell r="S238">
            <v>12</v>
          </cell>
          <cell r="T238" t="str">
            <v>botol</v>
          </cell>
          <cell r="U238">
            <v>33000</v>
          </cell>
          <cell r="V238">
            <v>396000</v>
          </cell>
          <cell r="W238" t="str">
            <v>UD. JOSUA</v>
          </cell>
          <cell r="X238" t="str">
            <v>Gestiwan Zebua</v>
          </cell>
          <cell r="Y238" t="str">
            <v>082166506229</v>
          </cell>
          <cell r="Z238" t="str">
            <v>Jl. Pasir Putih Pasar Telukdalam, Telukdalam Kab. Nias Selatan</v>
          </cell>
          <cell r="AG238">
            <v>3</v>
          </cell>
        </row>
        <row r="239">
          <cell r="A239">
            <v>237</v>
          </cell>
          <cell r="B239" t="str">
            <v>74</v>
          </cell>
          <cell r="C239" t="str">
            <v>74</v>
          </cell>
          <cell r="D239" t="str">
            <v>BPU43</v>
          </cell>
          <cell r="E239">
            <v>238</v>
          </cell>
          <cell r="F239" t="str">
            <v>74</v>
          </cell>
          <cell r="G239">
            <v>45356</v>
          </cell>
          <cell r="H239">
            <v>45357</v>
          </cell>
          <cell r="I239">
            <v>45357</v>
          </cell>
          <cell r="J239">
            <v>45357</v>
          </cell>
          <cell r="K239">
            <v>45357</v>
          </cell>
          <cell r="L239" t="str">
            <v>5.1.02.01.01.00
24</v>
          </cell>
          <cell r="M239" t="str">
            <v>06.05.</v>
          </cell>
          <cell r="N239" t="str">
            <v>06.05.08.</v>
          </cell>
          <cell r="O239" t="str">
            <v>Lakban Bening</v>
          </cell>
          <cell r="P239" t="str">
            <v>Lakban Bening Besar</v>
          </cell>
          <cell r="Q239" t="str">
            <v>Alat Tulis Kantor (ATK)</v>
          </cell>
          <cell r="R239" t="str">
            <v>Lakban Bening Besar (Length 5.0Cm, Width 5.0Cm, Height 5.0Cm, Weight 5Gr)</v>
          </cell>
          <cell r="S239">
            <v>5</v>
          </cell>
          <cell r="T239" t="str">
            <v>buah</v>
          </cell>
          <cell r="U239">
            <v>15000</v>
          </cell>
          <cell r="V239">
            <v>75000</v>
          </cell>
          <cell r="W239" t="str">
            <v>UD. JOSUA</v>
          </cell>
          <cell r="X239" t="str">
            <v>Gestiwan Zebua</v>
          </cell>
          <cell r="Y239" t="str">
            <v>082166506229</v>
          </cell>
          <cell r="Z239" t="str">
            <v>Jl. Pasir Putih Pasar Telukdalam, Telukdalam Kab. Nias Selatan</v>
          </cell>
          <cell r="AG239">
            <v>3</v>
          </cell>
        </row>
        <row r="240">
          <cell r="A240">
            <v>238</v>
          </cell>
          <cell r="B240" t="str">
            <v>74</v>
          </cell>
          <cell r="C240" t="str">
            <v>74</v>
          </cell>
          <cell r="D240" t="str">
            <v>BPU43</v>
          </cell>
          <cell r="E240">
            <v>239</v>
          </cell>
          <cell r="F240" t="str">
            <v>74</v>
          </cell>
          <cell r="G240">
            <v>45356</v>
          </cell>
          <cell r="H240">
            <v>45357</v>
          </cell>
          <cell r="I240">
            <v>45357</v>
          </cell>
          <cell r="J240">
            <v>45357</v>
          </cell>
          <cell r="K240">
            <v>45357</v>
          </cell>
          <cell r="L240" t="str">
            <v>5.1.02.01.01.00
24</v>
          </cell>
          <cell r="M240" t="str">
            <v>06.05.</v>
          </cell>
          <cell r="N240" t="str">
            <v>06.05.08.</v>
          </cell>
          <cell r="O240" t="str">
            <v>Plastik Mika</v>
          </cell>
          <cell r="P240" t="str">
            <v>Plastik Mika</v>
          </cell>
          <cell r="Q240" t="str">
            <v>Alat Tulis Kantor (ATK)</v>
          </cell>
          <cell r="R240" t="str">
            <v>Plastik Mika Jilid F4 (Length 21.0Cm, Width 33.0Cm, Height 7.0Cm, Weight 548Gr)</v>
          </cell>
          <cell r="S240">
            <v>5</v>
          </cell>
          <cell r="T240" t="str">
            <v>bungkus</v>
          </cell>
          <cell r="U240">
            <v>60000</v>
          </cell>
          <cell r="V240">
            <v>300000</v>
          </cell>
          <cell r="W240" t="str">
            <v>UD. JOSUA</v>
          </cell>
          <cell r="X240" t="str">
            <v>Gestiwan Zebua</v>
          </cell>
          <cell r="Y240" t="str">
            <v>082166506229</v>
          </cell>
          <cell r="Z240" t="str">
            <v>Jl. Pasir Putih Pasar Telukdalam, Telukdalam Kab. Nias Selatan</v>
          </cell>
          <cell r="AG240">
            <v>3</v>
          </cell>
        </row>
        <row r="241">
          <cell r="A241">
            <v>239</v>
          </cell>
          <cell r="B241" t="str">
            <v>74</v>
          </cell>
          <cell r="C241" t="str">
            <v>74</v>
          </cell>
          <cell r="D241" t="str">
            <v>BPU43</v>
          </cell>
          <cell r="E241">
            <v>240</v>
          </cell>
          <cell r="F241" t="str">
            <v>74</v>
          </cell>
          <cell r="G241">
            <v>45356</v>
          </cell>
          <cell r="H241">
            <v>45357</v>
          </cell>
          <cell r="I241">
            <v>45357</v>
          </cell>
          <cell r="J241">
            <v>45357</v>
          </cell>
          <cell r="K241">
            <v>45357</v>
          </cell>
          <cell r="L241" t="str">
            <v>5.1.02.01.01.00
24</v>
          </cell>
          <cell r="M241" t="str">
            <v>06.05.</v>
          </cell>
          <cell r="N241" t="str">
            <v>06.05.08.</v>
          </cell>
          <cell r="O241" t="str">
            <v>Binder Klip  nomor 107</v>
          </cell>
          <cell r="P241" t="str">
            <v>Binder Klip  nomor 107</v>
          </cell>
          <cell r="Q241" t="str">
            <v>Alat Tulis Kantor (ATK)</v>
          </cell>
          <cell r="R241" t="str">
            <v>Binder Klip 107 (Merk : Joyko. Size : 40 x 19 x 17 mm. Berat : 0.1 kg.)</v>
          </cell>
          <cell r="S241">
            <v>5</v>
          </cell>
          <cell r="T241" t="str">
            <v>kotak</v>
          </cell>
          <cell r="U241">
            <v>7500</v>
          </cell>
          <cell r="V241">
            <v>37500</v>
          </cell>
          <cell r="W241" t="str">
            <v>UD. JOSUA</v>
          </cell>
          <cell r="X241" t="str">
            <v>Gestiwan Zebua</v>
          </cell>
          <cell r="Y241" t="str">
            <v>082166506229</v>
          </cell>
          <cell r="Z241" t="str">
            <v>Jl. Pasir Putih Pasar Telukdalam, Telukdalam Kab. Nias Selatan</v>
          </cell>
          <cell r="AG241">
            <v>3</v>
          </cell>
        </row>
        <row r="242">
          <cell r="A242">
            <v>240</v>
          </cell>
          <cell r="B242" t="str">
            <v>74</v>
          </cell>
          <cell r="C242" t="str">
            <v>74</v>
          </cell>
          <cell r="D242" t="str">
            <v>BPU43</v>
          </cell>
          <cell r="E242">
            <v>241</v>
          </cell>
          <cell r="F242" t="str">
            <v>74</v>
          </cell>
          <cell r="G242">
            <v>45356</v>
          </cell>
          <cell r="H242">
            <v>45357</v>
          </cell>
          <cell r="I242">
            <v>45357</v>
          </cell>
          <cell r="J242">
            <v>45357</v>
          </cell>
          <cell r="K242">
            <v>45357</v>
          </cell>
          <cell r="L242" t="str">
            <v>5.1.02.01.01.00
24</v>
          </cell>
          <cell r="M242" t="str">
            <v>06.05.</v>
          </cell>
          <cell r="N242" t="str">
            <v>06.05.08.</v>
          </cell>
          <cell r="O242" t="str">
            <v>Amplop Coklat Merk : Garda Ukuran Cabinet</v>
          </cell>
          <cell r="P242" t="str">
            <v>Amplop Coklat Merk : Garda Ukuran Cabinet</v>
          </cell>
          <cell r="Q242" t="str">
            <v>Alat Tulis Kantor (ATK)</v>
          </cell>
          <cell r="R242" t="str">
            <v>Amplop Coklat (Merk : Garda Ukuran Cabinet. Ukuran : 110 x 240 mm. Isi : 100 lbr)</v>
          </cell>
          <cell r="S242">
            <v>3</v>
          </cell>
          <cell r="T242" t="str">
            <v>bungkus</v>
          </cell>
          <cell r="U242">
            <v>23000</v>
          </cell>
          <cell r="V242">
            <v>69000</v>
          </cell>
          <cell r="W242" t="str">
            <v>UD. JOSUA</v>
          </cell>
          <cell r="X242" t="str">
            <v>Gestiwan Zebua</v>
          </cell>
          <cell r="Y242" t="str">
            <v>082166506229</v>
          </cell>
          <cell r="Z242" t="str">
            <v>Jl. Pasir Putih Pasar Telukdalam, Telukdalam Kab. Nias Selatan</v>
          </cell>
          <cell r="AG242">
            <v>3</v>
          </cell>
        </row>
        <row r="243">
          <cell r="A243">
            <v>241</v>
          </cell>
          <cell r="B243" t="str">
            <v>74</v>
          </cell>
          <cell r="C243" t="str">
            <v>74</v>
          </cell>
          <cell r="D243" t="str">
            <v>BPU43</v>
          </cell>
          <cell r="E243">
            <v>242</v>
          </cell>
          <cell r="F243" t="str">
            <v>74</v>
          </cell>
          <cell r="G243">
            <v>45356</v>
          </cell>
          <cell r="H243">
            <v>45357</v>
          </cell>
          <cell r="I243">
            <v>45357</v>
          </cell>
          <cell r="J243">
            <v>45357</v>
          </cell>
          <cell r="K243">
            <v>45357</v>
          </cell>
          <cell r="L243" t="str">
            <v>5.1.02.01.01.00
24</v>
          </cell>
          <cell r="M243" t="str">
            <v>06.05.</v>
          </cell>
          <cell r="N243" t="str">
            <v>06.05.08.</v>
          </cell>
          <cell r="O243" t="str">
            <v>Kertas Label</v>
          </cell>
          <cell r="P243" t="str">
            <v>Kertas Label</v>
          </cell>
          <cell r="Q243" t="str">
            <v>Alat Tulis Kantor (ATK)</v>
          </cell>
          <cell r="R243" t="str">
            <v>Kertas Label (Dimensi, 14cm x 20.5cm x 0.2cm. Berat, 50g. Kertas Sticker label kecil panjang no 99 (0,5cm x 3,5cm))</v>
          </cell>
          <cell r="S243">
            <v>5</v>
          </cell>
          <cell r="T243" t="str">
            <v>lembar</v>
          </cell>
          <cell r="U243">
            <v>25000</v>
          </cell>
          <cell r="V243">
            <v>125000</v>
          </cell>
          <cell r="W243" t="str">
            <v>UD. JOSUA</v>
          </cell>
          <cell r="X243" t="str">
            <v>Gestiwan Zebua</v>
          </cell>
          <cell r="Y243" t="str">
            <v>082166506229</v>
          </cell>
          <cell r="Z243" t="str">
            <v>Jl. Pasir Putih Pasar Telukdalam, Telukdalam Kab. Nias Selatan</v>
          </cell>
          <cell r="AG243">
            <v>3</v>
          </cell>
        </row>
        <row r="244">
          <cell r="A244">
            <v>242</v>
          </cell>
          <cell r="B244" t="str">
            <v>74</v>
          </cell>
          <cell r="C244" t="str">
            <v>74</v>
          </cell>
          <cell r="D244" t="str">
            <v>BPU43</v>
          </cell>
          <cell r="E244">
            <v>243</v>
          </cell>
          <cell r="F244" t="str">
            <v>74</v>
          </cell>
          <cell r="G244">
            <v>45356</v>
          </cell>
          <cell r="H244">
            <v>45357</v>
          </cell>
          <cell r="I244">
            <v>45357</v>
          </cell>
          <cell r="J244">
            <v>45357</v>
          </cell>
          <cell r="K244">
            <v>45357</v>
          </cell>
          <cell r="L244" t="str">
            <v>5.1.02.01.01.00
24</v>
          </cell>
          <cell r="M244" t="str">
            <v>06.05.</v>
          </cell>
          <cell r="N244" t="str">
            <v>06.05.08.</v>
          </cell>
          <cell r="O244" t="str">
            <v>Spidol Refil Spidol White Board Snowman</v>
          </cell>
          <cell r="P244" t="str">
            <v>Spidol Refil Spidol White Board Snowman</v>
          </cell>
          <cell r="Q244" t="str">
            <v>Alat Tulis Kantor (ATK)</v>
          </cell>
          <cell r="R244" t="str">
            <v>Spidol Refil Spidol White Board Snowman (Panjang. : 10 Cm ; Lebar. : 5 Cm ; Tinggi. : 7 Cm ; Berat. : 500 Gr)</v>
          </cell>
          <cell r="S244">
            <v>10</v>
          </cell>
          <cell r="T244" t="str">
            <v>buah</v>
          </cell>
          <cell r="U244">
            <v>20900</v>
          </cell>
          <cell r="V244">
            <v>209000</v>
          </cell>
          <cell r="W244" t="str">
            <v>UD. JOSUA</v>
          </cell>
          <cell r="X244" t="str">
            <v>Gestiwan Zebua</v>
          </cell>
          <cell r="Y244" t="str">
            <v>082166506229</v>
          </cell>
          <cell r="Z244" t="str">
            <v>Jl. Pasir Putih Pasar Telukdalam, Telukdalam Kab. Nias Selatan</v>
          </cell>
          <cell r="AG244">
            <v>3</v>
          </cell>
        </row>
        <row r="245">
          <cell r="A245">
            <v>243</v>
          </cell>
          <cell r="B245" t="str">
            <v>74</v>
          </cell>
          <cell r="C245" t="str">
            <v>74</v>
          </cell>
          <cell r="D245" t="str">
            <v>BPU43</v>
          </cell>
          <cell r="E245">
            <v>244</v>
          </cell>
          <cell r="F245" t="str">
            <v>74</v>
          </cell>
          <cell r="G245">
            <v>45356</v>
          </cell>
          <cell r="H245">
            <v>45357</v>
          </cell>
          <cell r="I245">
            <v>45357</v>
          </cell>
          <cell r="J245">
            <v>45357</v>
          </cell>
          <cell r="K245">
            <v>45357</v>
          </cell>
          <cell r="L245" t="str">
            <v>5.1.02.01.01.00
24</v>
          </cell>
          <cell r="M245" t="str">
            <v>06.05.</v>
          </cell>
          <cell r="N245" t="str">
            <v>06.05.08.</v>
          </cell>
          <cell r="O245" t="str">
            <v>Binder Klip Merk : KENKO nomor 105</v>
          </cell>
          <cell r="P245" t="str">
            <v>Binder Klip Merk : KENKO nomor 105</v>
          </cell>
          <cell r="Q245" t="str">
            <v>Alat Tulis Kantor (ATK)</v>
          </cell>
          <cell r="R245" t="str">
            <v>Binder Klip (Merk : Kenko - Bahan : Besi - Ukuran : 15 x 25 mm (No. 105) - Isi : 12 Pcs - Berat : 35 Gram)</v>
          </cell>
          <cell r="S245">
            <v>2</v>
          </cell>
          <cell r="T245" t="str">
            <v>kotak</v>
          </cell>
          <cell r="U245">
            <v>5000</v>
          </cell>
          <cell r="V245">
            <v>10000</v>
          </cell>
          <cell r="W245" t="str">
            <v>UD. JOSUA</v>
          </cell>
          <cell r="X245" t="str">
            <v>Gestiwan Zebua</v>
          </cell>
          <cell r="Y245" t="str">
            <v>082166506229</v>
          </cell>
          <cell r="Z245" t="str">
            <v>Jl. Pasir Putih Pasar Telukdalam, Telukdalam Kab. Nias Selatan</v>
          </cell>
          <cell r="AG245">
            <v>3</v>
          </cell>
        </row>
        <row r="246">
          <cell r="A246">
            <v>244</v>
          </cell>
          <cell r="B246" t="str">
            <v>74</v>
          </cell>
          <cell r="C246" t="str">
            <v>74</v>
          </cell>
          <cell r="D246" t="str">
            <v>BPU43</v>
          </cell>
          <cell r="E246">
            <v>245</v>
          </cell>
          <cell r="F246" t="str">
            <v>74</v>
          </cell>
          <cell r="G246">
            <v>45356</v>
          </cell>
          <cell r="H246">
            <v>45357</v>
          </cell>
          <cell r="I246">
            <v>45357</v>
          </cell>
          <cell r="J246">
            <v>45357</v>
          </cell>
          <cell r="K246">
            <v>45357</v>
          </cell>
          <cell r="L246" t="str">
            <v>5.1.02.01.01.00
24</v>
          </cell>
          <cell r="M246" t="str">
            <v>06.05.</v>
          </cell>
          <cell r="N246" t="str">
            <v>06.05.08.</v>
          </cell>
          <cell r="O246" t="str">
            <v>Ballpoint Pilot G2</v>
          </cell>
          <cell r="P246" t="str">
            <v>Ballpoint Pilot G2</v>
          </cell>
          <cell r="Q246" t="str">
            <v>Alat Tulis Kantor (ATK)</v>
          </cell>
          <cell r="R246" t="str">
            <v>Ballpoint Pilot G2 (Length 5.0Cm, Width 5.0Cm, Height 5.0Cm, Weight 5Gr)</v>
          </cell>
          <cell r="S246">
            <v>1</v>
          </cell>
          <cell r="T246" t="str">
            <v>lusin</v>
          </cell>
          <cell r="U246">
            <v>235000</v>
          </cell>
          <cell r="V246">
            <v>235000</v>
          </cell>
          <cell r="W246" t="str">
            <v>UD. JOSUA</v>
          </cell>
          <cell r="X246" t="str">
            <v>Gestiwan Zebua</v>
          </cell>
          <cell r="Y246" t="str">
            <v>082166506229</v>
          </cell>
          <cell r="Z246" t="str">
            <v>Jl. Pasir Putih Pasar Telukdalam, Telukdalam Kab. Nias Selatan</v>
          </cell>
          <cell r="AG246">
            <v>3</v>
          </cell>
        </row>
        <row r="247">
          <cell r="A247">
            <v>245</v>
          </cell>
          <cell r="B247" t="str">
            <v>74</v>
          </cell>
          <cell r="C247" t="str">
            <v>74</v>
          </cell>
          <cell r="D247" t="str">
            <v>BPU43</v>
          </cell>
          <cell r="E247">
            <v>246</v>
          </cell>
          <cell r="F247" t="str">
            <v>74</v>
          </cell>
          <cell r="G247">
            <v>45356</v>
          </cell>
          <cell r="H247">
            <v>45357</v>
          </cell>
          <cell r="I247">
            <v>45357</v>
          </cell>
          <cell r="J247">
            <v>45357</v>
          </cell>
          <cell r="K247">
            <v>45357</v>
          </cell>
          <cell r="L247" t="str">
            <v>5.1.02.01.01.00
24</v>
          </cell>
          <cell r="M247" t="str">
            <v>06.05.</v>
          </cell>
          <cell r="N247" t="str">
            <v>06.05.08.</v>
          </cell>
          <cell r="O247" t="str">
            <v>Ballpoint Boldiner Standar</v>
          </cell>
          <cell r="P247" t="str">
            <v>Ballpoint Boldiner Standar</v>
          </cell>
          <cell r="Q247" t="str">
            <v>Alat Tulis Kantor (ATK)</v>
          </cell>
          <cell r="R247" t="str">
            <v xml:space="preserve">Ballpoint Boldiner Standar  (Satuan. 300 Gram ; Dimensi Ukuran. 15X5X7.5Cm. (Berat Volume: 0.09Kg) </v>
          </cell>
          <cell r="S247">
            <v>2</v>
          </cell>
          <cell r="T247" t="str">
            <v>lusin</v>
          </cell>
          <cell r="U247">
            <v>225000</v>
          </cell>
          <cell r="V247">
            <v>450000</v>
          </cell>
          <cell r="W247" t="str">
            <v>UD. JOSUA</v>
          </cell>
          <cell r="X247" t="str">
            <v>Gestiwan Zebua</v>
          </cell>
          <cell r="Y247" t="str">
            <v>082166506229</v>
          </cell>
          <cell r="Z247" t="str">
            <v>Jl. Pasir Putih Pasar Telukdalam, Telukdalam Kab. Nias Selatan</v>
          </cell>
          <cell r="AG247">
            <v>3</v>
          </cell>
        </row>
        <row r="248">
          <cell r="A248">
            <v>246</v>
          </cell>
          <cell r="B248" t="str">
            <v>74</v>
          </cell>
          <cell r="C248" t="str">
            <v>74</v>
          </cell>
          <cell r="D248" t="str">
            <v>BPU43</v>
          </cell>
          <cell r="E248">
            <v>247</v>
          </cell>
          <cell r="F248" t="str">
            <v>74</v>
          </cell>
          <cell r="G248">
            <v>45356</v>
          </cell>
          <cell r="H248">
            <v>45357</v>
          </cell>
          <cell r="I248">
            <v>45357</v>
          </cell>
          <cell r="J248">
            <v>45357</v>
          </cell>
          <cell r="K248">
            <v>45357</v>
          </cell>
          <cell r="L248" t="str">
            <v>5.1.02.01.01.00
24</v>
          </cell>
          <cell r="M248" t="str">
            <v>06.05.</v>
          </cell>
          <cell r="N248" t="str">
            <v>06.05.08.</v>
          </cell>
          <cell r="O248" t="str">
            <v>C. Tinta Printer EPSON Tinta Printer Epson Blue</v>
          </cell>
          <cell r="P248" t="str">
            <v>C. Tinta Printer EPSON Tinta Printer Epson Blue</v>
          </cell>
          <cell r="Q248" t="str">
            <v>Alat Tulis Kantor (ATK)</v>
          </cell>
          <cell r="R248" t="str">
            <v>Tinta Printer Epson 664 Biru (Length 5.0Cm, Width 5.0Cm, Height 5.0Cm, Weight 5Gr)</v>
          </cell>
          <cell r="S248">
            <v>4</v>
          </cell>
          <cell r="T248" t="str">
            <v>botol</v>
          </cell>
          <cell r="U248">
            <v>110000</v>
          </cell>
          <cell r="V248">
            <v>440000</v>
          </cell>
          <cell r="W248" t="str">
            <v>UD. JOSUA</v>
          </cell>
          <cell r="X248" t="str">
            <v>Gestiwan Zebua</v>
          </cell>
          <cell r="Y248" t="str">
            <v>082166506229</v>
          </cell>
          <cell r="Z248" t="str">
            <v>Jl. Pasir Putih Pasar Telukdalam, Telukdalam Kab. Nias Selatan</v>
          </cell>
          <cell r="AG248">
            <v>3</v>
          </cell>
        </row>
        <row r="249">
          <cell r="A249">
            <v>247</v>
          </cell>
          <cell r="B249" t="str">
            <v>74</v>
          </cell>
          <cell r="C249" t="str">
            <v>74</v>
          </cell>
          <cell r="D249" t="str">
            <v>BPU43</v>
          </cell>
          <cell r="E249">
            <v>248</v>
          </cell>
          <cell r="F249" t="str">
            <v>74</v>
          </cell>
          <cell r="G249">
            <v>45356</v>
          </cell>
          <cell r="H249">
            <v>45357</v>
          </cell>
          <cell r="I249">
            <v>45357</v>
          </cell>
          <cell r="J249">
            <v>45357</v>
          </cell>
          <cell r="K249">
            <v>45357</v>
          </cell>
          <cell r="L249" t="str">
            <v>5.1.02.01.01.00
24</v>
          </cell>
          <cell r="M249" t="str">
            <v>06.05.</v>
          </cell>
          <cell r="N249" t="str">
            <v>06.05.08.</v>
          </cell>
          <cell r="O249" t="str">
            <v>Map Binder</v>
          </cell>
          <cell r="P249" t="str">
            <v>Map Binder</v>
          </cell>
          <cell r="Q249" t="str">
            <v>Alat Tulis Kantor (ATK)</v>
          </cell>
          <cell r="R249" t="str">
            <v>Map Binder (Length 5.0Cm, Width 5.0Cm, Height 5.0Cm, Weight 5Gr)</v>
          </cell>
          <cell r="S249">
            <v>12</v>
          </cell>
          <cell r="T249" t="str">
            <v>buah</v>
          </cell>
          <cell r="U249">
            <v>35500</v>
          </cell>
          <cell r="V249">
            <v>426000</v>
          </cell>
          <cell r="W249" t="str">
            <v>UD. JOSUA</v>
          </cell>
          <cell r="X249" t="str">
            <v>Gestiwan Zebua</v>
          </cell>
          <cell r="Y249" t="str">
            <v>082166506229</v>
          </cell>
          <cell r="Z249" t="str">
            <v>Jl. Pasir Putih Pasar Telukdalam, Telukdalam Kab. Nias Selatan</v>
          </cell>
          <cell r="AG249">
            <v>3</v>
          </cell>
        </row>
        <row r="250">
          <cell r="A250">
            <v>248</v>
          </cell>
          <cell r="B250" t="str">
            <v>74</v>
          </cell>
          <cell r="C250" t="str">
            <v>74</v>
          </cell>
          <cell r="D250" t="str">
            <v>BPU43</v>
          </cell>
          <cell r="E250">
            <v>249</v>
          </cell>
          <cell r="F250" t="str">
            <v>74</v>
          </cell>
          <cell r="G250">
            <v>45356</v>
          </cell>
          <cell r="H250">
            <v>45357</v>
          </cell>
          <cell r="I250">
            <v>45357</v>
          </cell>
          <cell r="J250">
            <v>45357</v>
          </cell>
          <cell r="K250">
            <v>45357</v>
          </cell>
          <cell r="L250" t="str">
            <v>5.1.02.01.01.00
24</v>
          </cell>
          <cell r="M250" t="str">
            <v>06.05.</v>
          </cell>
          <cell r="N250" t="str">
            <v>06.05.08.</v>
          </cell>
          <cell r="O250" t="str">
            <v>Stapler Stapler No, 50 MAX</v>
          </cell>
          <cell r="P250" t="str">
            <v>Stapler Stapler No, 50 MAX</v>
          </cell>
          <cell r="Q250" t="str">
            <v>Alat Tulis Kantor (ATK)</v>
          </cell>
          <cell r="R250" t="str">
            <v>Stapler 50 (Length 5.0Cm, Width 5.0Cm, Height 5.0Cm, Weight 5Gr)</v>
          </cell>
          <cell r="S250">
            <v>2</v>
          </cell>
          <cell r="T250" t="str">
            <v>buah</v>
          </cell>
          <cell r="U250">
            <v>25000</v>
          </cell>
          <cell r="V250">
            <v>50000</v>
          </cell>
          <cell r="W250" t="str">
            <v>UD. JOSUA</v>
          </cell>
          <cell r="X250" t="str">
            <v>Gestiwan Zebua</v>
          </cell>
          <cell r="Y250" t="str">
            <v>082166506229</v>
          </cell>
          <cell r="Z250" t="str">
            <v>Jl. Pasir Putih Pasar Telukdalam, Telukdalam Kab. Nias Selatan</v>
          </cell>
          <cell r="AG250">
            <v>3</v>
          </cell>
        </row>
        <row r="251">
          <cell r="A251">
            <v>249</v>
          </cell>
          <cell r="B251" t="str">
            <v>74</v>
          </cell>
          <cell r="C251" t="str">
            <v>74</v>
          </cell>
          <cell r="D251" t="str">
            <v>BPU43</v>
          </cell>
          <cell r="E251">
            <v>250</v>
          </cell>
          <cell r="F251" t="str">
            <v>74</v>
          </cell>
          <cell r="G251">
            <v>45356</v>
          </cell>
          <cell r="H251">
            <v>45357</v>
          </cell>
          <cell r="I251">
            <v>45357</v>
          </cell>
          <cell r="J251">
            <v>45357</v>
          </cell>
          <cell r="K251">
            <v>45357</v>
          </cell>
          <cell r="L251" t="str">
            <v>5.1.02.01.01.00
24</v>
          </cell>
          <cell r="M251" t="str">
            <v>06.05.</v>
          </cell>
          <cell r="N251" t="str">
            <v>06.05.08.</v>
          </cell>
          <cell r="O251" t="str">
            <v>Amplop Coklat Merk : GSU Ukuran : 1/2 folio, bergaris</v>
          </cell>
          <cell r="P251" t="str">
            <v>Amplop Coklat Merk : GSU Ukuran : 1/2 folio, bergaris</v>
          </cell>
          <cell r="Q251" t="str">
            <v>Alat Tulis Kantor (ATK)</v>
          </cell>
          <cell r="R251" t="str">
            <v>Amplop Coklat (Merk : GSU. Ukuran: 1/2 Folio. Isi: 100 Lbr)</v>
          </cell>
          <cell r="S251">
            <v>1</v>
          </cell>
          <cell r="T251" t="str">
            <v>bungkus</v>
          </cell>
          <cell r="U251">
            <v>45000</v>
          </cell>
          <cell r="V251">
            <v>45000</v>
          </cell>
          <cell r="W251" t="str">
            <v>UD. JOSUA</v>
          </cell>
          <cell r="X251" t="str">
            <v>Gestiwan Zebua</v>
          </cell>
          <cell r="Y251" t="str">
            <v>082166506229</v>
          </cell>
          <cell r="Z251" t="str">
            <v>Jl. Pasir Putih Pasar Telukdalam, Telukdalam Kab. Nias Selatan</v>
          </cell>
          <cell r="AG251">
            <v>3</v>
          </cell>
        </row>
        <row r="252">
          <cell r="A252">
            <v>250</v>
          </cell>
          <cell r="B252" t="str">
            <v>74</v>
          </cell>
          <cell r="C252" t="str">
            <v>74</v>
          </cell>
          <cell r="D252" t="str">
            <v>BPU43</v>
          </cell>
          <cell r="E252">
            <v>251</v>
          </cell>
          <cell r="F252" t="str">
            <v>74</v>
          </cell>
          <cell r="G252">
            <v>45356</v>
          </cell>
          <cell r="H252">
            <v>45357</v>
          </cell>
          <cell r="I252">
            <v>45357</v>
          </cell>
          <cell r="J252">
            <v>45357</v>
          </cell>
          <cell r="K252">
            <v>45357</v>
          </cell>
          <cell r="L252" t="str">
            <v>5.1.02.01.01.00
24</v>
          </cell>
          <cell r="M252" t="str">
            <v>06.05.</v>
          </cell>
          <cell r="N252" t="str">
            <v>06.05.08.</v>
          </cell>
          <cell r="O252" t="str">
            <v>Lakban Hitam--</v>
          </cell>
          <cell r="P252" t="str">
            <v>Lakban Hitam--</v>
          </cell>
          <cell r="Q252" t="str">
            <v>Alat Tulis Kantor (ATK)</v>
          </cell>
          <cell r="R252" t="str">
            <v>Lakban Hitam (Length 5.0Cm, Width 5.0Cm, Height 5.0Cm, Weight 5Gr)</v>
          </cell>
          <cell r="S252">
            <v>5</v>
          </cell>
          <cell r="T252" t="str">
            <v>buah</v>
          </cell>
          <cell r="U252">
            <v>15500</v>
          </cell>
          <cell r="V252">
            <v>77500</v>
          </cell>
          <cell r="W252" t="str">
            <v>UD. JOSUA</v>
          </cell>
          <cell r="X252" t="str">
            <v>Gestiwan Zebua</v>
          </cell>
          <cell r="Y252" t="str">
            <v>082166506229</v>
          </cell>
          <cell r="Z252" t="str">
            <v>Jl. Pasir Putih Pasar Telukdalam, Telukdalam Kab. Nias Selatan</v>
          </cell>
          <cell r="AG252">
            <v>3</v>
          </cell>
        </row>
        <row r="253">
          <cell r="A253">
            <v>251</v>
          </cell>
          <cell r="B253" t="str">
            <v>74</v>
          </cell>
          <cell r="C253" t="str">
            <v>74</v>
          </cell>
          <cell r="D253" t="str">
            <v>BPU43</v>
          </cell>
          <cell r="E253">
            <v>252</v>
          </cell>
          <cell r="F253" t="str">
            <v>74</v>
          </cell>
          <cell r="G253">
            <v>45356</v>
          </cell>
          <cell r="H253">
            <v>45357</v>
          </cell>
          <cell r="I253">
            <v>45357</v>
          </cell>
          <cell r="J253">
            <v>45357</v>
          </cell>
          <cell r="K253">
            <v>45357</v>
          </cell>
          <cell r="L253" t="str">
            <v>5.1.02.01.01.00
24</v>
          </cell>
          <cell r="M253" t="str">
            <v>06.05.</v>
          </cell>
          <cell r="N253" t="str">
            <v>06.05.08.</v>
          </cell>
          <cell r="O253" t="str">
            <v>Paper Clip No 1  Paper Clip No 3</v>
          </cell>
          <cell r="P253" t="str">
            <v>Paper Clip No 1  Paper Clip No 3</v>
          </cell>
          <cell r="Q253" t="str">
            <v>Alat Tulis Kantor (ATK)</v>
          </cell>
          <cell r="R253" t="str">
            <v>Paper Clip No 3 (Length 5.0Cm, Width 5.0Cm, Height 5.0Cm, Weight 5Gr)</v>
          </cell>
          <cell r="S253">
            <v>5</v>
          </cell>
          <cell r="T253" t="str">
            <v>kotak</v>
          </cell>
          <cell r="U253">
            <v>6000</v>
          </cell>
          <cell r="V253">
            <v>30000</v>
          </cell>
          <cell r="W253" t="str">
            <v>UD. JOSUA</v>
          </cell>
          <cell r="X253" t="str">
            <v>Gestiwan Zebua</v>
          </cell>
          <cell r="Y253" t="str">
            <v>082166506229</v>
          </cell>
          <cell r="Z253" t="str">
            <v>Jl. Pasir Putih Pasar Telukdalam, Telukdalam Kab. Nias Selatan</v>
          </cell>
          <cell r="AG253">
            <v>3</v>
          </cell>
        </row>
        <row r="254">
          <cell r="A254">
            <v>252</v>
          </cell>
          <cell r="B254" t="str">
            <v>74</v>
          </cell>
          <cell r="C254" t="str">
            <v>74</v>
          </cell>
          <cell r="D254" t="str">
            <v>BPU43</v>
          </cell>
          <cell r="E254">
            <v>253</v>
          </cell>
          <cell r="F254" t="str">
            <v>74</v>
          </cell>
          <cell r="G254">
            <v>45356</v>
          </cell>
          <cell r="H254">
            <v>45357</v>
          </cell>
          <cell r="I254">
            <v>45357</v>
          </cell>
          <cell r="J254">
            <v>45357</v>
          </cell>
          <cell r="K254">
            <v>45357</v>
          </cell>
          <cell r="L254" t="str">
            <v>5.1.02.01.01.00
24</v>
          </cell>
          <cell r="M254" t="str">
            <v>06.05.</v>
          </cell>
          <cell r="N254" t="str">
            <v>06.05.08.</v>
          </cell>
          <cell r="O254" t="str">
            <v>Lakban Hitam uk 2 " Warna hitam uk. 2 "</v>
          </cell>
          <cell r="P254" t="str">
            <v>Lakban Hitam uk 2 " Warna hitam uk. 2 "</v>
          </cell>
          <cell r="Q254" t="str">
            <v>Alat Tulis Kantor (ATK)</v>
          </cell>
          <cell r="R254" t="str">
            <v>Lakban Warna Uk 2" Warna Coklat Cofiie (Ukuran 90Yard Lebar : 48Mm)</v>
          </cell>
          <cell r="S254">
            <v>5</v>
          </cell>
          <cell r="T254" t="str">
            <v>buah</v>
          </cell>
          <cell r="U254">
            <v>25000</v>
          </cell>
          <cell r="V254">
            <v>125000</v>
          </cell>
          <cell r="W254" t="str">
            <v>UD. JOSUA</v>
          </cell>
          <cell r="X254" t="str">
            <v>Gestiwan Zebua</v>
          </cell>
          <cell r="Y254" t="str">
            <v>082166506229</v>
          </cell>
          <cell r="Z254" t="str">
            <v>Jl. Pasir Putih Pasar Telukdalam, Telukdalam Kab. Nias Selatan</v>
          </cell>
          <cell r="AG254">
            <v>3</v>
          </cell>
        </row>
        <row r="255">
          <cell r="A255">
            <v>253</v>
          </cell>
          <cell r="B255" t="str">
            <v>74</v>
          </cell>
          <cell r="C255" t="str">
            <v>74</v>
          </cell>
          <cell r="D255" t="str">
            <v>BPU43</v>
          </cell>
          <cell r="E255">
            <v>254</v>
          </cell>
          <cell r="F255" t="str">
            <v>74</v>
          </cell>
          <cell r="G255">
            <v>45356</v>
          </cell>
          <cell r="H255">
            <v>45357</v>
          </cell>
          <cell r="I255">
            <v>45357</v>
          </cell>
          <cell r="J255">
            <v>45357</v>
          </cell>
          <cell r="K255">
            <v>45357</v>
          </cell>
          <cell r="L255" t="str">
            <v>5.1.02.01.01.00
24</v>
          </cell>
          <cell r="M255" t="str">
            <v>06.05.</v>
          </cell>
          <cell r="N255" t="str">
            <v>06.05.08.</v>
          </cell>
          <cell r="O255" t="str">
            <v>Kertas StensiI</v>
          </cell>
          <cell r="P255" t="str">
            <v>Kertas StensiI</v>
          </cell>
          <cell r="Q255" t="str">
            <v>Alat Tulis Kantor (ATK)</v>
          </cell>
          <cell r="R255" t="str">
            <v>Kertas Stencil Folio (Length 33.0Cm, Width 21.0Cm, Height 5.0Cm, Weight 1400Gr)</v>
          </cell>
          <cell r="S255">
            <v>10</v>
          </cell>
          <cell r="T255" t="str">
            <v>bungkus</v>
          </cell>
          <cell r="U255">
            <v>50000</v>
          </cell>
          <cell r="V255">
            <v>500000</v>
          </cell>
          <cell r="W255" t="str">
            <v>UD. JOSUA</v>
          </cell>
          <cell r="X255" t="str">
            <v>Gestiwan Zebua</v>
          </cell>
          <cell r="Y255" t="str">
            <v>082166506229</v>
          </cell>
          <cell r="Z255" t="str">
            <v>Jl. Pasir Putih Pasar Telukdalam, Telukdalam Kab. Nias Selatan</v>
          </cell>
          <cell r="AG255">
            <v>3</v>
          </cell>
        </row>
        <row r="256">
          <cell r="A256">
            <v>254</v>
          </cell>
          <cell r="B256" t="str">
            <v>74</v>
          </cell>
          <cell r="C256" t="str">
            <v>74</v>
          </cell>
          <cell r="D256" t="str">
            <v>BPU43</v>
          </cell>
          <cell r="E256">
            <v>255</v>
          </cell>
          <cell r="F256" t="str">
            <v>74</v>
          </cell>
          <cell r="G256">
            <v>45356</v>
          </cell>
          <cell r="H256">
            <v>45357</v>
          </cell>
          <cell r="I256">
            <v>45357</v>
          </cell>
          <cell r="J256">
            <v>45357</v>
          </cell>
          <cell r="K256">
            <v>45357</v>
          </cell>
          <cell r="L256" t="str">
            <v>5.1.02.01.01.00
24</v>
          </cell>
          <cell r="M256" t="str">
            <v>06.05.</v>
          </cell>
          <cell r="N256" t="str">
            <v>06.05.08.</v>
          </cell>
          <cell r="O256" t="str">
            <v>Spidol White board</v>
          </cell>
          <cell r="P256" t="str">
            <v>Spidol White board</v>
          </cell>
          <cell r="Q256" t="str">
            <v>Alat Tulis Kantor (ATK)</v>
          </cell>
          <cell r="R256" t="str">
            <v>Spidol White Board (Berat Produk 0.5 Kg, Panjang Produk 10 Cm, Lebar Produk 3 Cm, Tinggi Produk 10 Cm)</v>
          </cell>
          <cell r="S256">
            <v>2</v>
          </cell>
          <cell r="T256" t="str">
            <v>lusin</v>
          </cell>
          <cell r="U256">
            <v>120000</v>
          </cell>
          <cell r="V256">
            <v>240000</v>
          </cell>
          <cell r="W256" t="str">
            <v>UD. JOSUA</v>
          </cell>
          <cell r="X256" t="str">
            <v>Gestiwan Zebua</v>
          </cell>
          <cell r="Y256" t="str">
            <v>082166506229</v>
          </cell>
          <cell r="Z256" t="str">
            <v>Jl. Pasir Putih Pasar Telukdalam, Telukdalam Kab. Nias Selatan</v>
          </cell>
          <cell r="AG256">
            <v>3</v>
          </cell>
        </row>
        <row r="257">
          <cell r="A257">
            <v>255</v>
          </cell>
          <cell r="B257" t="str">
            <v>74</v>
          </cell>
          <cell r="C257" t="str">
            <v>74</v>
          </cell>
          <cell r="D257" t="str">
            <v>BPU43</v>
          </cell>
          <cell r="E257">
            <v>256</v>
          </cell>
          <cell r="F257" t="str">
            <v>74</v>
          </cell>
          <cell r="G257">
            <v>45356</v>
          </cell>
          <cell r="H257">
            <v>45357</v>
          </cell>
          <cell r="I257">
            <v>45357</v>
          </cell>
          <cell r="J257">
            <v>45357</v>
          </cell>
          <cell r="K257">
            <v>45357</v>
          </cell>
          <cell r="L257" t="str">
            <v>5.1.02.01.01.00
24</v>
          </cell>
          <cell r="M257" t="str">
            <v>06.05.</v>
          </cell>
          <cell r="N257" t="str">
            <v>06.05.08.</v>
          </cell>
          <cell r="O257" t="str">
            <v>Pisau Cutter Kenko L-500</v>
          </cell>
          <cell r="P257" t="str">
            <v>Pisau Cutter Kenko L-500</v>
          </cell>
          <cell r="Q257" t="str">
            <v>Alat Tulis Kantor (ATK)</v>
          </cell>
          <cell r="R257" t="str">
            <v>Pisau Cutter L-500 (Merk: Kenko. Dimension: 15.50cm x 2.70cm x 1.00cm. Weight: 71.00g)</v>
          </cell>
          <cell r="S257">
            <v>2</v>
          </cell>
          <cell r="T257" t="str">
            <v>buah</v>
          </cell>
          <cell r="U257">
            <v>15000</v>
          </cell>
          <cell r="V257">
            <v>30000</v>
          </cell>
          <cell r="W257" t="str">
            <v>UD. JOSUA</v>
          </cell>
          <cell r="X257" t="str">
            <v>Gestiwan Zebua</v>
          </cell>
          <cell r="Y257" t="str">
            <v>082166506229</v>
          </cell>
          <cell r="Z257" t="str">
            <v>Jl. Pasir Putih Pasar Telukdalam, Telukdalam Kab. Nias Selatan</v>
          </cell>
          <cell r="AG257">
            <v>3</v>
          </cell>
        </row>
        <row r="258">
          <cell r="A258">
            <v>256</v>
          </cell>
          <cell r="B258" t="str">
            <v>74</v>
          </cell>
          <cell r="C258" t="str">
            <v>74</v>
          </cell>
          <cell r="D258" t="str">
            <v>BPU43</v>
          </cell>
          <cell r="E258">
            <v>257</v>
          </cell>
          <cell r="F258" t="str">
            <v>74</v>
          </cell>
          <cell r="G258">
            <v>45356</v>
          </cell>
          <cell r="H258">
            <v>45357</v>
          </cell>
          <cell r="I258">
            <v>45357</v>
          </cell>
          <cell r="J258">
            <v>45357</v>
          </cell>
          <cell r="K258">
            <v>45357</v>
          </cell>
          <cell r="L258" t="str">
            <v>5.1.02.01.01.00
24</v>
          </cell>
          <cell r="M258" t="str">
            <v>06.05.</v>
          </cell>
          <cell r="N258" t="str">
            <v>06.05.08.</v>
          </cell>
          <cell r="O258" t="str">
            <v>Binder Klip  nomor 260</v>
          </cell>
          <cell r="P258" t="str">
            <v>Binder Klip  nomor 260</v>
          </cell>
          <cell r="Q258" t="str">
            <v>Alat Tulis Kantor (ATK)</v>
          </cell>
          <cell r="R258" t="str">
            <v>Binder Klip  nomor 260 (Merk: Kenko. size : 9,5cm x 5cm x 15cm Weight : 268 gram)</v>
          </cell>
          <cell r="S258">
            <v>10</v>
          </cell>
          <cell r="T258" t="str">
            <v>kotak</v>
          </cell>
          <cell r="U258">
            <v>20000</v>
          </cell>
          <cell r="V258">
            <v>200000</v>
          </cell>
          <cell r="W258" t="str">
            <v>UD. JOSUA</v>
          </cell>
          <cell r="X258" t="str">
            <v>Gestiwan Zebua</v>
          </cell>
          <cell r="Y258" t="str">
            <v>082166506229</v>
          </cell>
          <cell r="Z258" t="str">
            <v>Jl. Pasir Putih Pasar Telukdalam, Telukdalam Kab. Nias Selatan</v>
          </cell>
          <cell r="AG258">
            <v>3</v>
          </cell>
        </row>
        <row r="259">
          <cell r="A259">
            <v>257</v>
          </cell>
          <cell r="B259" t="str">
            <v>74</v>
          </cell>
          <cell r="C259" t="str">
            <v>74</v>
          </cell>
          <cell r="D259" t="str">
            <v>BPU43</v>
          </cell>
          <cell r="E259">
            <v>258</v>
          </cell>
          <cell r="F259" t="str">
            <v>74</v>
          </cell>
          <cell r="G259">
            <v>45356</v>
          </cell>
          <cell r="H259">
            <v>45357</v>
          </cell>
          <cell r="I259">
            <v>45357</v>
          </cell>
          <cell r="J259">
            <v>45357</v>
          </cell>
          <cell r="K259">
            <v>45357</v>
          </cell>
          <cell r="L259" t="str">
            <v>5.1.02.01.01.00
24</v>
          </cell>
          <cell r="M259" t="str">
            <v>06.05.</v>
          </cell>
          <cell r="N259" t="str">
            <v>06.05.08.</v>
          </cell>
          <cell r="O259" t="str">
            <v>C. Tinta Printer EPSON Tinta Printer Epson Yellow</v>
          </cell>
          <cell r="P259" t="str">
            <v>C. Tinta Printer EPSON Tinta Printer Epson Yellow</v>
          </cell>
          <cell r="Q259" t="str">
            <v>Alat Tulis Kantor (ATK)</v>
          </cell>
          <cell r="R259" t="str">
            <v>Tinta Printer Epson 664 Kuning (Length 5.0Cm, Width 5.0Cm, Height 5.0Cm, Weight 5Gr)</v>
          </cell>
          <cell r="S259">
            <v>4</v>
          </cell>
          <cell r="T259" t="str">
            <v>botol</v>
          </cell>
          <cell r="U259">
            <v>110000</v>
          </cell>
          <cell r="V259">
            <v>440000</v>
          </cell>
          <cell r="W259" t="str">
            <v>UD. JOSUA</v>
          </cell>
          <cell r="X259" t="str">
            <v>Gestiwan Zebua</v>
          </cell>
          <cell r="Y259" t="str">
            <v>082166506229</v>
          </cell>
          <cell r="Z259" t="str">
            <v>Jl. Pasir Putih Pasar Telukdalam, Telukdalam Kab. Nias Selatan</v>
          </cell>
          <cell r="AG259">
            <v>3</v>
          </cell>
        </row>
        <row r="260">
          <cell r="A260">
            <v>258</v>
          </cell>
          <cell r="B260" t="str">
            <v>74</v>
          </cell>
          <cell r="C260" t="str">
            <v>74</v>
          </cell>
          <cell r="D260" t="str">
            <v>BPU43</v>
          </cell>
          <cell r="E260">
            <v>259</v>
          </cell>
          <cell r="F260" t="str">
            <v>74</v>
          </cell>
          <cell r="G260">
            <v>45356</v>
          </cell>
          <cell r="H260">
            <v>45357</v>
          </cell>
          <cell r="I260">
            <v>45357</v>
          </cell>
          <cell r="J260">
            <v>45357</v>
          </cell>
          <cell r="K260">
            <v>45357</v>
          </cell>
          <cell r="L260" t="str">
            <v>5.1.02.01.01.00
24</v>
          </cell>
          <cell r="M260" t="str">
            <v>06.05.</v>
          </cell>
          <cell r="N260" t="str">
            <v>06.05.08.</v>
          </cell>
          <cell r="O260" t="str">
            <v>PAPER CLIP  Paper Clip No 1</v>
          </cell>
          <cell r="P260" t="str">
            <v>PAPER CLIP  Paper Clip No 1</v>
          </cell>
          <cell r="Q260" t="str">
            <v>Alat Tulis Kantor (ATK)</v>
          </cell>
          <cell r="R260" t="str">
            <v>Paper Clip No 1 (Length 5.0Cm, Width 5.0Cm, Height 5.0Cm, Weight 5Gr)</v>
          </cell>
          <cell r="S260">
            <v>5</v>
          </cell>
          <cell r="T260" t="str">
            <v>kotak</v>
          </cell>
          <cell r="U260">
            <v>5000</v>
          </cell>
          <cell r="V260">
            <v>25000</v>
          </cell>
          <cell r="W260" t="str">
            <v>UD. JOSUA</v>
          </cell>
          <cell r="X260" t="str">
            <v>Gestiwan Zebua</v>
          </cell>
          <cell r="Y260" t="str">
            <v>082166506229</v>
          </cell>
          <cell r="Z260" t="str">
            <v>Jl. Pasir Putih Pasar Telukdalam, Telukdalam Kab. Nias Selatan</v>
          </cell>
          <cell r="AG260">
            <v>3</v>
          </cell>
        </row>
        <row r="261">
          <cell r="A261">
            <v>259</v>
          </cell>
          <cell r="B261" t="str">
            <v>74</v>
          </cell>
          <cell r="C261" t="str">
            <v>74</v>
          </cell>
          <cell r="D261" t="str">
            <v>BPU43</v>
          </cell>
          <cell r="E261">
            <v>260</v>
          </cell>
          <cell r="F261" t="str">
            <v>74</v>
          </cell>
          <cell r="G261">
            <v>45356</v>
          </cell>
          <cell r="H261">
            <v>45357</v>
          </cell>
          <cell r="I261">
            <v>45357</v>
          </cell>
          <cell r="J261">
            <v>45357</v>
          </cell>
          <cell r="K261">
            <v>45357</v>
          </cell>
          <cell r="L261" t="str">
            <v>5.1.02.01.01.00
24</v>
          </cell>
          <cell r="M261" t="str">
            <v>06.05.</v>
          </cell>
          <cell r="N261" t="str">
            <v>06.05.08.</v>
          </cell>
          <cell r="O261" t="str">
            <v>Tinta Stempel</v>
          </cell>
          <cell r="P261" t="str">
            <v>Tinta Stempel</v>
          </cell>
          <cell r="Q261" t="str">
            <v>Alat Tulis Kantor (ATK)</v>
          </cell>
          <cell r="R261" t="str">
            <v>Tinta Stempel (Ukuran Produk 105 X 35 X 35 Mm, Isi 1 Botol 50 Ml, Berat Satuan 85 Gram)</v>
          </cell>
          <cell r="S261">
            <v>5</v>
          </cell>
          <cell r="T261" t="str">
            <v>botol</v>
          </cell>
          <cell r="U261">
            <v>20000</v>
          </cell>
          <cell r="V261">
            <v>100000</v>
          </cell>
          <cell r="W261" t="str">
            <v>UD. JOSUA</v>
          </cell>
          <cell r="X261" t="str">
            <v>Gestiwan Zebua</v>
          </cell>
          <cell r="Y261" t="str">
            <v>082166506229</v>
          </cell>
          <cell r="Z261" t="str">
            <v>Jl. Pasir Putih Pasar Telukdalam, Telukdalam Kab. Nias Selatan</v>
          </cell>
          <cell r="AG261">
            <v>3</v>
          </cell>
        </row>
        <row r="262">
          <cell r="A262">
            <v>260</v>
          </cell>
          <cell r="B262" t="str">
            <v>74</v>
          </cell>
          <cell r="C262" t="str">
            <v>74</v>
          </cell>
          <cell r="D262" t="str">
            <v>BPU43</v>
          </cell>
          <cell r="E262">
            <v>261</v>
          </cell>
          <cell r="F262" t="str">
            <v>74</v>
          </cell>
          <cell r="G262">
            <v>45356</v>
          </cell>
          <cell r="H262">
            <v>45357</v>
          </cell>
          <cell r="I262">
            <v>45357</v>
          </cell>
          <cell r="J262">
            <v>45357</v>
          </cell>
          <cell r="K262">
            <v>45357</v>
          </cell>
          <cell r="L262" t="str">
            <v>5.1.02.01.01.00
24</v>
          </cell>
          <cell r="M262" t="str">
            <v>06.05.</v>
          </cell>
          <cell r="N262" t="str">
            <v>06.05.08.</v>
          </cell>
          <cell r="O262" t="str">
            <v>Kertas HVS 80 gram Merk : Paper One A4, Ukuran : 8,27" x 11,69", Isi : 500 lembar</v>
          </cell>
          <cell r="P262" t="str">
            <v>Kertas HVS 80 gram Merk : Paper One A4, Ukuran : 8,27" x 11,69", Isi : 500 lembar</v>
          </cell>
          <cell r="Q262" t="str">
            <v>Alat Tulis Kantor (ATK)</v>
          </cell>
          <cell r="R262" t="str">
            <v>Kertas Hvs A4 80Gsm Paper One (Length 30.0Cm, Width 21.0Cm, Height 7.0Cm, Weight 2394Gr)</v>
          </cell>
          <cell r="S262">
            <v>40</v>
          </cell>
          <cell r="T262" t="str">
            <v>rim</v>
          </cell>
          <cell r="U262">
            <v>50000</v>
          </cell>
          <cell r="V262">
            <v>2000000</v>
          </cell>
          <cell r="W262" t="str">
            <v>UD. JOSUA</v>
          </cell>
          <cell r="X262" t="str">
            <v>Gestiwan Zebua</v>
          </cell>
          <cell r="Y262" t="str">
            <v>082166506229</v>
          </cell>
          <cell r="Z262" t="str">
            <v>Jl. Pasir Putih Pasar Telukdalam, Telukdalam Kab. Nias Selatan</v>
          </cell>
          <cell r="AG262">
            <v>3</v>
          </cell>
        </row>
        <row r="263">
          <cell r="A263">
            <v>261</v>
          </cell>
          <cell r="B263" t="str">
            <v>74</v>
          </cell>
          <cell r="C263" t="str">
            <v>74</v>
          </cell>
          <cell r="D263" t="str">
            <v>BPU43</v>
          </cell>
          <cell r="E263">
            <v>262</v>
          </cell>
          <cell r="F263" t="str">
            <v>74</v>
          </cell>
          <cell r="G263">
            <v>45356</v>
          </cell>
          <cell r="H263">
            <v>45357</v>
          </cell>
          <cell r="I263">
            <v>45357</v>
          </cell>
          <cell r="J263">
            <v>45357</v>
          </cell>
          <cell r="K263">
            <v>45357</v>
          </cell>
          <cell r="L263" t="str">
            <v>5.1.02.01.01.00
24</v>
          </cell>
          <cell r="M263" t="str">
            <v>06.05.</v>
          </cell>
          <cell r="N263" t="str">
            <v>06.05.08.</v>
          </cell>
          <cell r="O263" t="str">
            <v>Stofmap Transparan</v>
          </cell>
          <cell r="P263" t="str">
            <v>Stofmap Transparan</v>
          </cell>
          <cell r="Q263" t="str">
            <v>Alat Tulis Kantor (ATK)</v>
          </cell>
          <cell r="R263" t="str">
            <v>Stofmap Transparan (Length 5.0Cm, Width 5.0Cm, Height 5.0Cm, Weight 5Gr)</v>
          </cell>
          <cell r="S263">
            <v>100</v>
          </cell>
          <cell r="T263" t="str">
            <v>buah</v>
          </cell>
          <cell r="U263">
            <v>5500</v>
          </cell>
          <cell r="V263">
            <v>550000</v>
          </cell>
          <cell r="W263" t="str">
            <v>UD. JOSUA</v>
          </cell>
          <cell r="X263" t="str">
            <v>Gestiwan Zebua</v>
          </cell>
          <cell r="Y263" t="str">
            <v>082166506229</v>
          </cell>
          <cell r="Z263" t="str">
            <v>Jl. Pasir Putih Pasar Telukdalam, Telukdalam Kab. Nias Selatan</v>
          </cell>
          <cell r="AG263">
            <v>3</v>
          </cell>
        </row>
        <row r="264">
          <cell r="A264">
            <v>262</v>
          </cell>
          <cell r="B264" t="str">
            <v>74</v>
          </cell>
          <cell r="C264" t="str">
            <v>74</v>
          </cell>
          <cell r="D264" t="str">
            <v>BPU43</v>
          </cell>
          <cell r="E264">
            <v>263</v>
          </cell>
          <cell r="F264" t="str">
            <v>74</v>
          </cell>
          <cell r="G264">
            <v>45356</v>
          </cell>
          <cell r="H264">
            <v>45357</v>
          </cell>
          <cell r="I264">
            <v>45357</v>
          </cell>
          <cell r="J264">
            <v>45357</v>
          </cell>
          <cell r="K264">
            <v>45357</v>
          </cell>
          <cell r="L264" t="str">
            <v>5.1.02.01.01.00
24</v>
          </cell>
          <cell r="M264" t="str">
            <v>06.05.</v>
          </cell>
          <cell r="N264" t="str">
            <v>06.05.08.</v>
          </cell>
          <cell r="O264" t="str">
            <v>Amplop Panjang Putih Polos Merk : Jaya Ukuran : 11 x 23 cm</v>
          </cell>
          <cell r="P264" t="str">
            <v>Amplop Panjang Putih Polos Merk : Jaya Ukuran : 11 x 23 cm</v>
          </cell>
          <cell r="Q264" t="str">
            <v>Alat Tulis Kantor (ATK)</v>
          </cell>
          <cell r="R264" t="str">
            <v>Amplop Putih Panjang (Length 5.0Cm, Width 5.0Cm, Height 5.0Cm, Weight 5Gr)</v>
          </cell>
          <cell r="S264">
            <v>1</v>
          </cell>
          <cell r="T264" t="str">
            <v>kotak</v>
          </cell>
          <cell r="U264">
            <v>48000</v>
          </cell>
          <cell r="V264">
            <v>48000</v>
          </cell>
          <cell r="W264" t="str">
            <v>UD. JOSUA</v>
          </cell>
          <cell r="X264" t="str">
            <v>Gestiwan Zebua</v>
          </cell>
          <cell r="Y264" t="str">
            <v>082166506229</v>
          </cell>
          <cell r="Z264" t="str">
            <v>Jl. Pasir Putih Pasar Telukdalam, Telukdalam Kab. Nias Selatan</v>
          </cell>
          <cell r="AG264">
            <v>3</v>
          </cell>
        </row>
        <row r="265">
          <cell r="A265">
            <v>263</v>
          </cell>
          <cell r="B265" t="str">
            <v>74</v>
          </cell>
          <cell r="C265" t="str">
            <v>74</v>
          </cell>
          <cell r="D265" t="str">
            <v>BPU43</v>
          </cell>
          <cell r="E265">
            <v>264</v>
          </cell>
          <cell r="F265" t="str">
            <v>74</v>
          </cell>
          <cell r="G265">
            <v>45356</v>
          </cell>
          <cell r="H265">
            <v>45357</v>
          </cell>
          <cell r="I265">
            <v>45357</v>
          </cell>
          <cell r="J265">
            <v>45357</v>
          </cell>
          <cell r="K265">
            <v>45357</v>
          </cell>
          <cell r="L265" t="str">
            <v>5.1.02.01.01.00
24</v>
          </cell>
          <cell r="M265" t="str">
            <v>06.05.</v>
          </cell>
          <cell r="N265" t="str">
            <v>06.05.08.</v>
          </cell>
          <cell r="O265" t="str">
            <v>Kertas Post-It Warna Warni  Sign Here</v>
          </cell>
          <cell r="P265" t="str">
            <v>Kertas Post-It Warna Warni  Sign Here</v>
          </cell>
          <cell r="Q265" t="str">
            <v>Alat Tulis Kantor (ATK)</v>
          </cell>
          <cell r="R265" t="str">
            <v>Kertas Post-it/Sticky Note (ukuran: 2 x 4.8 cm)</v>
          </cell>
          <cell r="S265">
            <v>5</v>
          </cell>
          <cell r="T265" t="str">
            <v>buah</v>
          </cell>
          <cell r="U265">
            <v>22800</v>
          </cell>
          <cell r="V265">
            <v>114000</v>
          </cell>
          <cell r="W265" t="str">
            <v>UD. JOSUA</v>
          </cell>
          <cell r="X265" t="str">
            <v>Gestiwan Zebua</v>
          </cell>
          <cell r="Y265" t="str">
            <v>082166506229</v>
          </cell>
          <cell r="Z265" t="str">
            <v>Jl. Pasir Putih Pasar Telukdalam, Telukdalam Kab. Nias Selatan</v>
          </cell>
          <cell r="AG265">
            <v>3</v>
          </cell>
        </row>
        <row r="266">
          <cell r="A266">
            <v>264</v>
          </cell>
          <cell r="B266" t="str">
            <v>74</v>
          </cell>
          <cell r="C266" t="str">
            <v>74</v>
          </cell>
          <cell r="D266" t="str">
            <v>BPU43</v>
          </cell>
          <cell r="E266">
            <v>265</v>
          </cell>
          <cell r="F266" t="str">
            <v>74</v>
          </cell>
          <cell r="G266">
            <v>45356</v>
          </cell>
          <cell r="H266">
            <v>45357</v>
          </cell>
          <cell r="I266">
            <v>45357</v>
          </cell>
          <cell r="J266">
            <v>45357</v>
          </cell>
          <cell r="K266">
            <v>45357</v>
          </cell>
          <cell r="L266" t="str">
            <v>5.1.02.01.01.00
24</v>
          </cell>
          <cell r="M266" t="str">
            <v>06.05.</v>
          </cell>
          <cell r="N266" t="str">
            <v>06.05.08.</v>
          </cell>
          <cell r="O266" t="str">
            <v>Lakban Bening</v>
          </cell>
          <cell r="P266" t="str">
            <v>Lakban Bening Kecil</v>
          </cell>
          <cell r="Q266" t="str">
            <v>Alat Tulis Kantor (ATK)</v>
          </cell>
          <cell r="R266" t="str">
            <v>Lakban Bening Kecil (Length 5.0Cm, Width 5.0Cm, Height 5.0Cm, Weight 5Gr)</v>
          </cell>
          <cell r="S266">
            <v>5</v>
          </cell>
          <cell r="T266" t="str">
            <v>buah</v>
          </cell>
          <cell r="U266">
            <v>10000</v>
          </cell>
          <cell r="V266">
            <v>50000</v>
          </cell>
          <cell r="W266" t="str">
            <v>UD. JOSUA</v>
          </cell>
          <cell r="X266" t="str">
            <v>Gestiwan Zebua</v>
          </cell>
          <cell r="Y266" t="str">
            <v>082166506229</v>
          </cell>
          <cell r="Z266" t="str">
            <v>Jl. Pasir Putih Pasar Telukdalam, Telukdalam Kab. Nias Selatan</v>
          </cell>
          <cell r="AG266">
            <v>3</v>
          </cell>
        </row>
        <row r="267">
          <cell r="A267">
            <v>265</v>
          </cell>
          <cell r="B267" t="str">
            <v>74</v>
          </cell>
          <cell r="C267" t="str">
            <v>74</v>
          </cell>
          <cell r="D267" t="str">
            <v>BPU43</v>
          </cell>
          <cell r="E267">
            <v>266</v>
          </cell>
          <cell r="F267" t="str">
            <v>74</v>
          </cell>
          <cell r="G267">
            <v>45356</v>
          </cell>
          <cell r="H267">
            <v>45357</v>
          </cell>
          <cell r="I267">
            <v>45357</v>
          </cell>
          <cell r="J267">
            <v>45357</v>
          </cell>
          <cell r="K267">
            <v>45357</v>
          </cell>
          <cell r="L267" t="str">
            <v>5.1.02.01.01.00
24</v>
          </cell>
          <cell r="M267" t="str">
            <v>06.05.</v>
          </cell>
          <cell r="N267" t="str">
            <v>06.05.08.</v>
          </cell>
          <cell r="O267" t="str">
            <v>Binder Klip  nomor 200</v>
          </cell>
          <cell r="P267" t="str">
            <v>Binder Klip  nomor 200</v>
          </cell>
          <cell r="Q267" t="str">
            <v>Alat Tulis Kantor (ATK)</v>
          </cell>
          <cell r="R267" t="str">
            <v>Binder Clip Nomor 200 (Length 5.0Cm, Width 5.0Cm, Height 5.0Cm, Weight 5Gr)</v>
          </cell>
          <cell r="S267">
            <v>10</v>
          </cell>
          <cell r="T267" t="str">
            <v>kotak</v>
          </cell>
          <cell r="U267">
            <v>16500</v>
          </cell>
          <cell r="V267">
            <v>165000</v>
          </cell>
          <cell r="W267" t="str">
            <v>UD. JOSUA</v>
          </cell>
          <cell r="X267" t="str">
            <v>Gestiwan Zebua</v>
          </cell>
          <cell r="Y267" t="str">
            <v>082166506229</v>
          </cell>
          <cell r="Z267" t="str">
            <v>Jl. Pasir Putih Pasar Telukdalam, Telukdalam Kab. Nias Selatan</v>
          </cell>
          <cell r="AG267">
            <v>3</v>
          </cell>
        </row>
        <row r="268">
          <cell r="A268">
            <v>266</v>
          </cell>
          <cell r="B268" t="str">
            <v>74</v>
          </cell>
          <cell r="C268" t="str">
            <v>74</v>
          </cell>
          <cell r="D268" t="str">
            <v>BPU43</v>
          </cell>
          <cell r="E268">
            <v>267</v>
          </cell>
          <cell r="F268" t="str">
            <v>74</v>
          </cell>
          <cell r="G268">
            <v>45356</v>
          </cell>
          <cell r="H268">
            <v>45357</v>
          </cell>
          <cell r="I268">
            <v>45357</v>
          </cell>
          <cell r="J268">
            <v>45357</v>
          </cell>
          <cell r="K268">
            <v>45357</v>
          </cell>
          <cell r="L268" t="str">
            <v>5.1.02.01.01.00
24</v>
          </cell>
          <cell r="M268" t="str">
            <v>06.05.</v>
          </cell>
          <cell r="N268" t="str">
            <v>06.05.08.</v>
          </cell>
          <cell r="O268" t="str">
            <v>Baterey Tanggung</v>
          </cell>
          <cell r="P268" t="str">
            <v>Baterey Tanggung</v>
          </cell>
          <cell r="Q268" t="str">
            <v>Alat Tulis Kantor (ATK)</v>
          </cell>
          <cell r="R268" t="str">
            <v>Baterai Tanggung (Length 5.0Cm, Width 5.0Cm, Height 5.0Cm, Weight 5Gr)</v>
          </cell>
          <cell r="S268">
            <v>5</v>
          </cell>
          <cell r="T268" t="str">
            <v>pasang</v>
          </cell>
          <cell r="U268">
            <v>20000</v>
          </cell>
          <cell r="V268">
            <v>100000</v>
          </cell>
          <cell r="W268" t="str">
            <v>UD. JOSUA</v>
          </cell>
          <cell r="X268" t="str">
            <v>Gestiwan Zebua</v>
          </cell>
          <cell r="Y268" t="str">
            <v>082166506229</v>
          </cell>
          <cell r="Z268" t="str">
            <v>Jl. Pasir Putih Pasar Telukdalam, Telukdalam Kab. Nias Selatan</v>
          </cell>
          <cell r="AG268">
            <v>3</v>
          </cell>
        </row>
        <row r="269">
          <cell r="A269">
            <v>267</v>
          </cell>
          <cell r="B269" t="str">
            <v>74</v>
          </cell>
          <cell r="C269" t="str">
            <v>74</v>
          </cell>
          <cell r="D269" t="str">
            <v>BPU43</v>
          </cell>
          <cell r="E269">
            <v>268</v>
          </cell>
          <cell r="F269" t="str">
            <v>74</v>
          </cell>
          <cell r="G269">
            <v>45356</v>
          </cell>
          <cell r="H269">
            <v>45357</v>
          </cell>
          <cell r="I269">
            <v>45357</v>
          </cell>
          <cell r="J269">
            <v>45357</v>
          </cell>
          <cell r="K269">
            <v>45357</v>
          </cell>
          <cell r="L269" t="str">
            <v>5.1.02.01.01.00
24</v>
          </cell>
          <cell r="M269" t="str">
            <v>06.05.</v>
          </cell>
          <cell r="N269" t="str">
            <v>06.05.08.</v>
          </cell>
          <cell r="O269" t="str">
            <v>C. Tinta Printer EPSON Toner Epson 664 Black</v>
          </cell>
          <cell r="P269" t="str">
            <v>C. Tinta Printer EPSON Toner Epson 664 Black</v>
          </cell>
          <cell r="Q269" t="str">
            <v>Alat Tulis Kantor (ATK)</v>
          </cell>
          <cell r="R269" t="str">
            <v>Tinta Printer Epson 664 Hitam (Length 5.0Cm, Width 5.0Cm, Height 5.0Cm, Weight 5Gr)</v>
          </cell>
          <cell r="S269">
            <v>6</v>
          </cell>
          <cell r="T269" t="str">
            <v>botol</v>
          </cell>
          <cell r="U269">
            <v>85000</v>
          </cell>
          <cell r="V269">
            <v>510000</v>
          </cell>
          <cell r="W269" t="str">
            <v>UD. JOSUA</v>
          </cell>
          <cell r="X269" t="str">
            <v>Gestiwan Zebua</v>
          </cell>
          <cell r="Y269" t="str">
            <v>082166506229</v>
          </cell>
          <cell r="Z269" t="str">
            <v>Jl. Pasir Putih Pasar Telukdalam, Telukdalam Kab. Nias Selatan</v>
          </cell>
          <cell r="AG269">
            <v>3</v>
          </cell>
        </row>
        <row r="270">
          <cell r="A270">
            <v>268</v>
          </cell>
          <cell r="B270" t="str">
            <v>74</v>
          </cell>
          <cell r="C270" t="str">
            <v>74</v>
          </cell>
          <cell r="D270" t="str">
            <v>BPU43</v>
          </cell>
          <cell r="E270">
            <v>269</v>
          </cell>
          <cell r="F270" t="str">
            <v>74</v>
          </cell>
          <cell r="G270">
            <v>45356</v>
          </cell>
          <cell r="H270">
            <v>45357</v>
          </cell>
          <cell r="I270">
            <v>45357</v>
          </cell>
          <cell r="J270">
            <v>45357</v>
          </cell>
          <cell r="K270">
            <v>45357</v>
          </cell>
          <cell r="L270" t="str">
            <v>5.1.02.01.01.00
24</v>
          </cell>
          <cell r="M270" t="str">
            <v>06.05.</v>
          </cell>
          <cell r="N270" t="str">
            <v>06.05.08.</v>
          </cell>
          <cell r="O270" t="str">
            <v>Isi Staples Sedang</v>
          </cell>
          <cell r="P270" t="str">
            <v>Isi Staples Sedang</v>
          </cell>
          <cell r="Q270" t="str">
            <v>Alat Tulis Kantor (ATK)</v>
          </cell>
          <cell r="R270" t="str">
            <v>Isi Staples Sedang (Dimensi, 2Cm X 4Cm X 1Cm. Berat, 5G.)</v>
          </cell>
          <cell r="S270">
            <v>2</v>
          </cell>
          <cell r="T270" t="str">
            <v>kotak</v>
          </cell>
          <cell r="U270">
            <v>40000</v>
          </cell>
          <cell r="V270">
            <v>80000</v>
          </cell>
          <cell r="W270" t="str">
            <v>UD. JOSUA</v>
          </cell>
          <cell r="X270" t="str">
            <v>Gestiwan Zebua</v>
          </cell>
          <cell r="Y270" t="str">
            <v>082166506229</v>
          </cell>
          <cell r="Z270" t="str">
            <v>Jl. Pasir Putih Pasar Telukdalam, Telukdalam Kab. Nias Selatan</v>
          </cell>
          <cell r="AG270">
            <v>3</v>
          </cell>
        </row>
        <row r="271">
          <cell r="A271">
            <v>269</v>
          </cell>
          <cell r="B271" t="str">
            <v>74</v>
          </cell>
          <cell r="C271" t="str">
            <v>74</v>
          </cell>
          <cell r="D271" t="str">
            <v>BPU43</v>
          </cell>
          <cell r="E271">
            <v>270</v>
          </cell>
          <cell r="F271" t="str">
            <v>74</v>
          </cell>
          <cell r="G271">
            <v>45356</v>
          </cell>
          <cell r="H271">
            <v>45357</v>
          </cell>
          <cell r="I271">
            <v>45357</v>
          </cell>
          <cell r="J271">
            <v>45357</v>
          </cell>
          <cell r="K271">
            <v>45357</v>
          </cell>
          <cell r="L271" t="str">
            <v>5.1.02.01.01.00
24</v>
          </cell>
          <cell r="M271" t="str">
            <v>06.05.</v>
          </cell>
          <cell r="N271" t="str">
            <v>06.05.08.</v>
          </cell>
          <cell r="O271" t="str">
            <v>Kertas Warna Blank Folio, Ukuran : 8,5 x 14",  70 gram</v>
          </cell>
          <cell r="P271" t="str">
            <v>Kertas Warna Blank Folio, Ukuran : 8,5 x 14",  70 gram</v>
          </cell>
          <cell r="Q271" t="str">
            <v>Alat Tulis Kantor (ATK)</v>
          </cell>
          <cell r="R271" t="str">
            <v>Kertas Hvs Warna 70 Gsm (Length 21.0Cm, Width 33.0Cm, Height 7.0Cm, Weight 2400Gr)</v>
          </cell>
          <cell r="S271">
            <v>2</v>
          </cell>
          <cell r="T271" t="str">
            <v>rim</v>
          </cell>
          <cell r="U271">
            <v>90000</v>
          </cell>
          <cell r="V271">
            <v>180000</v>
          </cell>
          <cell r="W271" t="str">
            <v>UD. JOSUA</v>
          </cell>
          <cell r="X271" t="str">
            <v>Gestiwan Zebua</v>
          </cell>
          <cell r="Y271" t="str">
            <v>082166506229</v>
          </cell>
          <cell r="Z271" t="str">
            <v>Jl. Pasir Putih Pasar Telukdalam, Telukdalam Kab. Nias Selatan</v>
          </cell>
          <cell r="AG271">
            <v>3</v>
          </cell>
        </row>
        <row r="272">
          <cell r="A272">
            <v>270</v>
          </cell>
          <cell r="B272" t="str">
            <v>74</v>
          </cell>
          <cell r="C272" t="str">
            <v>74</v>
          </cell>
          <cell r="D272" t="str">
            <v>BPU43</v>
          </cell>
          <cell r="E272">
            <v>271</v>
          </cell>
          <cell r="F272" t="str">
            <v>74</v>
          </cell>
          <cell r="G272">
            <v>45356</v>
          </cell>
          <cell r="H272">
            <v>45357</v>
          </cell>
          <cell r="I272">
            <v>45357</v>
          </cell>
          <cell r="J272">
            <v>45357</v>
          </cell>
          <cell r="K272">
            <v>45357</v>
          </cell>
          <cell r="L272" t="str">
            <v>5.1.02.01.01.00
24</v>
          </cell>
          <cell r="M272" t="str">
            <v>06.05.</v>
          </cell>
          <cell r="N272" t="str">
            <v>06.05.08.</v>
          </cell>
          <cell r="O272" t="str">
            <v>Sampul Plastik</v>
          </cell>
          <cell r="P272" t="str">
            <v>Sampul Plastik</v>
          </cell>
          <cell r="Q272" t="str">
            <v>Alat Tulis Kantor (ATK)</v>
          </cell>
          <cell r="R272" t="str">
            <v>Sampul Plastik (Length 5.0Cm, Width 5.0Cm, Height 5.0Cm, Weight 5Gr)</v>
          </cell>
          <cell r="S272">
            <v>5</v>
          </cell>
          <cell r="T272" t="str">
            <v>bungkus</v>
          </cell>
          <cell r="U272">
            <v>65000</v>
          </cell>
          <cell r="V272">
            <v>325000</v>
          </cell>
          <cell r="W272" t="str">
            <v>UD. JOSUA</v>
          </cell>
          <cell r="X272" t="str">
            <v>Gestiwan Zebua</v>
          </cell>
          <cell r="Y272" t="str">
            <v>082166506229</v>
          </cell>
          <cell r="Z272" t="str">
            <v>Jl. Pasir Putih Pasar Telukdalam, Telukdalam Kab. Nias Selatan</v>
          </cell>
          <cell r="AG272">
            <v>3</v>
          </cell>
        </row>
        <row r="273">
          <cell r="A273">
            <v>271</v>
          </cell>
          <cell r="B273" t="str">
            <v>74</v>
          </cell>
          <cell r="C273" t="str">
            <v>74</v>
          </cell>
          <cell r="D273" t="str">
            <v>BPU43</v>
          </cell>
          <cell r="E273">
            <v>272</v>
          </cell>
          <cell r="F273" t="str">
            <v>74</v>
          </cell>
          <cell r="G273">
            <v>45356</v>
          </cell>
          <cell r="H273">
            <v>45357</v>
          </cell>
          <cell r="I273">
            <v>45357</v>
          </cell>
          <cell r="J273">
            <v>45357</v>
          </cell>
          <cell r="K273">
            <v>45357</v>
          </cell>
          <cell r="L273" t="str">
            <v>5.1.02.01.01.00
24</v>
          </cell>
          <cell r="M273" t="str">
            <v>06.05.</v>
          </cell>
          <cell r="N273" t="str">
            <v>06.05.08.</v>
          </cell>
          <cell r="O273" t="str">
            <v>Box File Merk : Bantex Ukuran : 115x270x325 mm</v>
          </cell>
          <cell r="P273" t="str">
            <v>Box File Merk : Bantex Ukuran : 115x270x325 mm</v>
          </cell>
          <cell r="Q273" t="str">
            <v>Alat Tulis Kantor (ATK)</v>
          </cell>
          <cell r="R273" t="str">
            <v>Box File (Merk : Bantex Ukuran : 115x270x325 mm)</v>
          </cell>
          <cell r="S273">
            <v>4</v>
          </cell>
          <cell r="T273" t="str">
            <v>buah</v>
          </cell>
          <cell r="U273">
            <v>59800</v>
          </cell>
          <cell r="V273">
            <v>239200</v>
          </cell>
          <cell r="W273" t="str">
            <v>UD. JOSUA</v>
          </cell>
          <cell r="X273" t="str">
            <v>Gestiwan Zebua</v>
          </cell>
          <cell r="Y273" t="str">
            <v>082166506229</v>
          </cell>
          <cell r="Z273" t="str">
            <v>Jl. Pasir Putih Pasar Telukdalam, Telukdalam Kab. Nias Selatan</v>
          </cell>
          <cell r="AG273">
            <v>3</v>
          </cell>
        </row>
        <row r="274">
          <cell r="A274">
            <v>272</v>
          </cell>
          <cell r="B274" t="str">
            <v>74</v>
          </cell>
          <cell r="C274" t="str">
            <v>74</v>
          </cell>
          <cell r="D274" t="str">
            <v>BPU43</v>
          </cell>
          <cell r="E274">
            <v>273</v>
          </cell>
          <cell r="F274" t="str">
            <v>74</v>
          </cell>
          <cell r="G274">
            <v>45356</v>
          </cell>
          <cell r="H274">
            <v>45357</v>
          </cell>
          <cell r="I274">
            <v>45357</v>
          </cell>
          <cell r="J274">
            <v>45357</v>
          </cell>
          <cell r="K274">
            <v>45357</v>
          </cell>
          <cell r="L274" t="str">
            <v>5.1.02.01.01.00
24</v>
          </cell>
          <cell r="M274" t="str">
            <v>06.05.</v>
          </cell>
          <cell r="N274" t="str">
            <v>06.05.08.</v>
          </cell>
          <cell r="O274" t="str">
            <v>Catridge Printer Epson T 014--</v>
          </cell>
          <cell r="P274" t="str">
            <v>Catridge Printer Epson T 014--</v>
          </cell>
          <cell r="Q274" t="str">
            <v>Alat Tulis Kantor (ATK)</v>
          </cell>
          <cell r="R274" t="str">
            <v>Catridge Printer Epson T 014 (Tipe: T6641 Black, T6642 Cyan, T6643 Magenta, T6644 Yellow; Isi: 70 Ml)</v>
          </cell>
          <cell r="S274">
            <v>4</v>
          </cell>
          <cell r="T274" t="str">
            <v>botol</v>
          </cell>
          <cell r="U274">
            <v>310000</v>
          </cell>
          <cell r="V274">
            <v>1240000</v>
          </cell>
          <cell r="W274" t="str">
            <v>UD. JOSUA</v>
          </cell>
          <cell r="X274" t="str">
            <v>Gestiwan Zebua</v>
          </cell>
          <cell r="Y274" t="str">
            <v>082166506229</v>
          </cell>
          <cell r="Z274" t="str">
            <v>Jl. Pasir Putih Pasar Telukdalam, Telukdalam Kab. Nias Selatan</v>
          </cell>
          <cell r="AG274">
            <v>3</v>
          </cell>
        </row>
        <row r="275">
          <cell r="A275">
            <v>273</v>
          </cell>
          <cell r="B275" t="str">
            <v>74</v>
          </cell>
          <cell r="C275" t="str">
            <v>74</v>
          </cell>
          <cell r="D275" t="str">
            <v>BPU43</v>
          </cell>
          <cell r="E275">
            <v>274</v>
          </cell>
          <cell r="F275" t="str">
            <v>74</v>
          </cell>
          <cell r="G275">
            <v>45356</v>
          </cell>
          <cell r="H275">
            <v>45357</v>
          </cell>
          <cell r="I275">
            <v>45357</v>
          </cell>
          <cell r="J275">
            <v>45357</v>
          </cell>
          <cell r="K275">
            <v>45357</v>
          </cell>
          <cell r="L275" t="str">
            <v>5.1.02.01.01.00
24</v>
          </cell>
          <cell r="M275" t="str">
            <v>06.05.</v>
          </cell>
          <cell r="N275" t="str">
            <v>06.05.08.</v>
          </cell>
          <cell r="O275" t="str">
            <v>USB FLASH DISK USB/Flash Disk 4GB</v>
          </cell>
          <cell r="P275" t="str">
            <v>USB FLASH DISK USB/Flash Disk 4GB</v>
          </cell>
          <cell r="Q275" t="str">
            <v>Alat Tulis Kantor (ATK)</v>
          </cell>
          <cell r="R275" t="str">
            <v>Usb Flash Disk Usb/Flash Disk 4Gb (Ukuran 50 X 15 X 6 Mm, Berat 26 Gr)</v>
          </cell>
          <cell r="S275">
            <v>1</v>
          </cell>
          <cell r="T275" t="str">
            <v>buah</v>
          </cell>
          <cell r="U275">
            <v>80000</v>
          </cell>
          <cell r="V275">
            <v>80000</v>
          </cell>
          <cell r="W275" t="str">
            <v>UD. JOSUA</v>
          </cell>
          <cell r="X275" t="str">
            <v>Gestiwan Zebua</v>
          </cell>
          <cell r="Y275" t="str">
            <v>082166506229</v>
          </cell>
          <cell r="Z275" t="str">
            <v>Jl. Pasir Putih Pasar Telukdalam, Telukdalam Kab. Nias Selatan</v>
          </cell>
          <cell r="AG275">
            <v>3</v>
          </cell>
        </row>
        <row r="276">
          <cell r="A276">
            <v>274</v>
          </cell>
          <cell r="B276" t="str">
            <v>74</v>
          </cell>
          <cell r="C276" t="str">
            <v>74</v>
          </cell>
          <cell r="D276" t="str">
            <v>BPU43</v>
          </cell>
          <cell r="E276">
            <v>275</v>
          </cell>
          <cell r="F276" t="str">
            <v>74</v>
          </cell>
          <cell r="G276">
            <v>45356</v>
          </cell>
          <cell r="H276">
            <v>45357</v>
          </cell>
          <cell r="I276">
            <v>45357</v>
          </cell>
          <cell r="J276">
            <v>45357</v>
          </cell>
          <cell r="K276">
            <v>45357</v>
          </cell>
          <cell r="L276" t="str">
            <v>5.1.02.01.01.00
24</v>
          </cell>
          <cell r="M276" t="str">
            <v>06.05.</v>
          </cell>
          <cell r="N276" t="str">
            <v>06.05.08.</v>
          </cell>
          <cell r="O276" t="str">
            <v>Lakban warna Uk 2" Warna Coklat Cofiie</v>
          </cell>
          <cell r="P276" t="str">
            <v>Lakban warna Uk 2" Warna Coklat Cofiie</v>
          </cell>
          <cell r="Q276" t="str">
            <v>Alat Tulis Kantor (ATK)</v>
          </cell>
          <cell r="R276" t="str">
            <v>Lakban Warna Uk 2" Warna Coklat Cofiie (Ukuran 90Yard Lebar : 48Mm)</v>
          </cell>
          <cell r="S276">
            <v>3</v>
          </cell>
          <cell r="T276" t="str">
            <v>buah</v>
          </cell>
          <cell r="U276">
            <v>20000</v>
          </cell>
          <cell r="V276">
            <v>60000</v>
          </cell>
          <cell r="W276" t="str">
            <v>UD. JOSUA</v>
          </cell>
          <cell r="X276" t="str">
            <v>Gestiwan Zebua</v>
          </cell>
          <cell r="Y276" t="str">
            <v>082166506229</v>
          </cell>
          <cell r="Z276" t="str">
            <v>Jl. Pasir Putih Pasar Telukdalam, Telukdalam Kab. Nias Selatan</v>
          </cell>
          <cell r="AG276">
            <v>3</v>
          </cell>
        </row>
        <row r="277">
          <cell r="A277">
            <v>275</v>
          </cell>
          <cell r="B277" t="str">
            <v>74</v>
          </cell>
          <cell r="C277" t="str">
            <v>74</v>
          </cell>
          <cell r="D277" t="str">
            <v>BPU43</v>
          </cell>
          <cell r="E277">
            <v>276</v>
          </cell>
          <cell r="F277" t="str">
            <v>74</v>
          </cell>
          <cell r="G277">
            <v>45356</v>
          </cell>
          <cell r="H277">
            <v>45357</v>
          </cell>
          <cell r="I277">
            <v>45357</v>
          </cell>
          <cell r="J277">
            <v>45357</v>
          </cell>
          <cell r="K277">
            <v>45357</v>
          </cell>
          <cell r="L277" t="str">
            <v>5.1.02.01.01.00
24</v>
          </cell>
          <cell r="M277" t="str">
            <v>06.05.</v>
          </cell>
          <cell r="N277" t="str">
            <v>06.05.08.</v>
          </cell>
          <cell r="O277" t="str">
            <v>gunting kertas-ukuran : panjang 21cm x lebar 8cm, stainless steel</v>
          </cell>
          <cell r="P277" t="str">
            <v>gunting kertas-ukuran : panjang 21cm x lebar 8cm, stainless steel</v>
          </cell>
          <cell r="Q277" t="str">
            <v>Alat Tulis Kantor (ATK)</v>
          </cell>
          <cell r="R277" t="str">
            <v>Gunting Sedang (Length 5.0Cm, Width 5.0Cm, Height 5.0Cm, Weight 5Gr)</v>
          </cell>
          <cell r="S277">
            <v>2</v>
          </cell>
          <cell r="T277" t="str">
            <v>buah</v>
          </cell>
          <cell r="U277">
            <v>20000</v>
          </cell>
          <cell r="V277">
            <v>40000</v>
          </cell>
          <cell r="W277" t="str">
            <v>UD. JOSUA</v>
          </cell>
          <cell r="X277" t="str">
            <v>Gestiwan Zebua</v>
          </cell>
          <cell r="Y277" t="str">
            <v>082166506229</v>
          </cell>
          <cell r="Z277" t="str">
            <v>Jl. Pasir Putih Pasar Telukdalam, Telukdalam Kab. Nias Selatan</v>
          </cell>
          <cell r="AG277">
            <v>3</v>
          </cell>
        </row>
        <row r="278">
          <cell r="A278">
            <v>276</v>
          </cell>
          <cell r="B278" t="str">
            <v>74</v>
          </cell>
          <cell r="C278" t="str">
            <v>74</v>
          </cell>
          <cell r="D278" t="str">
            <v>BPU43</v>
          </cell>
          <cell r="E278">
            <v>277</v>
          </cell>
          <cell r="F278" t="str">
            <v>74</v>
          </cell>
          <cell r="G278">
            <v>45356</v>
          </cell>
          <cell r="H278">
            <v>45357</v>
          </cell>
          <cell r="I278">
            <v>45357</v>
          </cell>
          <cell r="J278">
            <v>45357</v>
          </cell>
          <cell r="K278">
            <v>45357</v>
          </cell>
          <cell r="L278" t="str">
            <v>5.1.02.01.01.00
24</v>
          </cell>
          <cell r="M278" t="str">
            <v>06.05.</v>
          </cell>
          <cell r="N278" t="str">
            <v>06.05.08.</v>
          </cell>
          <cell r="O278" t="str">
            <v>Ballpoint Standard AE7</v>
          </cell>
          <cell r="P278" t="str">
            <v>Ballpoint Standard AE7</v>
          </cell>
          <cell r="Q278" t="str">
            <v>Alat Tulis Kantor (ATK)</v>
          </cell>
          <cell r="R278" t="str">
            <v>Ballpoint Standard Ae7 (Ukuran: 0.5 Mm Warna: Hitam 1 , Lebar Produk 6 Cm, Tinggi Produk 4 Cm)</v>
          </cell>
          <cell r="S278">
            <v>2</v>
          </cell>
          <cell r="T278" t="str">
            <v>lusin</v>
          </cell>
          <cell r="U278">
            <v>20000</v>
          </cell>
          <cell r="V278">
            <v>40000</v>
          </cell>
          <cell r="W278" t="str">
            <v>UD. JOSUA</v>
          </cell>
          <cell r="X278" t="str">
            <v>Gestiwan Zebua</v>
          </cell>
          <cell r="Y278" t="str">
            <v>082166506229</v>
          </cell>
          <cell r="Z278" t="str">
            <v>Jl. Pasir Putih Pasar Telukdalam, Telukdalam Kab. Nias Selatan</v>
          </cell>
          <cell r="AG278">
            <v>3</v>
          </cell>
        </row>
        <row r="279">
          <cell r="A279">
            <v>277</v>
          </cell>
          <cell r="B279" t="str">
            <v>74</v>
          </cell>
          <cell r="C279" t="str">
            <v>74</v>
          </cell>
          <cell r="D279" t="str">
            <v>BPU43</v>
          </cell>
          <cell r="E279">
            <v>278</v>
          </cell>
          <cell r="F279" t="str">
            <v>74</v>
          </cell>
          <cell r="G279">
            <v>45356</v>
          </cell>
          <cell r="H279">
            <v>45357</v>
          </cell>
          <cell r="I279">
            <v>45357</v>
          </cell>
          <cell r="J279">
            <v>45357</v>
          </cell>
          <cell r="K279">
            <v>45357</v>
          </cell>
          <cell r="L279" t="str">
            <v>5.1.02.01.01.00
24</v>
          </cell>
          <cell r="M279" t="str">
            <v>06.05.</v>
          </cell>
          <cell r="N279" t="str">
            <v>06.05.08.</v>
          </cell>
          <cell r="O279" t="str">
            <v>C. Tinta Printer EPSON Tinta Printer Epson Read</v>
          </cell>
          <cell r="P279" t="str">
            <v>C. Tinta Printer EPSON Tinta Printer Epson Read</v>
          </cell>
          <cell r="Q279" t="str">
            <v>Alat Tulis Kantor (ATK)</v>
          </cell>
          <cell r="R279" t="str">
            <v>Tnta Printer Epson 664 Merah (Length 5.0Cm, Width 5.0Cm, Height 5.0Cm, Weight 5Gr)</v>
          </cell>
          <cell r="S279">
            <v>4</v>
          </cell>
          <cell r="T279" t="str">
            <v>botol</v>
          </cell>
          <cell r="U279">
            <v>110000</v>
          </cell>
          <cell r="V279">
            <v>440000</v>
          </cell>
          <cell r="W279" t="str">
            <v>UD. JOSUA</v>
          </cell>
          <cell r="X279" t="str">
            <v>Gestiwan Zebua</v>
          </cell>
          <cell r="Y279" t="str">
            <v>082166506229</v>
          </cell>
          <cell r="Z279" t="str">
            <v>Jl. Pasir Putih Pasar Telukdalam, Telukdalam Kab. Nias Selatan</v>
          </cell>
          <cell r="AG279">
            <v>3</v>
          </cell>
        </row>
        <row r="280">
          <cell r="A280">
            <v>278</v>
          </cell>
          <cell r="B280" t="str">
            <v>74</v>
          </cell>
          <cell r="C280" t="str">
            <v>74</v>
          </cell>
          <cell r="D280" t="str">
            <v>BPU43</v>
          </cell>
          <cell r="E280">
            <v>279</v>
          </cell>
          <cell r="F280" t="str">
            <v>74</v>
          </cell>
          <cell r="G280">
            <v>45356</v>
          </cell>
          <cell r="H280">
            <v>45357</v>
          </cell>
          <cell r="I280">
            <v>45357</v>
          </cell>
          <cell r="J280">
            <v>45357</v>
          </cell>
          <cell r="K280">
            <v>45357</v>
          </cell>
          <cell r="L280" t="str">
            <v>5.1.02.01.01.00
24</v>
          </cell>
          <cell r="M280" t="str">
            <v>06.05.</v>
          </cell>
          <cell r="N280" t="str">
            <v>06.05.08.</v>
          </cell>
          <cell r="O280" t="str">
            <v>Stofmap Kertas</v>
          </cell>
          <cell r="P280" t="str">
            <v>Stofmap Kertas</v>
          </cell>
          <cell r="Q280" t="str">
            <v>Alat Tulis Kantor (ATK)</v>
          </cell>
          <cell r="R280" t="str">
            <v>Stofmap Kertas (Length 5.0Cm, Width 5.0Cm, Height 5.0Cm, Weight 5Gr)</v>
          </cell>
          <cell r="S280">
            <v>1</v>
          </cell>
          <cell r="T280" t="str">
            <v>pak</v>
          </cell>
          <cell r="U280">
            <v>87500</v>
          </cell>
          <cell r="V280">
            <v>87500</v>
          </cell>
          <cell r="W280" t="str">
            <v>UD. JOSUA</v>
          </cell>
          <cell r="X280" t="str">
            <v>Gestiwan Zebua</v>
          </cell>
          <cell r="Y280" t="str">
            <v>082166506229</v>
          </cell>
          <cell r="Z280" t="str">
            <v>Jl. Pasir Putih Pasar Telukdalam, Telukdalam Kab. Nias Selatan</v>
          </cell>
          <cell r="AG280">
            <v>3</v>
          </cell>
        </row>
        <row r="281">
          <cell r="A281">
            <v>279</v>
          </cell>
          <cell r="B281" t="str">
            <v>74</v>
          </cell>
          <cell r="C281" t="str">
            <v>74</v>
          </cell>
          <cell r="D281" t="str">
            <v>BPU43</v>
          </cell>
          <cell r="E281">
            <v>280</v>
          </cell>
          <cell r="F281" t="str">
            <v>74</v>
          </cell>
          <cell r="G281">
            <v>45356</v>
          </cell>
          <cell r="H281">
            <v>45357</v>
          </cell>
          <cell r="I281">
            <v>45357</v>
          </cell>
          <cell r="J281">
            <v>45357</v>
          </cell>
          <cell r="K281">
            <v>45357</v>
          </cell>
          <cell r="L281" t="str">
            <v>5.1.02.01.01.00
24</v>
          </cell>
          <cell r="M281" t="str">
            <v>06.05.</v>
          </cell>
          <cell r="N281" t="str">
            <v>06.05.08.</v>
          </cell>
          <cell r="O281" t="str">
            <v>lakban hitam-ukuran : lebar 2 inch, panjang 12m, bahan : kain</v>
          </cell>
          <cell r="P281" t="str">
            <v>lakban hitam-ukuran : lebar 2 inch, panjang 12m, bahan : kain</v>
          </cell>
          <cell r="Q281" t="str">
            <v>Alat Tulis Kantor (ATK)</v>
          </cell>
          <cell r="R281" t="str">
            <v>Lakban Hitam (Length 5.0Cm, Width 5.0Cm, Height 5.0Cm, Weight 5Gr)</v>
          </cell>
          <cell r="S281">
            <v>4</v>
          </cell>
          <cell r="T281" t="str">
            <v>buah</v>
          </cell>
          <cell r="U281">
            <v>12500</v>
          </cell>
          <cell r="V281">
            <v>50000</v>
          </cell>
          <cell r="W281" t="str">
            <v>UD. JOSUA</v>
          </cell>
          <cell r="X281" t="str">
            <v>Gestiwan Zebua</v>
          </cell>
          <cell r="Y281" t="str">
            <v>082166506229</v>
          </cell>
          <cell r="Z281" t="str">
            <v>Jl. Pasir Putih Pasar Telukdalam, Telukdalam Kab. Nias Selatan</v>
          </cell>
          <cell r="AG281">
            <v>3</v>
          </cell>
        </row>
        <row r="282">
          <cell r="A282">
            <v>280</v>
          </cell>
          <cell r="B282" t="str">
            <v>74</v>
          </cell>
          <cell r="C282" t="str">
            <v>74</v>
          </cell>
          <cell r="D282" t="str">
            <v>BPU43</v>
          </cell>
          <cell r="E282">
            <v>281</v>
          </cell>
          <cell r="F282" t="str">
            <v>74</v>
          </cell>
          <cell r="G282">
            <v>45356</v>
          </cell>
          <cell r="H282">
            <v>45357</v>
          </cell>
          <cell r="I282">
            <v>45357</v>
          </cell>
          <cell r="J282">
            <v>45357</v>
          </cell>
          <cell r="K282">
            <v>45357</v>
          </cell>
          <cell r="L282" t="str">
            <v>5.1.02.01.01.00
24</v>
          </cell>
          <cell r="M282" t="str">
            <v>06.05.</v>
          </cell>
          <cell r="N282" t="str">
            <v>06.05.08.</v>
          </cell>
          <cell r="O282" t="str">
            <v>Lakban Besar</v>
          </cell>
          <cell r="P282" t="str">
            <v>Lakban Besar</v>
          </cell>
          <cell r="Q282" t="str">
            <v>Alat Tulis Kantor (ATK)</v>
          </cell>
          <cell r="R282" t="str">
            <v xml:space="preserve"> Lakban Hitam besar Kain (Daimaru 2 inch / 48 mm x 12 m)</v>
          </cell>
          <cell r="S282">
            <v>5</v>
          </cell>
          <cell r="T282" t="str">
            <v>buah</v>
          </cell>
          <cell r="U282">
            <v>25000</v>
          </cell>
          <cell r="V282">
            <v>125000</v>
          </cell>
          <cell r="W282" t="str">
            <v>UD. JOSUA</v>
          </cell>
          <cell r="X282" t="str">
            <v>Gestiwan Zebua</v>
          </cell>
          <cell r="Y282" t="str">
            <v>082166506229</v>
          </cell>
          <cell r="Z282" t="str">
            <v>Jl. Pasir Putih Pasar Telukdalam, Telukdalam Kab. Nias Selatan</v>
          </cell>
          <cell r="AG282">
            <v>3</v>
          </cell>
        </row>
        <row r="283">
          <cell r="A283">
            <v>281</v>
          </cell>
          <cell r="B283" t="str">
            <v>74</v>
          </cell>
          <cell r="C283" t="str">
            <v>74</v>
          </cell>
          <cell r="D283" t="str">
            <v>BPU43</v>
          </cell>
          <cell r="E283">
            <v>282</v>
          </cell>
          <cell r="F283" t="str">
            <v>74</v>
          </cell>
          <cell r="G283">
            <v>45356</v>
          </cell>
          <cell r="H283">
            <v>45357</v>
          </cell>
          <cell r="I283">
            <v>45357</v>
          </cell>
          <cell r="J283">
            <v>45357</v>
          </cell>
          <cell r="K283">
            <v>45357</v>
          </cell>
          <cell r="L283" t="str">
            <v>5.1.02.01.01.00
24</v>
          </cell>
          <cell r="M283" t="str">
            <v>06.05.</v>
          </cell>
          <cell r="N283" t="str">
            <v>06.05.08.</v>
          </cell>
          <cell r="O283" t="str">
            <v>Tinta Printer Canon 740 Hitam-740 Hitam</v>
          </cell>
          <cell r="P283" t="str">
            <v>Tinta Printer Canon 740 Hitam-740 Hitam</v>
          </cell>
          <cell r="Q283" t="str">
            <v>Alat Tulis Kantor (ATK)</v>
          </cell>
          <cell r="R283" t="str">
            <v>Tinta Printer Cano Aiflo Hitam (Length 5.0Cm, Width 5.0Cm, Height 5.0Cm, Weight 5Gr)</v>
          </cell>
          <cell r="S283">
            <v>8</v>
          </cell>
          <cell r="T283" t="str">
            <v>botol</v>
          </cell>
          <cell r="U283">
            <v>30000</v>
          </cell>
          <cell r="V283">
            <v>240000</v>
          </cell>
          <cell r="W283" t="str">
            <v>UD. JOSUA</v>
          </cell>
          <cell r="X283" t="str">
            <v>Gestiwan Zebua</v>
          </cell>
          <cell r="Y283" t="str">
            <v>082166506229</v>
          </cell>
          <cell r="Z283" t="str">
            <v>Jl. Pasir Putih Pasar Telukdalam, Telukdalam Kab. Nias Selatan</v>
          </cell>
          <cell r="AG283">
            <v>3</v>
          </cell>
        </row>
        <row r="284">
          <cell r="A284">
            <v>282</v>
          </cell>
          <cell r="B284" t="str">
            <v>74</v>
          </cell>
          <cell r="C284" t="str">
            <v>74</v>
          </cell>
          <cell r="D284" t="str">
            <v>BPU43</v>
          </cell>
          <cell r="E284">
            <v>283</v>
          </cell>
          <cell r="F284" t="str">
            <v>74</v>
          </cell>
          <cell r="G284">
            <v>45356</v>
          </cell>
          <cell r="H284">
            <v>45357</v>
          </cell>
          <cell r="I284">
            <v>45357</v>
          </cell>
          <cell r="J284">
            <v>45357</v>
          </cell>
          <cell r="K284">
            <v>45357</v>
          </cell>
          <cell r="L284" t="str">
            <v>5.1.02.01.01.00
24</v>
          </cell>
          <cell r="M284" t="str">
            <v>06.05.</v>
          </cell>
          <cell r="N284" t="str">
            <v>06.05.08.</v>
          </cell>
          <cell r="O284" t="str">
            <v>Kertas HVS 60 gram Merk : Paper One HVS F4 uk. 8.27"x11.69"</v>
          </cell>
          <cell r="P284" t="str">
            <v>Kertas HVS 60 gram Merk : Paper One HVS F4 uk. 8.27"x11.69"</v>
          </cell>
          <cell r="Q284" t="str">
            <v>Alat Tulis Kantor (ATK)</v>
          </cell>
          <cell r="R284" t="str">
            <v>Kertas Hvs 60Gsm Paper One F4 (Length 33.0Cm, Width 21.0Cm, Height 7.0Cm, Weight 1400Gr)</v>
          </cell>
          <cell r="S284">
            <v>10</v>
          </cell>
          <cell r="T284" t="str">
            <v>rim</v>
          </cell>
          <cell r="U284">
            <v>48500</v>
          </cell>
          <cell r="V284">
            <v>485000</v>
          </cell>
          <cell r="W284" t="str">
            <v>UD. JOSUA</v>
          </cell>
          <cell r="X284" t="str">
            <v>Gestiwan Zebua</v>
          </cell>
          <cell r="Y284" t="str">
            <v>082166506229</v>
          </cell>
          <cell r="Z284" t="str">
            <v>Jl. Pasir Putih Pasar Telukdalam, Telukdalam Kab. Nias Selatan</v>
          </cell>
          <cell r="AG284">
            <v>3</v>
          </cell>
        </row>
        <row r="285">
          <cell r="A285">
            <v>283</v>
          </cell>
          <cell r="B285" t="str">
            <v>74</v>
          </cell>
          <cell r="C285" t="str">
            <v>74</v>
          </cell>
          <cell r="D285" t="str">
            <v>BPU43</v>
          </cell>
          <cell r="E285">
            <v>284</v>
          </cell>
          <cell r="F285" t="str">
            <v>74</v>
          </cell>
          <cell r="G285">
            <v>45356</v>
          </cell>
          <cell r="H285">
            <v>45357</v>
          </cell>
          <cell r="I285">
            <v>45357</v>
          </cell>
          <cell r="J285">
            <v>45357</v>
          </cell>
          <cell r="K285">
            <v>45357</v>
          </cell>
          <cell r="L285" t="str">
            <v>5.1.02.01.01.00
24</v>
          </cell>
          <cell r="M285" t="str">
            <v>06.05.</v>
          </cell>
          <cell r="N285" t="str">
            <v>06.05.08.</v>
          </cell>
          <cell r="O285" t="str">
            <v>Binder Klip Ordner</v>
          </cell>
          <cell r="P285" t="str">
            <v>Binder Klip Ordner</v>
          </cell>
          <cell r="Q285" t="str">
            <v>Alat Tulis Kantor (ATK)</v>
          </cell>
          <cell r="R285" t="str">
            <v>Binder Klip Ordner (Length 5.0Cm, Width 5.0Cm, Height 5.0Cm, Weight 5Gr)</v>
          </cell>
          <cell r="S285">
            <v>6</v>
          </cell>
          <cell r="T285" t="str">
            <v>buah</v>
          </cell>
          <cell r="U285">
            <v>49500</v>
          </cell>
          <cell r="V285">
            <v>297000</v>
          </cell>
          <cell r="W285" t="str">
            <v>UD. JOSUA</v>
          </cell>
          <cell r="X285" t="str">
            <v>Gestiwan Zebua</v>
          </cell>
          <cell r="Y285" t="str">
            <v>082166506229</v>
          </cell>
          <cell r="Z285" t="str">
            <v>Jl. Pasir Putih Pasar Telukdalam, Telukdalam Kab. Nias Selatan</v>
          </cell>
          <cell r="AG285">
            <v>3</v>
          </cell>
        </row>
        <row r="286">
          <cell r="A286">
            <v>284</v>
          </cell>
          <cell r="B286" t="str">
            <v>74</v>
          </cell>
          <cell r="C286" t="str">
            <v>74</v>
          </cell>
          <cell r="D286" t="str">
            <v>BPU43</v>
          </cell>
          <cell r="E286">
            <v>285</v>
          </cell>
          <cell r="F286" t="str">
            <v>74</v>
          </cell>
          <cell r="G286">
            <v>45356</v>
          </cell>
          <cell r="H286">
            <v>45357</v>
          </cell>
          <cell r="I286">
            <v>45357</v>
          </cell>
          <cell r="J286">
            <v>45357</v>
          </cell>
          <cell r="K286">
            <v>45357</v>
          </cell>
          <cell r="L286" t="str">
            <v>5.1.02.01.01.00
24</v>
          </cell>
          <cell r="M286" t="str">
            <v>06.05.</v>
          </cell>
          <cell r="N286" t="str">
            <v>06.05.08.</v>
          </cell>
          <cell r="O286" t="str">
            <v>Isi Staples besar</v>
          </cell>
          <cell r="P286" t="str">
            <v>Isi Staples besar</v>
          </cell>
          <cell r="Q286" t="str">
            <v>Alat Tulis Kantor (ATK)</v>
          </cell>
          <cell r="R286" t="str">
            <v>Isi Staples Besar (Ukuran 10 Mm (3/8″)Isi Kemasan 1000 Staples/Box)</v>
          </cell>
          <cell r="S286">
            <v>2</v>
          </cell>
          <cell r="T286" t="str">
            <v>kotak</v>
          </cell>
          <cell r="U286">
            <v>80000</v>
          </cell>
          <cell r="V286">
            <v>160000</v>
          </cell>
          <cell r="W286" t="str">
            <v>UD. JOSUA</v>
          </cell>
          <cell r="X286" t="str">
            <v>Gestiwan Zebua</v>
          </cell>
          <cell r="Y286" t="str">
            <v>082166506229</v>
          </cell>
          <cell r="Z286" t="str">
            <v>Jl. Pasir Putih Pasar Telukdalam, Telukdalam Kab. Nias Selatan</v>
          </cell>
          <cell r="AG286">
            <v>3</v>
          </cell>
        </row>
        <row r="287">
          <cell r="A287">
            <v>285</v>
          </cell>
          <cell r="B287" t="str">
            <v>75</v>
          </cell>
          <cell r="C287" t="str">
            <v>75</v>
          </cell>
          <cell r="D287" t="str">
            <v>BNU35</v>
          </cell>
          <cell r="E287">
            <v>286</v>
          </cell>
          <cell r="F287" t="str">
            <v>75</v>
          </cell>
          <cell r="G287">
            <v>45355</v>
          </cell>
          <cell r="H287">
            <v>45356</v>
          </cell>
          <cell r="I287">
            <v>45358</v>
          </cell>
          <cell r="J287">
            <v>45358</v>
          </cell>
          <cell r="K287">
            <v>45359</v>
          </cell>
          <cell r="L287" t="str">
            <v>5.2.02.05.02.00
01</v>
          </cell>
          <cell r="M287" t="str">
            <v>05.08.</v>
          </cell>
          <cell r="N287" t="str">
            <v>05.08.05.</v>
          </cell>
          <cell r="O287" t="str">
            <v>Lemari Besi/ Metal/ Lemari Arsip 4 Laci-</v>
          </cell>
          <cell r="P287" t="str">
            <v>Lemari Besi/ Metal/ Lemari Arsip 4 Laci-</v>
          </cell>
          <cell r="Q287" t="str">
            <v>Sarana Prsasrana</v>
          </cell>
          <cell r="S287">
            <v>1</v>
          </cell>
          <cell r="T287" t="str">
            <v>unit</v>
          </cell>
          <cell r="U287">
            <v>5000000</v>
          </cell>
          <cell r="V287">
            <v>5000000</v>
          </cell>
          <cell r="W287" t="str">
            <v>CV. Marsatu Jaya Badiri</v>
          </cell>
          <cell r="X287" t="str">
            <v>Marusaha Simanjuntak</v>
          </cell>
          <cell r="Y287" t="str">
            <v>085277086701</v>
          </cell>
          <cell r="Z287" t="str">
            <v>Jl. Oswald Siahaan No. 6A. Aek Tolang Pandan</v>
          </cell>
          <cell r="AG287">
            <v>3</v>
          </cell>
        </row>
        <row r="288">
          <cell r="A288">
            <v>286</v>
          </cell>
          <cell r="B288" t="str">
            <v>75</v>
          </cell>
          <cell r="C288" t="str">
            <v>75</v>
          </cell>
          <cell r="D288" t="str">
            <v>BNU36</v>
          </cell>
          <cell r="E288">
            <v>287</v>
          </cell>
          <cell r="F288" t="str">
            <v>75</v>
          </cell>
          <cell r="G288">
            <v>45355</v>
          </cell>
          <cell r="H288">
            <v>45356</v>
          </cell>
          <cell r="I288">
            <v>45358</v>
          </cell>
          <cell r="J288">
            <v>45358</v>
          </cell>
          <cell r="K288">
            <v>45359</v>
          </cell>
          <cell r="L288" t="str">
            <v>5.1.02.03.02.01
15</v>
          </cell>
          <cell r="M288" t="str">
            <v>05.09.</v>
          </cell>
          <cell r="N288" t="str">
            <v>05.09.04.</v>
          </cell>
          <cell r="O288" t="str">
            <v>Printer Epson 2 Unit</v>
          </cell>
          <cell r="P288" t="str">
            <v>Printer Epson 2 Unit</v>
          </cell>
          <cell r="Q288" t="str">
            <v>Peralatan Multimedia</v>
          </cell>
          <cell r="S288">
            <v>2</v>
          </cell>
          <cell r="T288" t="str">
            <v>unit</v>
          </cell>
          <cell r="U288">
            <v>5500000</v>
          </cell>
          <cell r="V288">
            <v>11000000</v>
          </cell>
          <cell r="W288" t="str">
            <v>CV. Marsatu Jaya Badiri</v>
          </cell>
          <cell r="X288" t="str">
            <v>Marusaha Simanjuntak</v>
          </cell>
          <cell r="Y288" t="str">
            <v>085277086701</v>
          </cell>
          <cell r="Z288" t="str">
            <v>Jl. Oswald Siahaan No. 6A. Aek Tolang Pandan</v>
          </cell>
          <cell r="AG288">
            <v>3</v>
          </cell>
        </row>
        <row r="289">
          <cell r="A289">
            <v>287</v>
          </cell>
          <cell r="B289" t="str">
            <v>76</v>
          </cell>
          <cell r="C289" t="str">
            <v>76</v>
          </cell>
          <cell r="D289" t="str">
            <v>BNU37</v>
          </cell>
          <cell r="E289">
            <v>288</v>
          </cell>
          <cell r="F289" t="str">
            <v>76</v>
          </cell>
          <cell r="G289">
            <v>45355</v>
          </cell>
          <cell r="H289">
            <v>45358</v>
          </cell>
          <cell r="I289">
            <v>45359</v>
          </cell>
          <cell r="J289">
            <v>45359</v>
          </cell>
          <cell r="K289">
            <v>45359</v>
          </cell>
          <cell r="L289" t="str">
            <v>5.1.02.02.04.03
14</v>
          </cell>
          <cell r="M289" t="str">
            <v>06.05.</v>
          </cell>
          <cell r="N289" t="str">
            <v>06.05.07.</v>
          </cell>
          <cell r="O289" t="str">
            <v>Pantograf</v>
          </cell>
          <cell r="P289" t="str">
            <v>Pantograf</v>
          </cell>
          <cell r="Q289" t="str">
            <v>Peralatan Pembelajaran</v>
          </cell>
          <cell r="S289">
            <v>36</v>
          </cell>
          <cell r="T289" t="str">
            <v>unit</v>
          </cell>
          <cell r="U289">
            <v>60000</v>
          </cell>
          <cell r="V289">
            <v>2160000</v>
          </cell>
          <cell r="W289" t="str">
            <v>CV. Marsatu Jaya Badiri</v>
          </cell>
          <cell r="X289" t="str">
            <v>Marusaha Simanjuntak</v>
          </cell>
          <cell r="Y289" t="str">
            <v>085277086701</v>
          </cell>
          <cell r="Z289" t="str">
            <v>Jl. Oswald Siahaan No. 6A. Aek Tolang Pandan</v>
          </cell>
          <cell r="AG289">
            <v>3</v>
          </cell>
        </row>
        <row r="290">
          <cell r="A290">
            <v>288</v>
          </cell>
          <cell r="B290" t="str">
            <v>77</v>
          </cell>
          <cell r="C290" t="str">
            <v>77</v>
          </cell>
          <cell r="D290" t="str">
            <v>BPU44</v>
          </cell>
          <cell r="E290">
            <v>289</v>
          </cell>
          <cell r="F290" t="str">
            <v>77</v>
          </cell>
          <cell r="G290">
            <v>45360</v>
          </cell>
          <cell r="H290">
            <v>45361</v>
          </cell>
          <cell r="I290">
            <v>45361</v>
          </cell>
          <cell r="J290">
            <v>45362</v>
          </cell>
          <cell r="K290">
            <v>45362</v>
          </cell>
          <cell r="L290" t="str">
            <v>5.1.02.01.01.00
01</v>
          </cell>
          <cell r="M290" t="str">
            <v>05.08.</v>
          </cell>
          <cell r="N290" t="str">
            <v>05.08.01.</v>
          </cell>
          <cell r="O290" t="str">
            <v>Pasir</v>
          </cell>
          <cell r="P290" t="str">
            <v>Pasir</v>
          </cell>
          <cell r="Q290" t="str">
            <v>Bahan Bangunan</v>
          </cell>
          <cell r="R290" t="str">
            <v xml:space="preserve">Pasir laut kasar </v>
          </cell>
          <cell r="S290">
            <v>20</v>
          </cell>
          <cell r="T290" t="str">
            <v>m3</v>
          </cell>
          <cell r="U290">
            <v>500000</v>
          </cell>
          <cell r="V290">
            <v>10000000</v>
          </cell>
          <cell r="W290" t="str">
            <v>CV. Goriyaku Wiratrade</v>
          </cell>
          <cell r="X290" t="str">
            <v>Wirawan Bazikho</v>
          </cell>
          <cell r="Y290" t="str">
            <v>082166714290</v>
          </cell>
          <cell r="Z290" t="str">
            <v>Jl. Pasir Putih Pasar Telukdalam, Telukdalam Kab. Nias Selatan</v>
          </cell>
          <cell r="AG290">
            <v>3</v>
          </cell>
        </row>
        <row r="291">
          <cell r="A291">
            <v>289</v>
          </cell>
          <cell r="B291" t="str">
            <v>77</v>
          </cell>
          <cell r="C291" t="str">
            <v>77</v>
          </cell>
          <cell r="D291" t="str">
            <v>BPU45</v>
          </cell>
          <cell r="E291">
            <v>290</v>
          </cell>
          <cell r="F291" t="str">
            <v>77</v>
          </cell>
          <cell r="G291">
            <v>45360</v>
          </cell>
          <cell r="H291">
            <v>45361</v>
          </cell>
          <cell r="I291">
            <v>45361</v>
          </cell>
          <cell r="J291">
            <v>45362</v>
          </cell>
          <cell r="K291">
            <v>45362</v>
          </cell>
          <cell r="L291" t="str">
            <v>5.1.02.01.01.00
01</v>
          </cell>
          <cell r="M291" t="str">
            <v>05.08.</v>
          </cell>
          <cell r="N291" t="str">
            <v>05.08.01.</v>
          </cell>
          <cell r="O291" t="str">
            <v>Batu Kerikil</v>
          </cell>
          <cell r="P291" t="str">
            <v>Batu Kerikil</v>
          </cell>
          <cell r="Q291" t="str">
            <v>Bahan Bangunan</v>
          </cell>
          <cell r="R291" t="str">
            <v>Batu kerikil 5, 7</v>
          </cell>
          <cell r="S291">
            <v>10</v>
          </cell>
          <cell r="T291" t="str">
            <v>m3</v>
          </cell>
          <cell r="U291">
            <v>500000</v>
          </cell>
          <cell r="V291">
            <v>5000000</v>
          </cell>
          <cell r="W291" t="str">
            <v>CV. Goriyaku Wiratrade</v>
          </cell>
          <cell r="X291" t="str">
            <v>Wirawan Bazikho</v>
          </cell>
          <cell r="Y291" t="str">
            <v>082166714290</v>
          </cell>
          <cell r="Z291" t="str">
            <v>Jl. Pasir Putih Pasar Telukdalam, Telukdalam Kab. Nias Selatan</v>
          </cell>
          <cell r="AG291">
            <v>3</v>
          </cell>
        </row>
        <row r="292">
          <cell r="A292">
            <v>290</v>
          </cell>
          <cell r="B292" t="str">
            <v>78</v>
          </cell>
          <cell r="C292" t="str">
            <v>78</v>
          </cell>
          <cell r="D292" t="str">
            <v>BPU46</v>
          </cell>
          <cell r="E292">
            <v>291</v>
          </cell>
          <cell r="F292" t="str">
            <v>78</v>
          </cell>
          <cell r="G292">
            <v>45360</v>
          </cell>
          <cell r="H292">
            <v>45361</v>
          </cell>
          <cell r="I292">
            <v>45361</v>
          </cell>
          <cell r="J292">
            <v>45362</v>
          </cell>
          <cell r="K292">
            <v>45362</v>
          </cell>
          <cell r="L292" t="str">
            <v>5.1.02.01.01.00
01</v>
          </cell>
          <cell r="M292" t="str">
            <v>05.08.</v>
          </cell>
          <cell r="N292" t="str">
            <v>05.08.01.</v>
          </cell>
          <cell r="O292" t="str">
            <v>Semen</v>
          </cell>
          <cell r="P292" t="str">
            <v>Semen</v>
          </cell>
          <cell r="Q292" t="str">
            <v>Bahan Bangunan</v>
          </cell>
          <cell r="R292" t="str">
            <v>Semen Padang berat 50 kg</v>
          </cell>
          <cell r="S292">
            <v>50</v>
          </cell>
          <cell r="T292" t="str">
            <v>buah</v>
          </cell>
          <cell r="U292">
            <v>85000</v>
          </cell>
          <cell r="V292">
            <v>4250000</v>
          </cell>
          <cell r="W292" t="str">
            <v>CV. Goriyaku Wiratrade</v>
          </cell>
          <cell r="X292" t="str">
            <v>Wirawan Bazikho</v>
          </cell>
          <cell r="Y292" t="str">
            <v>082166714290</v>
          </cell>
          <cell r="Z292" t="str">
            <v>Jl. Pasir Putih Pasar Telukdalam, Telukdalam Kab. Nias Selatan</v>
          </cell>
          <cell r="AG292">
            <v>3</v>
          </cell>
        </row>
        <row r="293">
          <cell r="A293">
            <v>291</v>
          </cell>
          <cell r="B293" t="str">
            <v>79</v>
          </cell>
          <cell r="C293" t="str">
            <v>79</v>
          </cell>
          <cell r="D293" t="str">
            <v>BPU47</v>
          </cell>
          <cell r="E293">
            <v>292</v>
          </cell>
          <cell r="F293" t="str">
            <v>79</v>
          </cell>
          <cell r="G293">
            <v>45371</v>
          </cell>
          <cell r="H293">
            <v>45371</v>
          </cell>
          <cell r="I293">
            <v>45371</v>
          </cell>
          <cell r="J293">
            <v>45371</v>
          </cell>
          <cell r="K293">
            <v>45371</v>
          </cell>
          <cell r="L293" t="str">
            <v>5.1.02.02.01.00
61</v>
          </cell>
          <cell r="M293" t="str">
            <v>06.07.</v>
          </cell>
          <cell r="N293" t="str">
            <v>06.07.01.</v>
          </cell>
          <cell r="O293" t="str">
            <v>Biaya Rekening Listrik--</v>
          </cell>
          <cell r="P293" t="str">
            <v>Biaya Rekening Listrik--</v>
          </cell>
          <cell r="Q293" t="str">
            <v>Jasa PLN</v>
          </cell>
          <cell r="R293" t="str">
            <v>Jasa Listrik 4400 VA</v>
          </cell>
          <cell r="S293">
            <v>1</v>
          </cell>
          <cell r="T293" t="str">
            <v>bulan</v>
          </cell>
          <cell r="U293">
            <v>2000000</v>
          </cell>
          <cell r="V293">
            <v>1583530</v>
          </cell>
          <cell r="W293" t="str">
            <v>PLN</v>
          </cell>
          <cell r="X293" t="str">
            <v>Riama Siahaan</v>
          </cell>
          <cell r="Y293" t="str">
            <v>082370389806</v>
          </cell>
          <cell r="Z293" t="str">
            <v>Desa Fanayama, Kec. Fanayama, Kab. Nias Selatan</v>
          </cell>
          <cell r="AG293">
            <v>3</v>
          </cell>
        </row>
        <row r="294">
          <cell r="A294">
            <v>292</v>
          </cell>
          <cell r="B294" t="str">
            <v>80</v>
          </cell>
          <cell r="C294" t="str">
            <v>80</v>
          </cell>
          <cell r="D294" t="str">
            <v>BPU48</v>
          </cell>
          <cell r="E294">
            <v>293</v>
          </cell>
          <cell r="F294" t="str">
            <v>80</v>
          </cell>
          <cell r="G294">
            <v>45371</v>
          </cell>
          <cell r="H294">
            <v>45371</v>
          </cell>
          <cell r="I294">
            <v>45371</v>
          </cell>
          <cell r="J294">
            <v>45371</v>
          </cell>
          <cell r="K294">
            <v>45371</v>
          </cell>
          <cell r="L294" t="str">
            <v>5.1.02.02.01.00
63</v>
          </cell>
          <cell r="M294" t="str">
            <v>06.07.</v>
          </cell>
          <cell r="N294" t="str">
            <v>06.07.05.</v>
          </cell>
          <cell r="O294" t="str">
            <v>Biaya Langganan Internet--</v>
          </cell>
          <cell r="P294" t="str">
            <v>Biaya Langganan Internet--</v>
          </cell>
          <cell r="Q294" t="str">
            <v>Jasa Internet</v>
          </cell>
          <cell r="R294" t="str">
            <v>Jasa Indihome Unlimited</v>
          </cell>
          <cell r="S294">
            <v>1</v>
          </cell>
          <cell r="T294" t="str">
            <v>bulan</v>
          </cell>
          <cell r="U294">
            <v>1500000</v>
          </cell>
          <cell r="V294">
            <v>1179100</v>
          </cell>
          <cell r="W294" t="str">
            <v>Indihome</v>
          </cell>
          <cell r="X294" t="str">
            <v>Riama Siahaan</v>
          </cell>
          <cell r="Y294" t="str">
            <v>082370389806</v>
          </cell>
          <cell r="Z294" t="str">
            <v>Desa Fanayama, Kec. Fanayama, Kab. Nias Selatan</v>
          </cell>
          <cell r="AG294">
            <v>3</v>
          </cell>
        </row>
        <row r="295">
          <cell r="A295">
            <v>293</v>
          </cell>
          <cell r="B295" t="str">
            <v>81</v>
          </cell>
          <cell r="C295" t="str">
            <v>81</v>
          </cell>
          <cell r="D295" t="str">
            <v>BNU50</v>
          </cell>
          <cell r="E295">
            <v>294</v>
          </cell>
          <cell r="F295" t="str">
            <v>81</v>
          </cell>
          <cell r="G295">
            <v>45371</v>
          </cell>
          <cell r="H295">
            <v>45365</v>
          </cell>
          <cell r="I295">
            <v>45367</v>
          </cell>
          <cell r="J295">
            <v>45371</v>
          </cell>
          <cell r="K295">
            <v>45371</v>
          </cell>
          <cell r="L295" t="str">
            <v>5.2.02.05.01.00
05</v>
          </cell>
          <cell r="M295" t="str">
            <v>05.08.</v>
          </cell>
          <cell r="N295" t="str">
            <v>05.08.01.</v>
          </cell>
          <cell r="O295" t="str">
            <v>kursi--</v>
          </cell>
          <cell r="P295" t="str">
            <v>kursi--</v>
          </cell>
          <cell r="Q295" t="str">
            <v>Sarana Prsasrana</v>
          </cell>
          <cell r="S295">
            <v>10</v>
          </cell>
          <cell r="T295" t="str">
            <v>lusin</v>
          </cell>
          <cell r="U295">
            <v>1800840</v>
          </cell>
          <cell r="V295">
            <v>18008400</v>
          </cell>
          <cell r="W295" t="str">
            <v>CV. Marsatu Jaya Badiri</v>
          </cell>
          <cell r="X295" t="str">
            <v>Marusaha Simanjuntak</v>
          </cell>
          <cell r="Y295" t="str">
            <v>085277086701</v>
          </cell>
          <cell r="Z295" t="str">
            <v>Jl. Oswald Siahaan No. 6A. Aek Tolang Pandan</v>
          </cell>
          <cell r="AG295">
            <v>3</v>
          </cell>
        </row>
        <row r="296">
          <cell r="A296">
            <v>294</v>
          </cell>
          <cell r="B296" t="str">
            <v>82</v>
          </cell>
          <cell r="C296" t="str">
            <v>82</v>
          </cell>
          <cell r="D296" t="str">
            <v>BNU38</v>
          </cell>
          <cell r="E296">
            <v>295</v>
          </cell>
          <cell r="F296" t="str">
            <v>82</v>
          </cell>
          <cell r="G296" t="str">
            <v>27/01/2023</v>
          </cell>
          <cell r="H296">
            <v>45378</v>
          </cell>
          <cell r="I296">
            <v>45378</v>
          </cell>
          <cell r="J296">
            <v>45378</v>
          </cell>
          <cell r="K296">
            <v>45378</v>
          </cell>
          <cell r="L296" t="str">
            <v>5.1.02.02.01.00
13</v>
          </cell>
          <cell r="M296" t="str">
            <v>07.12.</v>
          </cell>
          <cell r="N296" t="str">
            <v>07.12.01.</v>
          </cell>
          <cell r="O296" t="str">
            <v>Selatieli Nehe</v>
          </cell>
          <cell r="P296" t="str">
            <v>Selatieli Nehe</v>
          </cell>
          <cell r="Q296" t="str">
            <v>Jasa Tenaga Pengajar</v>
          </cell>
          <cell r="R296" t="str">
            <v>Honor Guru Tidak Tetap Sekolah (GTTS)</v>
          </cell>
          <cell r="S296">
            <v>33</v>
          </cell>
          <cell r="T296" t="str">
            <v>jpl</v>
          </cell>
          <cell r="U296">
            <v>75000</v>
          </cell>
          <cell r="V296">
            <v>2475000</v>
          </cell>
          <cell r="W296" t="str">
            <v>GTTS dan PTTS</v>
          </cell>
          <cell r="X296">
            <v>0</v>
          </cell>
          <cell r="AG296">
            <v>3</v>
          </cell>
        </row>
        <row r="297">
          <cell r="A297">
            <v>295</v>
          </cell>
          <cell r="B297" t="str">
            <v>83</v>
          </cell>
          <cell r="C297" t="str">
            <v>83</v>
          </cell>
          <cell r="D297" t="str">
            <v>BNU39</v>
          </cell>
          <cell r="E297">
            <v>296</v>
          </cell>
          <cell r="F297" t="str">
            <v>83</v>
          </cell>
          <cell r="G297" t="str">
            <v>27/01/2023</v>
          </cell>
          <cell r="H297">
            <v>45378</v>
          </cell>
          <cell r="I297">
            <v>45378</v>
          </cell>
          <cell r="J297">
            <v>45378</v>
          </cell>
          <cell r="K297">
            <v>45378</v>
          </cell>
          <cell r="L297" t="str">
            <v>5.1.02.02.01.00
13</v>
          </cell>
          <cell r="M297" t="str">
            <v>07.12.</v>
          </cell>
          <cell r="N297" t="str">
            <v>07.12.01.</v>
          </cell>
          <cell r="O297" t="str">
            <v>Arifin Metodi Bate'e</v>
          </cell>
          <cell r="P297" t="str">
            <v>Arifin Metodi Bate'e</v>
          </cell>
          <cell r="Q297" t="str">
            <v>Jasa Tenaga Pengajar</v>
          </cell>
          <cell r="R297" t="str">
            <v>Honor Guru Tidak Tetap Sekolah (GTTS)</v>
          </cell>
          <cell r="S297">
            <v>34</v>
          </cell>
          <cell r="T297" t="str">
            <v>jpl</v>
          </cell>
          <cell r="U297">
            <v>75000</v>
          </cell>
          <cell r="V297">
            <v>2550000</v>
          </cell>
          <cell r="W297" t="str">
            <v>GTTS dan PTTS</v>
          </cell>
          <cell r="X297">
            <v>0</v>
          </cell>
          <cell r="AG297">
            <v>3</v>
          </cell>
        </row>
        <row r="298">
          <cell r="A298">
            <v>296</v>
          </cell>
          <cell r="B298" t="str">
            <v>84</v>
          </cell>
          <cell r="C298" t="str">
            <v>84</v>
          </cell>
          <cell r="D298" t="str">
            <v>BNU40</v>
          </cell>
          <cell r="E298">
            <v>297</v>
          </cell>
          <cell r="F298" t="str">
            <v>84</v>
          </cell>
          <cell r="G298" t="str">
            <v>27/01/2023</v>
          </cell>
          <cell r="H298">
            <v>45378</v>
          </cell>
          <cell r="I298">
            <v>45378</v>
          </cell>
          <cell r="J298">
            <v>45378</v>
          </cell>
          <cell r="K298">
            <v>45378</v>
          </cell>
          <cell r="L298" t="str">
            <v>5.1.02.02.01.00
13</v>
          </cell>
          <cell r="M298" t="str">
            <v>07.12.</v>
          </cell>
          <cell r="N298" t="str">
            <v>07.12.01.</v>
          </cell>
          <cell r="O298" t="str">
            <v>Ferdiwati Wau</v>
          </cell>
          <cell r="P298" t="str">
            <v>Ferdiwati Wau</v>
          </cell>
          <cell r="Q298" t="str">
            <v>Jasa Tenaga Pengajar</v>
          </cell>
          <cell r="R298" t="str">
            <v>Honor Guru Tidak Tetap Sekolah (GTTS)</v>
          </cell>
          <cell r="S298">
            <v>30</v>
          </cell>
          <cell r="T298" t="str">
            <v>jpl</v>
          </cell>
          <cell r="U298">
            <v>75000</v>
          </cell>
          <cell r="V298">
            <v>2250000</v>
          </cell>
          <cell r="W298" t="str">
            <v>GTTS dan PTTS</v>
          </cell>
          <cell r="X298">
            <v>0</v>
          </cell>
          <cell r="AG298">
            <v>3</v>
          </cell>
        </row>
        <row r="299">
          <cell r="A299">
            <v>297</v>
          </cell>
          <cell r="B299" t="str">
            <v>85</v>
          </cell>
          <cell r="C299" t="str">
            <v>85</v>
          </cell>
          <cell r="D299" t="str">
            <v>BNU41</v>
          </cell>
          <cell r="E299">
            <v>298</v>
          </cell>
          <cell r="F299" t="str">
            <v>85</v>
          </cell>
          <cell r="G299" t="str">
            <v>27/01/2023</v>
          </cell>
          <cell r="H299">
            <v>45378</v>
          </cell>
          <cell r="I299">
            <v>45378</v>
          </cell>
          <cell r="J299">
            <v>45378</v>
          </cell>
          <cell r="K299">
            <v>45378</v>
          </cell>
          <cell r="L299" t="str">
            <v>5.1.02.02.01.00
13</v>
          </cell>
          <cell r="M299" t="str">
            <v>07.12.</v>
          </cell>
          <cell r="N299" t="str">
            <v>07.12.01.</v>
          </cell>
          <cell r="O299" t="str">
            <v>Noni Alfanita Sarumaha, S.Pd</v>
          </cell>
          <cell r="P299" t="str">
            <v>Noni Alfanita Sarumaha, S.Pd</v>
          </cell>
          <cell r="Q299" t="str">
            <v>Jasa Tenaga Pengajar</v>
          </cell>
          <cell r="R299" t="str">
            <v>Honor Guru Tidak Tetap Sekolah (GTTS)</v>
          </cell>
          <cell r="S299">
            <v>33</v>
          </cell>
          <cell r="T299" t="str">
            <v>jpl</v>
          </cell>
          <cell r="U299">
            <v>75000</v>
          </cell>
          <cell r="V299">
            <v>2475000</v>
          </cell>
          <cell r="W299" t="str">
            <v>GTTS dan PTTS</v>
          </cell>
          <cell r="X299">
            <v>0</v>
          </cell>
          <cell r="AG299">
            <v>3</v>
          </cell>
        </row>
        <row r="300">
          <cell r="A300">
            <v>298</v>
          </cell>
          <cell r="B300" t="str">
            <v>86</v>
          </cell>
          <cell r="C300" t="str">
            <v>86</v>
          </cell>
          <cell r="D300" t="str">
            <v>BNU42</v>
          </cell>
          <cell r="E300">
            <v>299</v>
          </cell>
          <cell r="F300" t="str">
            <v>86</v>
          </cell>
          <cell r="G300" t="str">
            <v>27/01/2023</v>
          </cell>
          <cell r="H300">
            <v>45378</v>
          </cell>
          <cell r="I300">
            <v>45378</v>
          </cell>
          <cell r="J300">
            <v>45378</v>
          </cell>
          <cell r="K300">
            <v>45378</v>
          </cell>
          <cell r="L300" t="str">
            <v>5.1.02.02.01.00
13</v>
          </cell>
          <cell r="M300" t="str">
            <v>07.12.</v>
          </cell>
          <cell r="N300" t="str">
            <v>07.12.01.</v>
          </cell>
          <cell r="O300" t="str">
            <v>EMILA HAFO</v>
          </cell>
          <cell r="P300" t="str">
            <v>EMILA HAFO</v>
          </cell>
          <cell r="Q300" t="str">
            <v>Jasa Tenaga Pengajar</v>
          </cell>
          <cell r="R300" t="str">
            <v>Honor Guru Tidak Tetap Sekolah (GTTS)</v>
          </cell>
          <cell r="S300">
            <v>28</v>
          </cell>
          <cell r="T300" t="str">
            <v>jpl</v>
          </cell>
          <cell r="U300">
            <v>75000</v>
          </cell>
          <cell r="V300">
            <v>2100000</v>
          </cell>
          <cell r="W300" t="str">
            <v>GTTS dan PTTS</v>
          </cell>
          <cell r="X300">
            <v>0</v>
          </cell>
          <cell r="AG300">
            <v>3</v>
          </cell>
        </row>
        <row r="301">
          <cell r="A301">
            <v>299</v>
          </cell>
          <cell r="B301" t="str">
            <v>87</v>
          </cell>
          <cell r="C301" t="str">
            <v>87</v>
          </cell>
          <cell r="D301" t="str">
            <v>BNU43</v>
          </cell>
          <cell r="E301">
            <v>300</v>
          </cell>
          <cell r="F301" t="str">
            <v>87</v>
          </cell>
          <cell r="G301" t="str">
            <v>27/01/2023</v>
          </cell>
          <cell r="H301">
            <v>45378</v>
          </cell>
          <cell r="I301">
            <v>45378</v>
          </cell>
          <cell r="J301">
            <v>45378</v>
          </cell>
          <cell r="K301">
            <v>45378</v>
          </cell>
          <cell r="L301" t="str">
            <v>5.1.02.02.01.00
13</v>
          </cell>
          <cell r="M301" t="str">
            <v>07.12.</v>
          </cell>
          <cell r="N301" t="str">
            <v>07.12.01.</v>
          </cell>
          <cell r="O301" t="str">
            <v>Asep Nurhidayat</v>
          </cell>
          <cell r="P301" t="str">
            <v>Asep Nurhidayat</v>
          </cell>
          <cell r="Q301" t="str">
            <v>Jasa Tenaga Pengajar</v>
          </cell>
          <cell r="R301" t="str">
            <v>Honor Guru Tidak Tetap Sekolah (GTTS)</v>
          </cell>
          <cell r="S301">
            <v>33</v>
          </cell>
          <cell r="T301" t="str">
            <v>jpl</v>
          </cell>
          <cell r="U301">
            <v>75000</v>
          </cell>
          <cell r="V301">
            <v>2475000</v>
          </cell>
          <cell r="W301" t="str">
            <v>GTTS dan PTTS</v>
          </cell>
          <cell r="X301">
            <v>0</v>
          </cell>
          <cell r="AG301">
            <v>3</v>
          </cell>
        </row>
        <row r="302">
          <cell r="A302">
            <v>300</v>
          </cell>
          <cell r="B302" t="str">
            <v>88</v>
          </cell>
          <cell r="C302" t="str">
            <v>88</v>
          </cell>
          <cell r="D302" t="str">
            <v>BNU44</v>
          </cell>
          <cell r="E302">
            <v>301</v>
          </cell>
          <cell r="F302" t="str">
            <v>88</v>
          </cell>
          <cell r="G302" t="str">
            <v>27/01/2023</v>
          </cell>
          <cell r="H302">
            <v>45378</v>
          </cell>
          <cell r="I302">
            <v>45378</v>
          </cell>
          <cell r="J302">
            <v>45378</v>
          </cell>
          <cell r="K302">
            <v>45378</v>
          </cell>
          <cell r="L302" t="str">
            <v>5.1.02.02.01.00
26</v>
          </cell>
          <cell r="M302" t="str">
            <v>07.12.</v>
          </cell>
          <cell r="N302" t="str">
            <v>07.12.02.</v>
          </cell>
          <cell r="O302" t="str">
            <v>Estera Nehe</v>
          </cell>
          <cell r="P302" t="str">
            <v>Estera Nehe</v>
          </cell>
          <cell r="Q302" t="str">
            <v>Jasa Tenaga TU</v>
          </cell>
          <cell r="R302" t="str">
            <v>Honor Pegawai Tidak Tetap Sekolah (PTTS)</v>
          </cell>
          <cell r="S302">
            <v>1</v>
          </cell>
          <cell r="T302" t="str">
            <v>bulan</v>
          </cell>
          <cell r="U302">
            <v>2000000</v>
          </cell>
          <cell r="V302">
            <v>2000000</v>
          </cell>
          <cell r="W302" t="str">
            <v>GTTS dan PTTS</v>
          </cell>
          <cell r="X302">
            <v>0</v>
          </cell>
          <cell r="AG302">
            <v>3</v>
          </cell>
        </row>
        <row r="303">
          <cell r="A303">
            <v>301</v>
          </cell>
          <cell r="B303" t="str">
            <v>89</v>
          </cell>
          <cell r="C303" t="str">
            <v>89</v>
          </cell>
          <cell r="D303" t="str">
            <v>BNU45</v>
          </cell>
          <cell r="E303">
            <v>302</v>
          </cell>
          <cell r="F303" t="str">
            <v>89</v>
          </cell>
          <cell r="G303" t="str">
            <v>27/01/2023</v>
          </cell>
          <cell r="H303">
            <v>45378</v>
          </cell>
          <cell r="I303">
            <v>45378</v>
          </cell>
          <cell r="J303">
            <v>45378</v>
          </cell>
          <cell r="K303">
            <v>45378</v>
          </cell>
          <cell r="L303" t="str">
            <v>5.1.02.02.01.00
26</v>
          </cell>
          <cell r="M303" t="str">
            <v>07.12.</v>
          </cell>
          <cell r="N303" t="str">
            <v>07.12.02.</v>
          </cell>
          <cell r="O303" t="str">
            <v>Hatieli Buulolo</v>
          </cell>
          <cell r="P303" t="str">
            <v>Hatieli Buulolo</v>
          </cell>
          <cell r="Q303" t="str">
            <v>Jasa Tenaga TU</v>
          </cell>
          <cell r="R303" t="str">
            <v>Honor Pegawai Tidak Tetap Sekolah (PTTS)</v>
          </cell>
          <cell r="S303">
            <v>1</v>
          </cell>
          <cell r="T303" t="str">
            <v>bulan</v>
          </cell>
          <cell r="U303">
            <v>2000000</v>
          </cell>
          <cell r="V303">
            <v>2000000</v>
          </cell>
          <cell r="W303" t="str">
            <v>GTTS dan PTTS</v>
          </cell>
          <cell r="X303">
            <v>0</v>
          </cell>
          <cell r="AG303">
            <v>3</v>
          </cell>
        </row>
        <row r="304">
          <cell r="A304">
            <v>302</v>
          </cell>
          <cell r="B304" t="str">
            <v>90</v>
          </cell>
          <cell r="C304" t="str">
            <v>90</v>
          </cell>
          <cell r="D304" t="str">
            <v>BNU46</v>
          </cell>
          <cell r="E304">
            <v>303</v>
          </cell>
          <cell r="F304" t="str">
            <v>90</v>
          </cell>
          <cell r="G304" t="str">
            <v>27/01/2023</v>
          </cell>
          <cell r="H304">
            <v>45378</v>
          </cell>
          <cell r="I304">
            <v>45378</v>
          </cell>
          <cell r="J304">
            <v>45378</v>
          </cell>
          <cell r="K304">
            <v>45378</v>
          </cell>
          <cell r="L304" t="str">
            <v>5.1.02.02.01.00
26</v>
          </cell>
          <cell r="M304" t="str">
            <v>07.12.</v>
          </cell>
          <cell r="N304" t="str">
            <v>07.12.02.</v>
          </cell>
          <cell r="O304" t="str">
            <v>David J. Sitinjak</v>
          </cell>
          <cell r="P304" t="str">
            <v>David J. Sitinjak</v>
          </cell>
          <cell r="Q304" t="str">
            <v>Jasa Tenaga TU</v>
          </cell>
          <cell r="R304" t="str">
            <v>Honor Pegawai Tidak Tetap Sekolah (PTTS)</v>
          </cell>
          <cell r="S304">
            <v>1</v>
          </cell>
          <cell r="T304" t="str">
            <v>bulan</v>
          </cell>
          <cell r="U304">
            <v>2000000</v>
          </cell>
          <cell r="V304">
            <v>2000000</v>
          </cell>
          <cell r="W304" t="str">
            <v>GTTS dan PTTS</v>
          </cell>
          <cell r="X304">
            <v>0</v>
          </cell>
          <cell r="AG304">
            <v>3</v>
          </cell>
        </row>
        <row r="305">
          <cell r="A305">
            <v>303</v>
          </cell>
          <cell r="B305" t="str">
            <v>91</v>
          </cell>
          <cell r="C305" t="str">
            <v>91</v>
          </cell>
          <cell r="D305" t="str">
            <v>BNU47</v>
          </cell>
          <cell r="E305">
            <v>304</v>
          </cell>
          <cell r="F305" t="str">
            <v>91</v>
          </cell>
          <cell r="G305" t="str">
            <v>27/01/2023</v>
          </cell>
          <cell r="H305">
            <v>45378</v>
          </cell>
          <cell r="I305">
            <v>45378</v>
          </cell>
          <cell r="J305">
            <v>45378</v>
          </cell>
          <cell r="K305">
            <v>45378</v>
          </cell>
          <cell r="L305" t="str">
            <v>5.1.02.02.01.00
26</v>
          </cell>
          <cell r="M305" t="str">
            <v>07.12.</v>
          </cell>
          <cell r="N305" t="str">
            <v>07.12.02.</v>
          </cell>
          <cell r="O305" t="str">
            <v>Siona Ziraluo</v>
          </cell>
          <cell r="P305" t="str">
            <v>Siona Ziraluo</v>
          </cell>
          <cell r="Q305" t="str">
            <v>Jasa Tenaga TU</v>
          </cell>
          <cell r="R305" t="str">
            <v>Honor Pegawai Tidak Tetap Sekolah (PTTS)</v>
          </cell>
          <cell r="S305">
            <v>1</v>
          </cell>
          <cell r="T305" t="str">
            <v>bulan</v>
          </cell>
          <cell r="U305">
            <v>2000000</v>
          </cell>
          <cell r="V305">
            <v>2000000</v>
          </cell>
          <cell r="W305" t="str">
            <v>GTTS dan PTTS</v>
          </cell>
          <cell r="X305">
            <v>0</v>
          </cell>
          <cell r="AG305">
            <v>3</v>
          </cell>
        </row>
        <row r="306">
          <cell r="A306">
            <v>304</v>
          </cell>
          <cell r="B306" t="str">
            <v>92</v>
          </cell>
          <cell r="C306" t="str">
            <v>92</v>
          </cell>
          <cell r="D306" t="str">
            <v>BNU48</v>
          </cell>
          <cell r="E306">
            <v>305</v>
          </cell>
          <cell r="F306" t="str">
            <v>92</v>
          </cell>
          <cell r="G306" t="str">
            <v>27/01/2023</v>
          </cell>
          <cell r="H306">
            <v>45378</v>
          </cell>
          <cell r="I306">
            <v>45378</v>
          </cell>
          <cell r="J306">
            <v>45378</v>
          </cell>
          <cell r="K306">
            <v>45378</v>
          </cell>
          <cell r="L306" t="str">
            <v>5.1.02.02.01.00
26</v>
          </cell>
          <cell r="M306" t="str">
            <v>07.12.</v>
          </cell>
          <cell r="N306" t="str">
            <v>07.12.02.</v>
          </cell>
          <cell r="O306" t="str">
            <v>Merdina Ziraluo</v>
          </cell>
          <cell r="P306" t="str">
            <v>Merdina Ziraluo</v>
          </cell>
          <cell r="Q306" t="str">
            <v>Jasa Tenaga TU</v>
          </cell>
          <cell r="R306" t="str">
            <v>Honor Pegawai Tidak Tetap Sekolah (PTTS)</v>
          </cell>
          <cell r="S306">
            <v>1</v>
          </cell>
          <cell r="T306" t="str">
            <v>bulan</v>
          </cell>
          <cell r="U306">
            <v>2000000</v>
          </cell>
          <cell r="V306">
            <v>2000000</v>
          </cell>
          <cell r="W306" t="str">
            <v>GTTS dan PTTS</v>
          </cell>
          <cell r="X306">
            <v>0</v>
          </cell>
          <cell r="AG306">
            <v>3</v>
          </cell>
        </row>
        <row r="307">
          <cell r="A307">
            <v>305</v>
          </cell>
          <cell r="B307" t="str">
            <v>93</v>
          </cell>
          <cell r="C307" t="str">
            <v>93</v>
          </cell>
          <cell r="D307" t="str">
            <v>BNU49</v>
          </cell>
          <cell r="E307">
            <v>306</v>
          </cell>
          <cell r="F307" t="str">
            <v>93</v>
          </cell>
          <cell r="G307" t="str">
            <v>27/01/2023</v>
          </cell>
          <cell r="H307">
            <v>45378</v>
          </cell>
          <cell r="I307">
            <v>45378</v>
          </cell>
          <cell r="J307">
            <v>45378</v>
          </cell>
          <cell r="K307">
            <v>45378</v>
          </cell>
          <cell r="L307" t="str">
            <v>5.1.02.02.01.00
30</v>
          </cell>
          <cell r="M307" t="str">
            <v>07.12.</v>
          </cell>
          <cell r="N307" t="str">
            <v>07.12.04.</v>
          </cell>
          <cell r="O307" t="str">
            <v>Fransiskus Lombu</v>
          </cell>
          <cell r="P307" t="str">
            <v>Fransiskus Lombu</v>
          </cell>
          <cell r="Q307" t="str">
            <v>Jasa Tenaga Kebersihan</v>
          </cell>
          <cell r="R307" t="str">
            <v>Honorarius Pegawai Kebersihan Sekolah</v>
          </cell>
          <cell r="S307">
            <v>1</v>
          </cell>
          <cell r="T307" t="str">
            <v>bulan</v>
          </cell>
          <cell r="U307">
            <v>1000000</v>
          </cell>
          <cell r="V307">
            <v>1000000</v>
          </cell>
          <cell r="W307" t="str">
            <v>Pegawai Kebersihan</v>
          </cell>
          <cell r="X307">
            <v>0</v>
          </cell>
          <cell r="AG307">
            <v>3</v>
          </cell>
        </row>
        <row r="308">
          <cell r="A308">
            <v>306</v>
          </cell>
          <cell r="B308" t="str">
            <v>94</v>
          </cell>
          <cell r="C308" t="str">
            <v>94</v>
          </cell>
          <cell r="D308" t="str">
            <v>BPU49</v>
          </cell>
          <cell r="E308">
            <v>307</v>
          </cell>
          <cell r="F308" t="str">
            <v>94</v>
          </cell>
          <cell r="G308" t="str">
            <v>27/01/2023</v>
          </cell>
          <cell r="H308">
            <v>45379</v>
          </cell>
          <cell r="I308">
            <v>45379</v>
          </cell>
          <cell r="J308">
            <v>45379</v>
          </cell>
          <cell r="K308">
            <v>45379</v>
          </cell>
          <cell r="L308" t="str">
            <v>5.1.02.01.01.00
26</v>
          </cell>
          <cell r="M308" t="str">
            <v>03.03.</v>
          </cell>
          <cell r="N308" t="str">
            <v>03.03.21.</v>
          </cell>
          <cell r="O308" t="str">
            <v>Spanduk Uk. 1 x 6 meter-</v>
          </cell>
          <cell r="P308" t="str">
            <v>Spanduk Uk. 1 x 6 meter-</v>
          </cell>
          <cell r="Q308" t="str">
            <v>Percetakan</v>
          </cell>
          <cell r="R308" t="str">
            <v>Spanduk (Ukuran 2 X 4 m)</v>
          </cell>
          <cell r="S308">
            <v>2</v>
          </cell>
          <cell r="T308" t="str">
            <v>buah</v>
          </cell>
          <cell r="U308">
            <v>300000</v>
          </cell>
          <cell r="V308">
            <v>600000</v>
          </cell>
          <cell r="W308" t="str">
            <v>UD. Balizato</v>
          </cell>
          <cell r="X308" t="str">
            <v>Pieter Buala P. Loi</v>
          </cell>
          <cell r="Y308" t="str">
            <v>082166506229</v>
          </cell>
          <cell r="Z308" t="str">
            <v>Jl. Pasir Putih Pasar Telukdalam, Telukdalam Kab. Nias Selatan</v>
          </cell>
          <cell r="AG308">
            <v>3</v>
          </cell>
        </row>
        <row r="309">
          <cell r="A309">
            <v>307</v>
          </cell>
          <cell r="B309" t="str">
            <v>95</v>
          </cell>
          <cell r="C309" t="str">
            <v>95</v>
          </cell>
          <cell r="D309" t="str">
            <v>BPU50</v>
          </cell>
          <cell r="E309">
            <v>308</v>
          </cell>
          <cell r="F309" t="str">
            <v>95</v>
          </cell>
          <cell r="G309">
            <v>45379</v>
          </cell>
          <cell r="H309">
            <v>45380</v>
          </cell>
          <cell r="I309">
            <v>45380</v>
          </cell>
          <cell r="J309">
            <v>45380</v>
          </cell>
          <cell r="K309">
            <v>45380</v>
          </cell>
          <cell r="L309" t="str">
            <v>5.1.02.01.01.00
52</v>
          </cell>
          <cell r="M309" t="str">
            <v>05.05.</v>
          </cell>
          <cell r="N309" t="str">
            <v>05.05.02.</v>
          </cell>
          <cell r="O309" t="str">
            <v>Air Mineral pada pelaksanaan kegiatan bulanan Gerakan Bersih Lingkungan Sekolah</v>
          </cell>
          <cell r="P309" t="str">
            <v>Aqua Cup</v>
          </cell>
          <cell r="Q309" t="str">
            <v>Air Mineral</v>
          </cell>
          <cell r="R309" t="str">
            <v>Aqua Cup (Diameter: 6.3cm. Tinggi: 9.5cm)</v>
          </cell>
          <cell r="S309">
            <v>25</v>
          </cell>
          <cell r="T309" t="str">
            <v>dus</v>
          </cell>
          <cell r="U309">
            <v>50000</v>
          </cell>
          <cell r="V309">
            <v>1250000</v>
          </cell>
          <cell r="W309" t="str">
            <v>Rumah Roti Helena</v>
          </cell>
          <cell r="X309" t="str">
            <v>Fudi Supiyanto</v>
          </cell>
          <cell r="Y309" t="str">
            <v>082164895397</v>
          </cell>
          <cell r="Z309" t="str">
            <v>Jl. Jend A. Yani No. 89 Kelurahan Pasar Telukdalam - Nias Selatan</v>
          </cell>
          <cell r="AG309">
            <v>3</v>
          </cell>
        </row>
        <row r="310">
          <cell r="A310">
            <v>308</v>
          </cell>
          <cell r="B310" t="str">
            <v>96</v>
          </cell>
          <cell r="C310" t="str">
            <v>96</v>
          </cell>
          <cell r="D310" t="str">
            <v>BPU51</v>
          </cell>
          <cell r="E310">
            <v>309</v>
          </cell>
          <cell r="F310" t="str">
            <v>96</v>
          </cell>
          <cell r="G310">
            <v>45379</v>
          </cell>
          <cell r="H310">
            <v>45380</v>
          </cell>
          <cell r="I310">
            <v>45380</v>
          </cell>
          <cell r="J310">
            <v>45380</v>
          </cell>
          <cell r="K310">
            <v>45380</v>
          </cell>
          <cell r="L310" t="str">
            <v>5.1.02.02.01.00
27</v>
          </cell>
          <cell r="M310" t="str">
            <v>06.05.</v>
          </cell>
          <cell r="N310" t="str">
            <v>06.05.03.</v>
          </cell>
          <cell r="O310" t="str">
            <v>Belanja Jasa Tenaga Operator Komputer--</v>
          </cell>
          <cell r="P310" t="str">
            <v>Belanja Jasa Tenaga Operator Komputer--</v>
          </cell>
          <cell r="Q310" t="str">
            <v>Jasa Tenaga Operator</v>
          </cell>
          <cell r="R310" t="str">
            <v xml:space="preserve"> Biaya Jasa Operator Sekolah</v>
          </cell>
          <cell r="S310">
            <v>1</v>
          </cell>
          <cell r="T310" t="str">
            <v>bulan</v>
          </cell>
          <cell r="U310">
            <v>1000000</v>
          </cell>
          <cell r="V310">
            <v>1000000</v>
          </cell>
          <cell r="W310" t="str">
            <v>Riama Siahaan</v>
          </cell>
          <cell r="X310" t="str">
            <v>Riama Siahaan</v>
          </cell>
          <cell r="Y310" t="str">
            <v>082370389806</v>
          </cell>
          <cell r="Z310" t="str">
            <v>Desa Fanayama, Kec. Fanayama, Kab. Nias Selatan</v>
          </cell>
          <cell r="AG310">
            <v>3</v>
          </cell>
        </row>
        <row r="311">
          <cell r="A311">
            <v>309</v>
          </cell>
          <cell r="B311" t="str">
            <v>97</v>
          </cell>
          <cell r="C311" t="str">
            <v>97</v>
          </cell>
          <cell r="D311" t="str">
            <v>BPU52</v>
          </cell>
          <cell r="E311">
            <v>310</v>
          </cell>
          <cell r="F311" t="str">
            <v>97</v>
          </cell>
          <cell r="G311">
            <v>45380</v>
          </cell>
          <cell r="H311">
            <v>45381</v>
          </cell>
          <cell r="I311">
            <v>45381</v>
          </cell>
          <cell r="J311">
            <v>45381</v>
          </cell>
          <cell r="K311">
            <v>45381</v>
          </cell>
          <cell r="L311" t="str">
            <v>5.1.02.01.01.00
55</v>
          </cell>
          <cell r="M311" t="str">
            <v>06.05.</v>
          </cell>
          <cell r="N311" t="str">
            <v>06.05.05.</v>
          </cell>
          <cell r="O311" t="str">
            <v>Satuan Biaya Konsumsi Makanan dan Minuman Fasilitas Pelayanan Urusan Pendidikan Biasa, Kudapan (Snack) - Provinsi Sumatera Utara--</v>
          </cell>
          <cell r="P311" t="str">
            <v>Kue Kotak</v>
          </cell>
          <cell r="Q311" t="str">
            <v>Kudapan</v>
          </cell>
          <cell r="R311" t="str">
            <v>Kue (bahan tepung terigu, gula, telur, mentega; berat 100gr, panjang 15cm, lebar 8 cm)</v>
          </cell>
          <cell r="S311">
            <v>80</v>
          </cell>
          <cell r="T311" t="str">
            <v>kotak</v>
          </cell>
          <cell r="U311">
            <v>15000</v>
          </cell>
          <cell r="V311">
            <v>180000</v>
          </cell>
          <cell r="W311" t="str">
            <v>Rumah Roti Helena</v>
          </cell>
          <cell r="X311" t="str">
            <v>Fudi Supiyanto</v>
          </cell>
          <cell r="Y311" t="str">
            <v>082164895397</v>
          </cell>
          <cell r="Z311" t="str">
            <v>Jl. Jend A. Yani No. 89 Kelurahan Pasar Telukdalam - Nias Selatan</v>
          </cell>
          <cell r="AG311">
            <v>3</v>
          </cell>
        </row>
        <row r="312">
          <cell r="A312">
            <v>310</v>
          </cell>
          <cell r="B312" t="str">
            <v>98</v>
          </cell>
          <cell r="C312" t="str">
            <v>98</v>
          </cell>
          <cell r="D312" t="str">
            <v>BPU53</v>
          </cell>
          <cell r="E312">
            <v>311</v>
          </cell>
          <cell r="F312" t="str">
            <v>98</v>
          </cell>
          <cell r="G312">
            <v>45380</v>
          </cell>
          <cell r="H312">
            <v>45381</v>
          </cell>
          <cell r="I312">
            <v>45381</v>
          </cell>
          <cell r="J312">
            <v>45381</v>
          </cell>
          <cell r="K312">
            <v>45381</v>
          </cell>
          <cell r="L312" t="str">
            <v>5.1.02.01.01.00
55</v>
          </cell>
          <cell r="M312" t="str">
            <v>06.05.</v>
          </cell>
          <cell r="N312" t="str">
            <v>06.05.05.</v>
          </cell>
          <cell r="O312" t="str">
            <v>Satuan Biaya Konsumsi Makanan dan Minuman Fasilitas Pelayanan Urusan Pendidikan Biasa, Makan - Provinsi Sumatera Utara--</v>
          </cell>
          <cell r="P312" t="str">
            <v>Nasi Kotak</v>
          </cell>
          <cell r="Q312" t="str">
            <v>Konsumsi</v>
          </cell>
          <cell r="R312" t="str">
            <v>Nasi putih;Sop daging; Sayur; Berat 1000gr; Dimensi; (PxLxT) 25cmx25cmx10cm</v>
          </cell>
          <cell r="S312">
            <v>80</v>
          </cell>
          <cell r="T312" t="str">
            <v>kotak</v>
          </cell>
          <cell r="U312">
            <v>40000</v>
          </cell>
          <cell r="V312">
            <v>480000</v>
          </cell>
          <cell r="W312" t="str">
            <v>Resto JFC Esther</v>
          </cell>
          <cell r="X312" t="str">
            <v>Limaati Daeli</v>
          </cell>
          <cell r="Y312" t="str">
            <v>085297578868</v>
          </cell>
          <cell r="Z312" t="str">
            <v>Jl. Saonigeho Km. 5 Telukdalam, Kab. Nias Selatan</v>
          </cell>
          <cell r="AG312">
            <v>3</v>
          </cell>
        </row>
        <row r="313">
          <cell r="A313">
            <v>311</v>
          </cell>
          <cell r="B313" t="str">
            <v>99</v>
          </cell>
          <cell r="C313" t="str">
            <v>99</v>
          </cell>
          <cell r="D313" t="str">
            <v>BPU54</v>
          </cell>
          <cell r="E313">
            <v>312</v>
          </cell>
          <cell r="F313" t="str">
            <v>99</v>
          </cell>
          <cell r="G313">
            <v>45380</v>
          </cell>
          <cell r="H313">
            <v>45381</v>
          </cell>
          <cell r="I313">
            <v>45381</v>
          </cell>
          <cell r="J313">
            <v>45381</v>
          </cell>
          <cell r="K313">
            <v>45381</v>
          </cell>
          <cell r="L313" t="str">
            <v>5.1.02.01.01.00
12</v>
          </cell>
          <cell r="M313" t="str">
            <v>03.03.</v>
          </cell>
          <cell r="N313" t="str">
            <v>03.03.19.</v>
          </cell>
          <cell r="O313" t="str">
            <v>Biaya Transportasi darat Lomba FLSSN Tingkat Propinsi 2023</v>
          </cell>
          <cell r="P313" t="str">
            <v>Biaya Transportasi darat Lomba FLSSN Tingkat Propinsi 2023</v>
          </cell>
          <cell r="Q313" t="str">
            <v>Transportasi</v>
          </cell>
          <cell r="R313" t="str">
            <v>Biaya Transportasi darat Lomba FLSSN Tingkat Propinsi 2023</v>
          </cell>
          <cell r="S313">
            <v>1</v>
          </cell>
          <cell r="T313" t="str">
            <v>Kegiatan</v>
          </cell>
          <cell r="U313">
            <v>1360000</v>
          </cell>
          <cell r="V313">
            <v>1360000</v>
          </cell>
          <cell r="W313" t="str">
            <v>Riama Siahaan</v>
          </cell>
          <cell r="X313" t="str">
            <v>Riama Siahaan</v>
          </cell>
          <cell r="Y313" t="str">
            <v>082370389806</v>
          </cell>
          <cell r="Z313" t="str">
            <v>Desa Fanayama, Kec. Fanayama, Kab. Nias Selatan</v>
          </cell>
          <cell r="AG313">
            <v>3</v>
          </cell>
        </row>
        <row r="314">
          <cell r="A314">
            <v>312</v>
          </cell>
          <cell r="B314" t="str">
            <v>99</v>
          </cell>
          <cell r="C314" t="str">
            <v>99</v>
          </cell>
          <cell r="D314" t="str">
            <v>BPU55</v>
          </cell>
          <cell r="E314">
            <v>313</v>
          </cell>
          <cell r="F314" t="str">
            <v>99</v>
          </cell>
          <cell r="G314">
            <v>45380</v>
          </cell>
          <cell r="H314">
            <v>45381</v>
          </cell>
          <cell r="I314">
            <v>45381</v>
          </cell>
          <cell r="J314">
            <v>45381</v>
          </cell>
          <cell r="K314">
            <v>45381</v>
          </cell>
          <cell r="L314" t="str">
            <v>5.1.02.01.01.00
12</v>
          </cell>
          <cell r="M314" t="str">
            <v>03.03.</v>
          </cell>
          <cell r="N314" t="str">
            <v>03.03.19.</v>
          </cell>
          <cell r="O314" t="str">
            <v>Biaya Transportasi Udara Lomba FLSSN Tingkat Propinsi 2023</v>
          </cell>
          <cell r="P314" t="str">
            <v>Biaya Transportasi Udara Lomba FLSSN Tingkat Propinsi 2023</v>
          </cell>
          <cell r="Q314" t="str">
            <v>Transportasi</v>
          </cell>
          <cell r="R314" t="str">
            <v>Biaya Transportasi Udara Lomba FLSSN Tingkat Propinsi 2023</v>
          </cell>
          <cell r="S314">
            <v>1</v>
          </cell>
          <cell r="T314" t="str">
            <v>Kegiatan</v>
          </cell>
          <cell r="U314">
            <v>15238975</v>
          </cell>
          <cell r="V314">
            <v>15238975</v>
          </cell>
          <cell r="W314" t="str">
            <v>Riama Siahaan</v>
          </cell>
          <cell r="X314" t="str">
            <v>Riama Siahaan</v>
          </cell>
          <cell r="Y314" t="str">
            <v>082370389806</v>
          </cell>
          <cell r="Z314" t="str">
            <v>Desa Fanayama, Kec. Fanayama, Kab. Nias Selatan</v>
          </cell>
          <cell r="AG314">
            <v>3</v>
          </cell>
        </row>
        <row r="315">
          <cell r="A315">
            <v>313</v>
          </cell>
          <cell r="B315" t="str">
            <v>100</v>
          </cell>
          <cell r="C315" t="str">
            <v>100</v>
          </cell>
          <cell r="D315" t="str">
            <v>BPU56</v>
          </cell>
          <cell r="E315">
            <v>314</v>
          </cell>
          <cell r="F315" t="str">
            <v>100</v>
          </cell>
          <cell r="G315">
            <v>45380</v>
          </cell>
          <cell r="H315">
            <v>45381</v>
          </cell>
          <cell r="I315">
            <v>45381</v>
          </cell>
          <cell r="J315">
            <v>45381</v>
          </cell>
          <cell r="K315">
            <v>45381</v>
          </cell>
          <cell r="L315" t="str">
            <v>5.1.02.01.01.00
12</v>
          </cell>
          <cell r="M315" t="str">
            <v>03.03.</v>
          </cell>
          <cell r="N315" t="str">
            <v>03.03.19.</v>
          </cell>
          <cell r="O315" t="str">
            <v>Biaya Penginapan Peserta Lomba FLSSN Tingkat Propinsi 2023 Selama 4 Hari</v>
          </cell>
          <cell r="P315" t="str">
            <v>Biaya Penginapan Peserta Lomba FLSSN Tingkat Propinsi 2023 Selama 4 Hari</v>
          </cell>
          <cell r="Q315" t="str">
            <v>Penginapan</v>
          </cell>
          <cell r="R315" t="str">
            <v>Biaya Penginapan Peserta Lomba FLSSN Tingkat Propinsi 2023 Selama 4 Hari</v>
          </cell>
          <cell r="S315">
            <v>1</v>
          </cell>
          <cell r="T315" t="str">
            <v>Kegiatan</v>
          </cell>
          <cell r="U315">
            <v>900000</v>
          </cell>
          <cell r="V315">
            <v>900000</v>
          </cell>
          <cell r="W315" t="str">
            <v>Riama Siahaan</v>
          </cell>
          <cell r="X315" t="str">
            <v>Riama Siahaan</v>
          </cell>
          <cell r="Y315" t="str">
            <v>082370389806</v>
          </cell>
          <cell r="Z315" t="str">
            <v>Desa Fanayama, Kec. Fanayama, Kab. Nias Selatan</v>
          </cell>
          <cell r="AG315">
            <v>3</v>
          </cell>
        </row>
        <row r="316">
          <cell r="A316">
            <v>314</v>
          </cell>
          <cell r="B316" t="str">
            <v>101</v>
          </cell>
          <cell r="C316" t="str">
            <v>101</v>
          </cell>
          <cell r="D316" t="str">
            <v>BPU57</v>
          </cell>
          <cell r="E316">
            <v>315</v>
          </cell>
          <cell r="F316" t="str">
            <v>101</v>
          </cell>
          <cell r="G316">
            <v>45380</v>
          </cell>
          <cell r="H316">
            <v>45381</v>
          </cell>
          <cell r="I316">
            <v>45381</v>
          </cell>
          <cell r="J316">
            <v>45381</v>
          </cell>
          <cell r="K316">
            <v>45381</v>
          </cell>
          <cell r="L316" t="str">
            <v>5.1.02.01.01.00
12</v>
          </cell>
          <cell r="M316" t="str">
            <v>03.03.</v>
          </cell>
          <cell r="N316" t="str">
            <v>03.03.19.</v>
          </cell>
          <cell r="O316" t="str">
            <v>Honor Pembimbing Lomba FLSSN Tingkat Propinsi 2023 Selama 4 Hari</v>
          </cell>
          <cell r="P316" t="str">
            <v>Honor Pembimbing Lomba FLSSN Tingkat Propinsi 2023 Selama 4 Hari</v>
          </cell>
          <cell r="Q316" t="str">
            <v>Jasa Pendamping</v>
          </cell>
          <cell r="R316" t="str">
            <v>Honor Pembimbing Lomba FLSSN Tingkat Propinsi 2023 Selama 4 Hari</v>
          </cell>
          <cell r="S316">
            <v>1</v>
          </cell>
          <cell r="T316" t="str">
            <v>Kegiatan</v>
          </cell>
          <cell r="U316">
            <v>1400000</v>
          </cell>
          <cell r="V316">
            <v>1400000</v>
          </cell>
          <cell r="W316" t="str">
            <v>Riama Siahaan</v>
          </cell>
          <cell r="X316" t="str">
            <v>Riama Siahaan</v>
          </cell>
          <cell r="Y316" t="str">
            <v>082370389806</v>
          </cell>
          <cell r="Z316" t="str">
            <v>Desa Fanayama, Kec. Fanayama, Kab. Nias Selatan</v>
          </cell>
          <cell r="AG316">
            <v>3</v>
          </cell>
        </row>
        <row r="317">
          <cell r="A317">
            <v>315</v>
          </cell>
          <cell r="B317" t="str">
            <v>102</v>
          </cell>
          <cell r="C317" t="str">
            <v>102</v>
          </cell>
          <cell r="D317" t="str">
            <v>BPU58</v>
          </cell>
          <cell r="E317">
            <v>316</v>
          </cell>
          <cell r="F317" t="str">
            <v>102</v>
          </cell>
          <cell r="G317">
            <v>45380</v>
          </cell>
          <cell r="H317">
            <v>45381</v>
          </cell>
          <cell r="I317">
            <v>45381</v>
          </cell>
          <cell r="J317">
            <v>45381</v>
          </cell>
          <cell r="K317">
            <v>45381</v>
          </cell>
          <cell r="L317" t="str">
            <v>5.1.02.01.01.00
12</v>
          </cell>
          <cell r="M317" t="str">
            <v>03.03.</v>
          </cell>
          <cell r="N317" t="str">
            <v>03.03.19.</v>
          </cell>
          <cell r="O317" t="str">
            <v>Uang Saku Siswa Peserta Lomba FLSSN Tingkat Propinsi 2023 Selama 4 Hari</v>
          </cell>
          <cell r="P317" t="str">
            <v>Uang Saku Siswa Peserta Lomba FLSSN Tingkat Propinsi 2023 Selama 4 Hari</v>
          </cell>
          <cell r="Q317" t="str">
            <v>Uang Harian Siswa</v>
          </cell>
          <cell r="R317" t="str">
            <v>Uang Saku Siswa Peserta Lomba FLSSN Tingkat Propinsi 2023 Selama 4 Hari</v>
          </cell>
          <cell r="S317">
            <v>1</v>
          </cell>
          <cell r="T317" t="str">
            <v>Kegiatan</v>
          </cell>
          <cell r="U317">
            <v>1200000</v>
          </cell>
          <cell r="V317">
            <v>1200000</v>
          </cell>
          <cell r="W317" t="str">
            <v>Riama Siahaan</v>
          </cell>
          <cell r="X317" t="str">
            <v>Riama Siahaan</v>
          </cell>
          <cell r="Y317" t="str">
            <v>082370389806</v>
          </cell>
          <cell r="Z317" t="str">
            <v>Desa Fanayama, Kec. Fanayama, Kab. Nias Selatan</v>
          </cell>
          <cell r="AG317">
            <v>3</v>
          </cell>
        </row>
        <row r="318">
          <cell r="A318">
            <v>316</v>
          </cell>
          <cell r="B318" t="str">
            <v>103</v>
          </cell>
          <cell r="C318" t="str">
            <v>103</v>
          </cell>
          <cell r="D318" t="str">
            <v>BPU59</v>
          </cell>
          <cell r="E318">
            <v>317</v>
          </cell>
          <cell r="F318" t="str">
            <v>103</v>
          </cell>
          <cell r="G318">
            <v>45380</v>
          </cell>
          <cell r="H318">
            <v>45381</v>
          </cell>
          <cell r="I318">
            <v>45381</v>
          </cell>
          <cell r="J318">
            <v>45381</v>
          </cell>
          <cell r="K318">
            <v>45381</v>
          </cell>
          <cell r="L318" t="str">
            <v>5.1.02.01.01.00
12</v>
          </cell>
          <cell r="M318" t="str">
            <v>03.03.</v>
          </cell>
          <cell r="N318" t="str">
            <v>03.03.19.</v>
          </cell>
          <cell r="O318" t="str">
            <v>Biaya Lomba OSN 2024</v>
          </cell>
          <cell r="P318" t="str">
            <v>Biaya Lomba OSN 2024</v>
          </cell>
          <cell r="Q318" t="str">
            <v>Perlombaan</v>
          </cell>
          <cell r="R318" t="str">
            <v>Biaya Kegiatan Lomba OSN 2024</v>
          </cell>
          <cell r="S318">
            <v>1</v>
          </cell>
          <cell r="T318" t="str">
            <v>Kegiatan</v>
          </cell>
          <cell r="U318">
            <v>11901025</v>
          </cell>
          <cell r="V318">
            <v>11901025</v>
          </cell>
          <cell r="W318" t="str">
            <v>Riama Siahaan</v>
          </cell>
          <cell r="X318" t="str">
            <v>Riama Siahaan</v>
          </cell>
          <cell r="Y318" t="str">
            <v>082370389806</v>
          </cell>
          <cell r="Z318" t="str">
            <v>Desa Fanayama, Kec. Fanayama, Kab. Nias Selatan</v>
          </cell>
          <cell r="AG318">
            <v>3</v>
          </cell>
        </row>
        <row r="319">
          <cell r="A319">
            <v>317</v>
          </cell>
          <cell r="B319" t="str">
            <v>104</v>
          </cell>
          <cell r="C319" t="str">
            <v>104</v>
          </cell>
          <cell r="D319" t="str">
            <v>BPU60</v>
          </cell>
          <cell r="E319">
            <v>318</v>
          </cell>
          <cell r="F319" t="str">
            <v>104</v>
          </cell>
          <cell r="G319">
            <v>45379</v>
          </cell>
          <cell r="H319">
            <v>45380</v>
          </cell>
          <cell r="I319">
            <v>45381</v>
          </cell>
          <cell r="J319">
            <v>45381</v>
          </cell>
          <cell r="K319">
            <v>45381</v>
          </cell>
          <cell r="L319" t="str">
            <v>5.1.02.01.01.00
52</v>
          </cell>
          <cell r="M319" t="str">
            <v>06.05.</v>
          </cell>
          <cell r="N319" t="str">
            <v>06.05.02.</v>
          </cell>
          <cell r="O319" t="str">
            <v>Kudapan Rapat Rutin Bulanan</v>
          </cell>
          <cell r="P319" t="str">
            <v>Kue Kotak</v>
          </cell>
          <cell r="Q319" t="str">
            <v>Kudapan</v>
          </cell>
          <cell r="R319" t="str">
            <v>Kue (bahan tepung terigu, gula, telur, mentega; berat 100gr, panjang 15cm, lebar 8 cm)</v>
          </cell>
          <cell r="S319">
            <v>60</v>
          </cell>
          <cell r="T319" t="str">
            <v>buah</v>
          </cell>
          <cell r="U319">
            <v>15000</v>
          </cell>
          <cell r="V319">
            <v>900000</v>
          </cell>
          <cell r="W319" t="str">
            <v>Rumah Roti Helena</v>
          </cell>
          <cell r="X319" t="str">
            <v>Fudi Supiyanto</v>
          </cell>
          <cell r="Y319" t="str">
            <v>082164895397</v>
          </cell>
          <cell r="Z319" t="str">
            <v>Jl. Jend A. Yani No. 89 Kelurahan Pasar Telukdalam - Nias Selatan</v>
          </cell>
          <cell r="AG319">
            <v>3</v>
          </cell>
        </row>
        <row r="320">
          <cell r="A320">
            <v>318</v>
          </cell>
          <cell r="B320" t="str">
            <v>105</v>
          </cell>
          <cell r="C320" t="str">
            <v>105</v>
          </cell>
          <cell r="D320" t="str">
            <v>BPU61</v>
          </cell>
          <cell r="E320">
            <v>319</v>
          </cell>
          <cell r="F320" t="str">
            <v>105</v>
          </cell>
          <cell r="G320">
            <v>45383</v>
          </cell>
          <cell r="H320">
            <v>45383</v>
          </cell>
          <cell r="I320">
            <v>45383</v>
          </cell>
          <cell r="J320">
            <v>45383</v>
          </cell>
          <cell r="K320">
            <v>45383</v>
          </cell>
          <cell r="L320" t="str">
            <v>5.1.02.01.01.00
24</v>
          </cell>
          <cell r="M320" t="str">
            <v>06.05.</v>
          </cell>
          <cell r="N320" t="str">
            <v>06.05.08.</v>
          </cell>
          <cell r="O320" t="str">
            <v>Binder Klip  nomor 111</v>
          </cell>
          <cell r="P320" t="str">
            <v>Binder Klip  nomor 111</v>
          </cell>
          <cell r="Q320" t="str">
            <v>Alat Tulis Kantor (ATK)</v>
          </cell>
          <cell r="R320" t="str">
            <v>Binder Clip No 111 (Length 5.0Cm, Width 5.0Cm, Height 5.0Cm, Weight 5Gr)</v>
          </cell>
          <cell r="S320">
            <v>5</v>
          </cell>
          <cell r="T320" t="str">
            <v>kotak</v>
          </cell>
          <cell r="U320">
            <v>11000</v>
          </cell>
          <cell r="V320">
            <v>55000</v>
          </cell>
          <cell r="W320" t="str">
            <v>UD. JOSUA</v>
          </cell>
          <cell r="X320" t="str">
            <v>Gestiwan Zebua</v>
          </cell>
          <cell r="Y320" t="str">
            <v>082166506229</v>
          </cell>
          <cell r="Z320" t="str">
            <v>Jl. Pasir Putih Pasar Telukdalam, Telukdalam Kab. Nias Selatan</v>
          </cell>
          <cell r="AG320">
            <v>4</v>
          </cell>
        </row>
        <row r="321">
          <cell r="A321">
            <v>319</v>
          </cell>
          <cell r="B321" t="str">
            <v>105</v>
          </cell>
          <cell r="C321" t="str">
            <v>105</v>
          </cell>
          <cell r="D321" t="str">
            <v>BPU61</v>
          </cell>
          <cell r="E321">
            <v>320</v>
          </cell>
          <cell r="F321" t="str">
            <v>105</v>
          </cell>
          <cell r="G321">
            <v>45383</v>
          </cell>
          <cell r="H321">
            <v>45383</v>
          </cell>
          <cell r="I321">
            <v>45383</v>
          </cell>
          <cell r="J321">
            <v>45383</v>
          </cell>
          <cell r="K321">
            <v>45383</v>
          </cell>
          <cell r="L321" t="str">
            <v>5.1.02.01.01.00
24</v>
          </cell>
          <cell r="M321" t="str">
            <v>06.05.</v>
          </cell>
          <cell r="N321" t="str">
            <v>06.05.08.</v>
          </cell>
          <cell r="O321" t="str">
            <v>Ballpoint Drawing Pen 0,1 Snowman</v>
          </cell>
          <cell r="P321" t="str">
            <v>Ballpoint Drawing Pen 0,1 Snowman</v>
          </cell>
          <cell r="Q321" t="str">
            <v>Alat Tulis Kantor (ATK)</v>
          </cell>
          <cell r="R321" t="str">
            <v>Ballpoint Drawing Pen 0,1 Snowman (Dimensi, 1cm x 1cm x 1cm. Berat, 50g)</v>
          </cell>
          <cell r="S321">
            <v>1</v>
          </cell>
          <cell r="T321" t="str">
            <v>lusin</v>
          </cell>
          <cell r="U321">
            <v>95000</v>
          </cell>
          <cell r="V321">
            <v>95000</v>
          </cell>
          <cell r="W321" t="str">
            <v>UD. JOSUA</v>
          </cell>
          <cell r="X321" t="str">
            <v>Gestiwan Zebua</v>
          </cell>
          <cell r="Y321" t="str">
            <v>082166506229</v>
          </cell>
          <cell r="Z321" t="str">
            <v>Jl. Pasir Putih Pasar Telukdalam, Telukdalam Kab. Nias Selatan</v>
          </cell>
          <cell r="AG321">
            <v>4</v>
          </cell>
        </row>
        <row r="322">
          <cell r="A322">
            <v>320</v>
          </cell>
          <cell r="B322" t="str">
            <v>105</v>
          </cell>
          <cell r="C322" t="str">
            <v>105</v>
          </cell>
          <cell r="D322" t="str">
            <v>BPU61</v>
          </cell>
          <cell r="E322">
            <v>321</v>
          </cell>
          <cell r="F322" t="str">
            <v>105</v>
          </cell>
          <cell r="G322">
            <v>45383</v>
          </cell>
          <cell r="H322">
            <v>45383</v>
          </cell>
          <cell r="I322">
            <v>45383</v>
          </cell>
          <cell r="J322">
            <v>45383</v>
          </cell>
          <cell r="K322">
            <v>45383</v>
          </cell>
          <cell r="L322" t="str">
            <v>5.1.02.01.01.00
24</v>
          </cell>
          <cell r="M322" t="str">
            <v>06.05.</v>
          </cell>
          <cell r="N322" t="str">
            <v>06.05.08.</v>
          </cell>
          <cell r="O322" t="str">
            <v>Stofmap Transparan tali</v>
          </cell>
          <cell r="P322" t="str">
            <v>Stofmap Transparan tali</v>
          </cell>
          <cell r="Q322" t="str">
            <v>Alat Tulis Kantor (ATK)</v>
          </cell>
          <cell r="R322" t="str">
            <v>Stofmap Transparan Tali (Length 5.0Cm, Width 5.0Cm, Height 5.0Cm, Weight 5Gr)</v>
          </cell>
          <cell r="S322">
            <v>100</v>
          </cell>
          <cell r="T322" t="str">
            <v>buah</v>
          </cell>
          <cell r="U322">
            <v>5500</v>
          </cell>
          <cell r="V322">
            <v>550000</v>
          </cell>
          <cell r="W322" t="str">
            <v>UD. JOSUA</v>
          </cell>
          <cell r="X322" t="str">
            <v>Gestiwan Zebua</v>
          </cell>
          <cell r="Y322" t="str">
            <v>082166506229</v>
          </cell>
          <cell r="Z322" t="str">
            <v>Jl. Pasir Putih Pasar Telukdalam, Telukdalam Kab. Nias Selatan</v>
          </cell>
          <cell r="AG322">
            <v>4</v>
          </cell>
        </row>
        <row r="323">
          <cell r="A323">
            <v>321</v>
          </cell>
          <cell r="B323" t="str">
            <v>105</v>
          </cell>
          <cell r="C323" t="str">
            <v>105</v>
          </cell>
          <cell r="D323" t="str">
            <v>BPU61</v>
          </cell>
          <cell r="E323">
            <v>322</v>
          </cell>
          <cell r="F323" t="str">
            <v>105</v>
          </cell>
          <cell r="G323">
            <v>45383</v>
          </cell>
          <cell r="H323">
            <v>45383</v>
          </cell>
          <cell r="I323">
            <v>45383</v>
          </cell>
          <cell r="J323">
            <v>45383</v>
          </cell>
          <cell r="K323">
            <v>45383</v>
          </cell>
          <cell r="L323" t="str">
            <v>5.1.02.01.01.00
24</v>
          </cell>
          <cell r="M323" t="str">
            <v>06.05.</v>
          </cell>
          <cell r="N323" t="str">
            <v>06.05.08.</v>
          </cell>
          <cell r="O323" t="str">
            <v>Amplop Coklat Merk : GSU Ukuran Folio polos</v>
          </cell>
          <cell r="P323" t="str">
            <v>Amplop Coklat Merk : GSU Ukuran Folio polos</v>
          </cell>
          <cell r="Q323" t="str">
            <v>Alat Tulis Kantor (ATK)</v>
          </cell>
          <cell r="R323" t="str">
            <v>Amplop Coklat GSU Polos (Panjang: 25 cm. Lebar: 5 cm. Tinggi: 35 cm. Berat: 1000 gram)</v>
          </cell>
          <cell r="S323">
            <v>2</v>
          </cell>
          <cell r="T323" t="str">
            <v>bungkus</v>
          </cell>
          <cell r="U323">
            <v>60000</v>
          </cell>
          <cell r="V323">
            <v>120000</v>
          </cell>
          <cell r="W323" t="str">
            <v>UD. JOSUA</v>
          </cell>
          <cell r="X323" t="str">
            <v>Gestiwan Zebua</v>
          </cell>
          <cell r="Y323" t="str">
            <v>082166506229</v>
          </cell>
          <cell r="Z323" t="str">
            <v>Jl. Pasir Putih Pasar Telukdalam, Telukdalam Kab. Nias Selatan</v>
          </cell>
          <cell r="AG323">
            <v>4</v>
          </cell>
        </row>
        <row r="324">
          <cell r="A324">
            <v>322</v>
          </cell>
          <cell r="B324" t="str">
            <v>105</v>
          </cell>
          <cell r="C324" t="str">
            <v>105</v>
          </cell>
          <cell r="D324" t="str">
            <v>BPU61</v>
          </cell>
          <cell r="E324">
            <v>323</v>
          </cell>
          <cell r="F324" t="str">
            <v>105</v>
          </cell>
          <cell r="G324">
            <v>45383</v>
          </cell>
          <cell r="H324">
            <v>45383</v>
          </cell>
          <cell r="I324">
            <v>45383</v>
          </cell>
          <cell r="J324">
            <v>45383</v>
          </cell>
          <cell r="K324">
            <v>45383</v>
          </cell>
          <cell r="L324" t="str">
            <v>5.1.02.01.01.00
24</v>
          </cell>
          <cell r="M324" t="str">
            <v>06.05.</v>
          </cell>
          <cell r="N324" t="str">
            <v>06.05.08.</v>
          </cell>
          <cell r="O324" t="str">
            <v>Stapler HD-10--</v>
          </cell>
          <cell r="P324" t="str">
            <v>Stapler HD-10--</v>
          </cell>
          <cell r="Q324" t="str">
            <v>Alat Tulis Kantor (ATK)</v>
          </cell>
          <cell r="R324" t="str">
            <v>Stapler Hd-10 (Size : 9.1 X 4.2 X 1.8 Cm, Berat. 0.07 Kg. Lebar. 10.0 Cm. Tinggi. 3.5 Cm)</v>
          </cell>
          <cell r="S324">
            <v>2</v>
          </cell>
          <cell r="T324" t="str">
            <v>buah</v>
          </cell>
          <cell r="U324">
            <v>20000</v>
          </cell>
          <cell r="V324">
            <v>40000</v>
          </cell>
          <cell r="W324" t="str">
            <v>UD. JOSUA</v>
          </cell>
          <cell r="X324" t="str">
            <v>Gestiwan Zebua</v>
          </cell>
          <cell r="Y324" t="str">
            <v>082166506229</v>
          </cell>
          <cell r="Z324" t="str">
            <v>Jl. Pasir Putih Pasar Telukdalam, Telukdalam Kab. Nias Selatan</v>
          </cell>
          <cell r="AG324">
            <v>4</v>
          </cell>
        </row>
        <row r="325">
          <cell r="A325">
            <v>323</v>
          </cell>
          <cell r="B325" t="str">
            <v>105</v>
          </cell>
          <cell r="C325" t="str">
            <v>105</v>
          </cell>
          <cell r="D325" t="str">
            <v>BPU61</v>
          </cell>
          <cell r="E325">
            <v>324</v>
          </cell>
          <cell r="F325" t="str">
            <v>105</v>
          </cell>
          <cell r="G325">
            <v>45383</v>
          </cell>
          <cell r="H325">
            <v>45383</v>
          </cell>
          <cell r="I325">
            <v>45383</v>
          </cell>
          <cell r="J325">
            <v>45383</v>
          </cell>
          <cell r="K325">
            <v>45383</v>
          </cell>
          <cell r="L325" t="str">
            <v>5.1.02.01.01.00
24</v>
          </cell>
          <cell r="M325" t="str">
            <v>06.05.</v>
          </cell>
          <cell r="N325" t="str">
            <v>06.05.08.</v>
          </cell>
          <cell r="O325" t="str">
            <v>Kertas Lain-Lain Kertas Buffalo</v>
          </cell>
          <cell r="P325" t="str">
            <v>Kertas Lain-Lain Kertas Buffalo</v>
          </cell>
          <cell r="Q325" t="str">
            <v>Alat Tulis Kantor (ATK)</v>
          </cell>
          <cell r="R325" t="str">
            <v>Kertas Buffalo F4 (Length 21.0Cm, Width 33.0Cm, Height 7.0Cm, Weight 1006Gr)</v>
          </cell>
          <cell r="S325">
            <v>5</v>
          </cell>
          <cell r="T325" t="str">
            <v>bungkus</v>
          </cell>
          <cell r="U325">
            <v>31000</v>
          </cell>
          <cell r="V325">
            <v>155000</v>
          </cell>
          <cell r="W325" t="str">
            <v>UD. JOSUA</v>
          </cell>
          <cell r="X325" t="str">
            <v>Gestiwan Zebua</v>
          </cell>
          <cell r="Y325" t="str">
            <v>082166506229</v>
          </cell>
          <cell r="Z325" t="str">
            <v>Jl. Pasir Putih Pasar Telukdalam, Telukdalam Kab. Nias Selatan</v>
          </cell>
          <cell r="AG325">
            <v>4</v>
          </cell>
        </row>
        <row r="326">
          <cell r="A326">
            <v>324</v>
          </cell>
          <cell r="B326" t="str">
            <v>105</v>
          </cell>
          <cell r="C326" t="str">
            <v>105</v>
          </cell>
          <cell r="D326" t="str">
            <v>BPU61</v>
          </cell>
          <cell r="E326">
            <v>325</v>
          </cell>
          <cell r="F326" t="str">
            <v>105</v>
          </cell>
          <cell r="G326">
            <v>45383</v>
          </cell>
          <cell r="H326">
            <v>45383</v>
          </cell>
          <cell r="I326">
            <v>45383</v>
          </cell>
          <cell r="J326">
            <v>45383</v>
          </cell>
          <cell r="K326">
            <v>45383</v>
          </cell>
          <cell r="L326" t="str">
            <v>5.1.02.01.01.00
24</v>
          </cell>
          <cell r="M326" t="str">
            <v>06.05.</v>
          </cell>
          <cell r="N326" t="str">
            <v>06.05.08.</v>
          </cell>
          <cell r="O326" t="str">
            <v>Baterey Kecil</v>
          </cell>
          <cell r="P326" t="str">
            <v>Baterey Kecil</v>
          </cell>
          <cell r="Q326" t="str">
            <v>Alat Tulis Kantor (ATK)</v>
          </cell>
          <cell r="R326" t="str">
            <v>Baterey Kecil (Type: Aa; Tegangan: 1.5 Volt; Ukuran: 14 X 50 Mm)</v>
          </cell>
          <cell r="S326">
            <v>2</v>
          </cell>
          <cell r="T326" t="str">
            <v>pasang</v>
          </cell>
          <cell r="U326">
            <v>20000</v>
          </cell>
          <cell r="V326">
            <v>40000</v>
          </cell>
          <cell r="W326" t="str">
            <v>UD. JOSUA</v>
          </cell>
          <cell r="X326" t="str">
            <v>Gestiwan Zebua</v>
          </cell>
          <cell r="Y326" t="str">
            <v>082166506229</v>
          </cell>
          <cell r="Z326" t="str">
            <v>Jl. Pasir Putih Pasar Telukdalam, Telukdalam Kab. Nias Selatan</v>
          </cell>
          <cell r="AG326">
            <v>4</v>
          </cell>
        </row>
        <row r="327">
          <cell r="A327">
            <v>325</v>
          </cell>
          <cell r="B327" t="str">
            <v>105</v>
          </cell>
          <cell r="C327" t="str">
            <v>105</v>
          </cell>
          <cell r="D327" t="str">
            <v>BPU61</v>
          </cell>
          <cell r="E327">
            <v>326</v>
          </cell>
          <cell r="F327" t="str">
            <v>105</v>
          </cell>
          <cell r="G327">
            <v>45383</v>
          </cell>
          <cell r="H327">
            <v>45383</v>
          </cell>
          <cell r="I327">
            <v>45383</v>
          </cell>
          <cell r="J327">
            <v>45383</v>
          </cell>
          <cell r="K327">
            <v>45383</v>
          </cell>
          <cell r="L327" t="str">
            <v>5.1.02.01.01.00
24</v>
          </cell>
          <cell r="M327" t="str">
            <v>06.05.</v>
          </cell>
          <cell r="N327" t="str">
            <v>06.05.08.</v>
          </cell>
          <cell r="O327" t="str">
            <v>Tinta Printer Canon 741 Warna-741 Warna</v>
          </cell>
          <cell r="P327" t="str">
            <v>Tinta Printer Canon 741 Warna-741 Warna</v>
          </cell>
          <cell r="Q327" t="str">
            <v>Alat Tulis Kantor (ATK)</v>
          </cell>
          <cell r="R327" t="str">
            <v>Tinta Printer Canon Aiflo Warna (Length 5.0Cm, Width 5.0Cm, Height 5.0Cm, Weight 5Gr)</v>
          </cell>
          <cell r="S327">
            <v>12</v>
          </cell>
          <cell r="T327" t="str">
            <v>botol</v>
          </cell>
          <cell r="U327">
            <v>33000</v>
          </cell>
          <cell r="V327">
            <v>396000</v>
          </cell>
          <cell r="W327" t="str">
            <v>UD. JOSUA</v>
          </cell>
          <cell r="X327" t="str">
            <v>Gestiwan Zebua</v>
          </cell>
          <cell r="Y327" t="str">
            <v>082166506229</v>
          </cell>
          <cell r="Z327" t="str">
            <v>Jl. Pasir Putih Pasar Telukdalam, Telukdalam Kab. Nias Selatan</v>
          </cell>
          <cell r="AG327">
            <v>4</v>
          </cell>
        </row>
        <row r="328">
          <cell r="A328">
            <v>326</v>
          </cell>
          <cell r="B328" t="str">
            <v>105</v>
          </cell>
          <cell r="C328" t="str">
            <v>105</v>
          </cell>
          <cell r="D328" t="str">
            <v>BPU61</v>
          </cell>
          <cell r="E328">
            <v>327</v>
          </cell>
          <cell r="F328" t="str">
            <v>105</v>
          </cell>
          <cell r="G328">
            <v>45383</v>
          </cell>
          <cell r="H328">
            <v>45383</v>
          </cell>
          <cell r="I328">
            <v>45383</v>
          </cell>
          <cell r="J328">
            <v>45383</v>
          </cell>
          <cell r="K328">
            <v>45383</v>
          </cell>
          <cell r="L328" t="str">
            <v>5.1.02.01.01.00
24</v>
          </cell>
          <cell r="M328" t="str">
            <v>06.05.</v>
          </cell>
          <cell r="N328" t="str">
            <v>06.05.08.</v>
          </cell>
          <cell r="O328" t="str">
            <v>Lakban Bening</v>
          </cell>
          <cell r="P328" t="str">
            <v>Lakban Bening Besar</v>
          </cell>
          <cell r="Q328" t="str">
            <v>Alat Tulis Kantor (ATK)</v>
          </cell>
          <cell r="R328" t="str">
            <v>Lakban Bening Besar (Length 5.0Cm, Width 5.0Cm, Height 5.0Cm, Weight 5Gr)</v>
          </cell>
          <cell r="S328">
            <v>5</v>
          </cell>
          <cell r="T328" t="str">
            <v>buah</v>
          </cell>
          <cell r="U328">
            <v>15000</v>
          </cell>
          <cell r="V328">
            <v>75000</v>
          </cell>
          <cell r="W328" t="str">
            <v>UD. JOSUA</v>
          </cell>
          <cell r="X328" t="str">
            <v>Gestiwan Zebua</v>
          </cell>
          <cell r="Y328" t="str">
            <v>082166506229</v>
          </cell>
          <cell r="Z328" t="str">
            <v>Jl. Pasir Putih Pasar Telukdalam, Telukdalam Kab. Nias Selatan</v>
          </cell>
          <cell r="AG328">
            <v>4</v>
          </cell>
        </row>
        <row r="329">
          <cell r="A329">
            <v>327</v>
          </cell>
          <cell r="B329" t="str">
            <v>105</v>
          </cell>
          <cell r="C329" t="str">
            <v>105</v>
          </cell>
          <cell r="D329" t="str">
            <v>BPU61</v>
          </cell>
          <cell r="E329">
            <v>328</v>
          </cell>
          <cell r="F329" t="str">
            <v>105</v>
          </cell>
          <cell r="G329">
            <v>45383</v>
          </cell>
          <cell r="H329">
            <v>45383</v>
          </cell>
          <cell r="I329">
            <v>45383</v>
          </cell>
          <cell r="J329">
            <v>45383</v>
          </cell>
          <cell r="K329">
            <v>45383</v>
          </cell>
          <cell r="L329" t="str">
            <v>5.1.02.01.01.00
24</v>
          </cell>
          <cell r="M329" t="str">
            <v>06.05.</v>
          </cell>
          <cell r="N329" t="str">
            <v>06.05.08.</v>
          </cell>
          <cell r="O329" t="str">
            <v>Plastik Mika</v>
          </cell>
          <cell r="P329" t="str">
            <v>Plastik Mika</v>
          </cell>
          <cell r="Q329" t="str">
            <v>Alat Tulis Kantor (ATK)</v>
          </cell>
          <cell r="R329" t="str">
            <v>Plastik Mika Jilid F4 (Length 21.0Cm, Width 33.0Cm, Height 7.0Cm, Weight 548Gr)</v>
          </cell>
          <cell r="S329">
            <v>5</v>
          </cell>
          <cell r="T329" t="str">
            <v>bungkus</v>
          </cell>
          <cell r="U329">
            <v>60000</v>
          </cell>
          <cell r="V329">
            <v>300000</v>
          </cell>
          <cell r="W329" t="str">
            <v>UD. JOSUA</v>
          </cell>
          <cell r="X329" t="str">
            <v>Gestiwan Zebua</v>
          </cell>
          <cell r="Y329" t="str">
            <v>082166506229</v>
          </cell>
          <cell r="Z329" t="str">
            <v>Jl. Pasir Putih Pasar Telukdalam, Telukdalam Kab. Nias Selatan</v>
          </cell>
          <cell r="AG329">
            <v>4</v>
          </cell>
        </row>
        <row r="330">
          <cell r="A330">
            <v>328</v>
          </cell>
          <cell r="B330" t="str">
            <v>105</v>
          </cell>
          <cell r="C330" t="str">
            <v>105</v>
          </cell>
          <cell r="D330" t="str">
            <v>BPU61</v>
          </cell>
          <cell r="E330">
            <v>329</v>
          </cell>
          <cell r="F330" t="str">
            <v>105</v>
          </cell>
          <cell r="G330">
            <v>45383</v>
          </cell>
          <cell r="H330">
            <v>45383</v>
          </cell>
          <cell r="I330">
            <v>45383</v>
          </cell>
          <cell r="J330">
            <v>45383</v>
          </cell>
          <cell r="K330">
            <v>45383</v>
          </cell>
          <cell r="L330" t="str">
            <v>5.1.02.01.01.00
24</v>
          </cell>
          <cell r="M330" t="str">
            <v>06.05.</v>
          </cell>
          <cell r="N330" t="str">
            <v>06.05.08.</v>
          </cell>
          <cell r="O330" t="str">
            <v>Binder Klip  nomor 107</v>
          </cell>
          <cell r="P330" t="str">
            <v>Binder Klip  nomor 107</v>
          </cell>
          <cell r="Q330" t="str">
            <v>Alat Tulis Kantor (ATK)</v>
          </cell>
          <cell r="R330" t="str">
            <v>Binder Klip 107 (Merk : Joyko. Size : 40 x 19 x 17 mm. Berat : 0.1 kg.)</v>
          </cell>
          <cell r="S330">
            <v>5</v>
          </cell>
          <cell r="T330" t="str">
            <v>kotak</v>
          </cell>
          <cell r="U330">
            <v>7500</v>
          </cell>
          <cell r="V330">
            <v>37500</v>
          </cell>
          <cell r="W330" t="str">
            <v>UD. JOSUA</v>
          </cell>
          <cell r="X330" t="str">
            <v>Gestiwan Zebua</v>
          </cell>
          <cell r="Y330" t="str">
            <v>082166506229</v>
          </cell>
          <cell r="Z330" t="str">
            <v>Jl. Pasir Putih Pasar Telukdalam, Telukdalam Kab. Nias Selatan</v>
          </cell>
          <cell r="AG330">
            <v>4</v>
          </cell>
        </row>
        <row r="331">
          <cell r="A331">
            <v>329</v>
          </cell>
          <cell r="B331" t="str">
            <v>105</v>
          </cell>
          <cell r="C331" t="str">
            <v>105</v>
          </cell>
          <cell r="D331" t="str">
            <v>BPU61</v>
          </cell>
          <cell r="E331">
            <v>330</v>
          </cell>
          <cell r="F331" t="str">
            <v>105</v>
          </cell>
          <cell r="G331">
            <v>45383</v>
          </cell>
          <cell r="H331">
            <v>45383</v>
          </cell>
          <cell r="I331">
            <v>45383</v>
          </cell>
          <cell r="J331">
            <v>45383</v>
          </cell>
          <cell r="K331">
            <v>45383</v>
          </cell>
          <cell r="L331" t="str">
            <v>5.1.02.01.01.00
24</v>
          </cell>
          <cell r="M331" t="str">
            <v>06.05.</v>
          </cell>
          <cell r="N331" t="str">
            <v>06.05.08.</v>
          </cell>
          <cell r="O331" t="str">
            <v>Amplop Coklat Merk : Garda Ukuran Cabinet</v>
          </cell>
          <cell r="P331" t="str">
            <v>Amplop Coklat Merk : Garda Ukuran Cabinet</v>
          </cell>
          <cell r="Q331" t="str">
            <v>Alat Tulis Kantor (ATK)</v>
          </cell>
          <cell r="R331" t="str">
            <v>Amplop Coklat (Merk : Garda Ukuran Cabinet. Ukuran : 110 x 240 mm. Isi : 100 lbr)</v>
          </cell>
          <cell r="S331">
            <v>3</v>
          </cell>
          <cell r="T331" t="str">
            <v>bungkus</v>
          </cell>
          <cell r="U331">
            <v>23000</v>
          </cell>
          <cell r="V331">
            <v>69000</v>
          </cell>
          <cell r="W331" t="str">
            <v>UD. JOSUA</v>
          </cell>
          <cell r="X331" t="str">
            <v>Gestiwan Zebua</v>
          </cell>
          <cell r="Y331" t="str">
            <v>082166506229</v>
          </cell>
          <cell r="Z331" t="str">
            <v>Jl. Pasir Putih Pasar Telukdalam, Telukdalam Kab. Nias Selatan</v>
          </cell>
          <cell r="AG331">
            <v>4</v>
          </cell>
        </row>
        <row r="332">
          <cell r="A332">
            <v>330</v>
          </cell>
          <cell r="B332" t="str">
            <v>105</v>
          </cell>
          <cell r="C332" t="str">
            <v>105</v>
          </cell>
          <cell r="D332" t="str">
            <v>BPU61</v>
          </cell>
          <cell r="E332">
            <v>331</v>
          </cell>
          <cell r="F332" t="str">
            <v>105</v>
          </cell>
          <cell r="G332">
            <v>45383</v>
          </cell>
          <cell r="H332">
            <v>45383</v>
          </cell>
          <cell r="I332">
            <v>45383</v>
          </cell>
          <cell r="J332">
            <v>45383</v>
          </cell>
          <cell r="K332">
            <v>45383</v>
          </cell>
          <cell r="L332" t="str">
            <v>5.1.02.01.01.00
24</v>
          </cell>
          <cell r="M332" t="str">
            <v>06.05.</v>
          </cell>
          <cell r="N332" t="str">
            <v>06.05.08.</v>
          </cell>
          <cell r="O332" t="str">
            <v>Kertas Label</v>
          </cell>
          <cell r="P332" t="str">
            <v>Kertas Label</v>
          </cell>
          <cell r="Q332" t="str">
            <v>Alat Tulis Kantor (ATK)</v>
          </cell>
          <cell r="R332" t="str">
            <v>Kertas Label (Dimensi, 14cm x 20.5cm x 0.2cm. Berat, 50g. Kertas Sticker label kecil panjang no 99 (0,5cm x 3,5cm))</v>
          </cell>
          <cell r="S332">
            <v>5</v>
          </cell>
          <cell r="T332" t="str">
            <v>lembar</v>
          </cell>
          <cell r="U332">
            <v>25000</v>
          </cell>
          <cell r="V332">
            <v>125000</v>
          </cell>
          <cell r="W332" t="str">
            <v>UD. JOSUA</v>
          </cell>
          <cell r="X332" t="str">
            <v>Gestiwan Zebua</v>
          </cell>
          <cell r="Y332" t="str">
            <v>082166506229</v>
          </cell>
          <cell r="Z332" t="str">
            <v>Jl. Pasir Putih Pasar Telukdalam, Telukdalam Kab. Nias Selatan</v>
          </cell>
          <cell r="AG332">
            <v>4</v>
          </cell>
        </row>
        <row r="333">
          <cell r="A333">
            <v>331</v>
          </cell>
          <cell r="B333" t="str">
            <v>105</v>
          </cell>
          <cell r="C333" t="str">
            <v>105</v>
          </cell>
          <cell r="D333" t="str">
            <v>BPU61</v>
          </cell>
          <cell r="E333">
            <v>332</v>
          </cell>
          <cell r="F333" t="str">
            <v>105</v>
          </cell>
          <cell r="G333">
            <v>45383</v>
          </cell>
          <cell r="H333">
            <v>45383</v>
          </cell>
          <cell r="I333">
            <v>45383</v>
          </cell>
          <cell r="J333">
            <v>45383</v>
          </cell>
          <cell r="K333">
            <v>45383</v>
          </cell>
          <cell r="L333" t="str">
            <v>5.1.02.01.01.00
24</v>
          </cell>
          <cell r="M333" t="str">
            <v>06.05.</v>
          </cell>
          <cell r="N333" t="str">
            <v>06.05.08.</v>
          </cell>
          <cell r="O333" t="str">
            <v>Spidol Refil Spidol White Board Snowman</v>
          </cell>
          <cell r="P333" t="str">
            <v>Spidol Refil Spidol White Board Snowman</v>
          </cell>
          <cell r="Q333" t="str">
            <v>Alat Tulis Kantor (ATK)</v>
          </cell>
          <cell r="R333" t="str">
            <v>Spidol Refil Spidol White Board Snowman (Panjang. : 10 Cm ; Lebar. : 5 Cm ; Tinggi. : 7 Cm ; Berat. : 500 Gr)</v>
          </cell>
          <cell r="S333">
            <v>10</v>
          </cell>
          <cell r="T333" t="str">
            <v>buah</v>
          </cell>
          <cell r="U333">
            <v>20900</v>
          </cell>
          <cell r="V333">
            <v>209000</v>
          </cell>
          <cell r="W333" t="str">
            <v>UD. JOSUA</v>
          </cell>
          <cell r="X333" t="str">
            <v>Gestiwan Zebua</v>
          </cell>
          <cell r="Y333" t="str">
            <v>082166506229</v>
          </cell>
          <cell r="Z333" t="str">
            <v>Jl. Pasir Putih Pasar Telukdalam, Telukdalam Kab. Nias Selatan</v>
          </cell>
          <cell r="AG333">
            <v>4</v>
          </cell>
        </row>
        <row r="334">
          <cell r="A334">
            <v>332</v>
          </cell>
          <cell r="B334" t="str">
            <v>105</v>
          </cell>
          <cell r="C334" t="str">
            <v>105</v>
          </cell>
          <cell r="D334" t="str">
            <v>BPU61</v>
          </cell>
          <cell r="E334">
            <v>333</v>
          </cell>
          <cell r="F334" t="str">
            <v>105</v>
          </cell>
          <cell r="G334">
            <v>45383</v>
          </cell>
          <cell r="H334">
            <v>45383</v>
          </cell>
          <cell r="I334">
            <v>45383</v>
          </cell>
          <cell r="J334">
            <v>45383</v>
          </cell>
          <cell r="K334">
            <v>45383</v>
          </cell>
          <cell r="L334" t="str">
            <v>5.1.02.01.01.00
24</v>
          </cell>
          <cell r="M334" t="str">
            <v>06.05.</v>
          </cell>
          <cell r="N334" t="str">
            <v>06.05.08.</v>
          </cell>
          <cell r="O334" t="str">
            <v>Binder Klip Merk : KENKO nomor 105</v>
          </cell>
          <cell r="P334" t="str">
            <v>Binder Klip Merk : KENKO nomor 105</v>
          </cell>
          <cell r="Q334" t="str">
            <v>Alat Tulis Kantor (ATK)</v>
          </cell>
          <cell r="R334" t="str">
            <v>Binder Klip (Merk : Kenko - Bahan : Besi - Ukuran : 15 x 25 mm (No. 105) - Isi : 12 Pcs - Berat : 35 Gram)</v>
          </cell>
          <cell r="S334">
            <v>2</v>
          </cell>
          <cell r="T334" t="str">
            <v>kotak</v>
          </cell>
          <cell r="U334">
            <v>5000</v>
          </cell>
          <cell r="V334">
            <v>10000</v>
          </cell>
          <cell r="W334" t="str">
            <v>UD. JOSUA</v>
          </cell>
          <cell r="X334" t="str">
            <v>Gestiwan Zebua</v>
          </cell>
          <cell r="Y334" t="str">
            <v>082166506229</v>
          </cell>
          <cell r="Z334" t="str">
            <v>Jl. Pasir Putih Pasar Telukdalam, Telukdalam Kab. Nias Selatan</v>
          </cell>
          <cell r="AG334">
            <v>4</v>
          </cell>
        </row>
        <row r="335">
          <cell r="A335">
            <v>333</v>
          </cell>
          <cell r="B335" t="str">
            <v>105</v>
          </cell>
          <cell r="C335" t="str">
            <v>105</v>
          </cell>
          <cell r="D335" t="str">
            <v>BPU61</v>
          </cell>
          <cell r="E335">
            <v>334</v>
          </cell>
          <cell r="F335" t="str">
            <v>105</v>
          </cell>
          <cell r="G335">
            <v>45383</v>
          </cell>
          <cell r="H335">
            <v>45383</v>
          </cell>
          <cell r="I335">
            <v>45383</v>
          </cell>
          <cell r="J335">
            <v>45383</v>
          </cell>
          <cell r="K335">
            <v>45383</v>
          </cell>
          <cell r="L335" t="str">
            <v>5.1.02.01.01.00
24</v>
          </cell>
          <cell r="M335" t="str">
            <v>06.05.</v>
          </cell>
          <cell r="N335" t="str">
            <v>06.05.08.</v>
          </cell>
          <cell r="O335" t="str">
            <v>Ballpoint Pilot G2</v>
          </cell>
          <cell r="P335" t="str">
            <v>Ballpoint Pilot G2</v>
          </cell>
          <cell r="Q335" t="str">
            <v>Alat Tulis Kantor (ATK)</v>
          </cell>
          <cell r="R335" t="str">
            <v>Ballpoint Pilot G2 (Length 5.0Cm, Width 5.0Cm, Height 5.0Cm, Weight 5Gr)</v>
          </cell>
          <cell r="S335">
            <v>1</v>
          </cell>
          <cell r="T335" t="str">
            <v>lusin</v>
          </cell>
          <cell r="U335">
            <v>235000</v>
          </cell>
          <cell r="V335">
            <v>235000</v>
          </cell>
          <cell r="W335" t="str">
            <v>UD. JOSUA</v>
          </cell>
          <cell r="X335" t="str">
            <v>Gestiwan Zebua</v>
          </cell>
          <cell r="Y335" t="str">
            <v>082166506229</v>
          </cell>
          <cell r="Z335" t="str">
            <v>Jl. Pasir Putih Pasar Telukdalam, Telukdalam Kab. Nias Selatan</v>
          </cell>
          <cell r="AG335">
            <v>4</v>
          </cell>
        </row>
        <row r="336">
          <cell r="A336">
            <v>334</v>
          </cell>
          <cell r="B336" t="str">
            <v>105</v>
          </cell>
          <cell r="C336" t="str">
            <v>105</v>
          </cell>
          <cell r="D336" t="str">
            <v>BPU61</v>
          </cell>
          <cell r="E336">
            <v>335</v>
          </cell>
          <cell r="F336" t="str">
            <v>105</v>
          </cell>
          <cell r="G336">
            <v>45383</v>
          </cell>
          <cell r="H336">
            <v>45383</v>
          </cell>
          <cell r="I336">
            <v>45383</v>
          </cell>
          <cell r="J336">
            <v>45383</v>
          </cell>
          <cell r="K336">
            <v>45383</v>
          </cell>
          <cell r="L336" t="str">
            <v>5.1.02.01.01.00
24</v>
          </cell>
          <cell r="M336" t="str">
            <v>06.05.</v>
          </cell>
          <cell r="N336" t="str">
            <v>06.05.08.</v>
          </cell>
          <cell r="O336" t="str">
            <v>C. Tinta Printer EPSON Tinta Printer Epson Blue</v>
          </cell>
          <cell r="P336" t="str">
            <v>C. Tinta Printer EPSON Tinta Printer Epson Blue</v>
          </cell>
          <cell r="Q336" t="str">
            <v>Alat Tulis Kantor (ATK)</v>
          </cell>
          <cell r="R336" t="str">
            <v>Tinta Printer Epson 664 Biru (Length 5.0Cm, Width 5.0Cm, Height 5.0Cm, Weight 5Gr)</v>
          </cell>
          <cell r="S336">
            <v>4</v>
          </cell>
          <cell r="T336" t="str">
            <v>botol</v>
          </cell>
          <cell r="U336">
            <v>110000</v>
          </cell>
          <cell r="V336">
            <v>440000</v>
          </cell>
          <cell r="W336" t="str">
            <v>UD. JOSUA</v>
          </cell>
          <cell r="X336" t="str">
            <v>Gestiwan Zebua</v>
          </cell>
          <cell r="Y336" t="str">
            <v>082166506229</v>
          </cell>
          <cell r="Z336" t="str">
            <v>Jl. Pasir Putih Pasar Telukdalam, Telukdalam Kab. Nias Selatan</v>
          </cell>
          <cell r="AG336">
            <v>4</v>
          </cell>
        </row>
        <row r="337">
          <cell r="A337">
            <v>335</v>
          </cell>
          <cell r="B337" t="str">
            <v>105</v>
          </cell>
          <cell r="C337" t="str">
            <v>105</v>
          </cell>
          <cell r="D337" t="str">
            <v>BPU61</v>
          </cell>
          <cell r="E337">
            <v>336</v>
          </cell>
          <cell r="F337" t="str">
            <v>105</v>
          </cell>
          <cell r="G337">
            <v>45383</v>
          </cell>
          <cell r="H337">
            <v>45383</v>
          </cell>
          <cell r="I337">
            <v>45383</v>
          </cell>
          <cell r="J337">
            <v>45383</v>
          </cell>
          <cell r="K337">
            <v>45383</v>
          </cell>
          <cell r="L337" t="str">
            <v>5.1.02.01.01.00
24</v>
          </cell>
          <cell r="M337" t="str">
            <v>06.05.</v>
          </cell>
          <cell r="N337" t="str">
            <v>06.05.08.</v>
          </cell>
          <cell r="O337" t="str">
            <v>Map Binder</v>
          </cell>
          <cell r="P337" t="str">
            <v>Map Binder</v>
          </cell>
          <cell r="Q337" t="str">
            <v>Alat Tulis Kantor (ATK)</v>
          </cell>
          <cell r="R337" t="str">
            <v>Map Binder (Length 5.0Cm, Width 5.0Cm, Height 5.0Cm, Weight 5Gr)</v>
          </cell>
          <cell r="S337">
            <v>12</v>
          </cell>
          <cell r="T337" t="str">
            <v>buah</v>
          </cell>
          <cell r="U337">
            <v>35500</v>
          </cell>
          <cell r="V337">
            <v>426000</v>
          </cell>
          <cell r="W337" t="str">
            <v>UD. JOSUA</v>
          </cell>
          <cell r="X337" t="str">
            <v>Gestiwan Zebua</v>
          </cell>
          <cell r="Y337" t="str">
            <v>082166506229</v>
          </cell>
          <cell r="Z337" t="str">
            <v>Jl. Pasir Putih Pasar Telukdalam, Telukdalam Kab. Nias Selatan</v>
          </cell>
          <cell r="AG337">
            <v>4</v>
          </cell>
        </row>
        <row r="338">
          <cell r="A338">
            <v>336</v>
          </cell>
          <cell r="B338" t="str">
            <v>105</v>
          </cell>
          <cell r="C338" t="str">
            <v>105</v>
          </cell>
          <cell r="D338" t="str">
            <v>BPU61</v>
          </cell>
          <cell r="E338">
            <v>337</v>
          </cell>
          <cell r="F338" t="str">
            <v>105</v>
          </cell>
          <cell r="G338">
            <v>45383</v>
          </cell>
          <cell r="H338">
            <v>45383</v>
          </cell>
          <cell r="I338">
            <v>45383</v>
          </cell>
          <cell r="J338">
            <v>45383</v>
          </cell>
          <cell r="K338">
            <v>45383</v>
          </cell>
          <cell r="L338" t="str">
            <v>5.1.02.01.01.00
24</v>
          </cell>
          <cell r="M338" t="str">
            <v>06.05.</v>
          </cell>
          <cell r="N338" t="str">
            <v>06.05.08.</v>
          </cell>
          <cell r="O338" t="str">
            <v>Stapler Stapler No, 50 MAX</v>
          </cell>
          <cell r="P338" t="str">
            <v>Stapler Stapler No, 50 MAX</v>
          </cell>
          <cell r="Q338" t="str">
            <v>Alat Tulis Kantor (ATK)</v>
          </cell>
          <cell r="R338" t="str">
            <v>Stapler 50 (Length 5.0Cm, Width 5.0Cm, Height 5.0Cm, Weight 5Gr)</v>
          </cell>
          <cell r="S338">
            <v>2</v>
          </cell>
          <cell r="T338" t="str">
            <v>buah</v>
          </cell>
          <cell r="U338">
            <v>25000</v>
          </cell>
          <cell r="V338">
            <v>50000</v>
          </cell>
          <cell r="W338" t="str">
            <v>UD. JOSUA</v>
          </cell>
          <cell r="X338" t="str">
            <v>Gestiwan Zebua</v>
          </cell>
          <cell r="Y338" t="str">
            <v>082166506229</v>
          </cell>
          <cell r="Z338" t="str">
            <v>Jl. Pasir Putih Pasar Telukdalam, Telukdalam Kab. Nias Selatan</v>
          </cell>
          <cell r="AG338">
            <v>4</v>
          </cell>
        </row>
        <row r="339">
          <cell r="A339">
            <v>337</v>
          </cell>
          <cell r="B339" t="str">
            <v>105</v>
          </cell>
          <cell r="C339" t="str">
            <v>105</v>
          </cell>
          <cell r="D339" t="str">
            <v>BPU61</v>
          </cell>
          <cell r="E339">
            <v>338</v>
          </cell>
          <cell r="F339" t="str">
            <v>105</v>
          </cell>
          <cell r="G339">
            <v>45383</v>
          </cell>
          <cell r="H339">
            <v>45383</v>
          </cell>
          <cell r="I339">
            <v>45383</v>
          </cell>
          <cell r="J339">
            <v>45383</v>
          </cell>
          <cell r="K339">
            <v>45383</v>
          </cell>
          <cell r="L339" t="str">
            <v>5.1.02.01.01.00
24</v>
          </cell>
          <cell r="M339" t="str">
            <v>06.05.</v>
          </cell>
          <cell r="N339" t="str">
            <v>06.05.08.</v>
          </cell>
          <cell r="O339" t="str">
            <v>Amplop Coklat Merk : GSU Ukuran : 1/2 folio, bergaris</v>
          </cell>
          <cell r="P339" t="str">
            <v>Amplop Coklat Merk : GSU Ukuran : 1/2 folio, bergaris</v>
          </cell>
          <cell r="Q339" t="str">
            <v>Alat Tulis Kantor (ATK)</v>
          </cell>
          <cell r="R339" t="str">
            <v>Amplop Coklat (Merk : GSU. Ukuran: 1/2 Folio. Isi: 100 Lbr)</v>
          </cell>
          <cell r="S339">
            <v>1</v>
          </cell>
          <cell r="T339" t="str">
            <v>bungkus</v>
          </cell>
          <cell r="U339">
            <v>45000</v>
          </cell>
          <cell r="V339">
            <v>45000</v>
          </cell>
          <cell r="W339" t="str">
            <v>UD. JOSUA</v>
          </cell>
          <cell r="X339" t="str">
            <v>Gestiwan Zebua</v>
          </cell>
          <cell r="Y339" t="str">
            <v>082166506229</v>
          </cell>
          <cell r="Z339" t="str">
            <v>Jl. Pasir Putih Pasar Telukdalam, Telukdalam Kab. Nias Selatan</v>
          </cell>
          <cell r="AG339">
            <v>4</v>
          </cell>
        </row>
        <row r="340">
          <cell r="A340">
            <v>338</v>
          </cell>
          <cell r="B340" t="str">
            <v>105</v>
          </cell>
          <cell r="C340" t="str">
            <v>105</v>
          </cell>
          <cell r="D340" t="str">
            <v>BPU61</v>
          </cell>
          <cell r="E340">
            <v>339</v>
          </cell>
          <cell r="F340" t="str">
            <v>105</v>
          </cell>
          <cell r="G340">
            <v>45383</v>
          </cell>
          <cell r="H340">
            <v>45383</v>
          </cell>
          <cell r="I340">
            <v>45383</v>
          </cell>
          <cell r="J340">
            <v>45383</v>
          </cell>
          <cell r="K340">
            <v>45383</v>
          </cell>
          <cell r="L340" t="str">
            <v>5.1.02.01.01.00
24</v>
          </cell>
          <cell r="M340" t="str">
            <v>06.05.</v>
          </cell>
          <cell r="N340" t="str">
            <v>06.05.08.</v>
          </cell>
          <cell r="O340" t="str">
            <v>Lakban Hitam--</v>
          </cell>
          <cell r="P340" t="str">
            <v>Lakban Hitam--</v>
          </cell>
          <cell r="Q340" t="str">
            <v>Alat Tulis Kantor (ATK)</v>
          </cell>
          <cell r="R340" t="str">
            <v>Lakban Hitam (Length 5.0Cm, Width 5.0Cm, Height 5.0Cm, Weight 5Gr)</v>
          </cell>
          <cell r="S340">
            <v>5</v>
          </cell>
          <cell r="T340" t="str">
            <v>buah</v>
          </cell>
          <cell r="U340">
            <v>15500</v>
          </cell>
          <cell r="V340">
            <v>77500</v>
          </cell>
          <cell r="W340" t="str">
            <v>UD. JOSUA</v>
          </cell>
          <cell r="X340" t="str">
            <v>Gestiwan Zebua</v>
          </cell>
          <cell r="Y340" t="str">
            <v>082166506229</v>
          </cell>
          <cell r="Z340" t="str">
            <v>Jl. Pasir Putih Pasar Telukdalam, Telukdalam Kab. Nias Selatan</v>
          </cell>
          <cell r="AG340">
            <v>4</v>
          </cell>
        </row>
        <row r="341">
          <cell r="A341">
            <v>339</v>
          </cell>
          <cell r="B341" t="str">
            <v>105</v>
          </cell>
          <cell r="C341" t="str">
            <v>105</v>
          </cell>
          <cell r="D341" t="str">
            <v>BPU61</v>
          </cell>
          <cell r="E341">
            <v>340</v>
          </cell>
          <cell r="F341" t="str">
            <v>105</v>
          </cell>
          <cell r="G341">
            <v>45383</v>
          </cell>
          <cell r="H341">
            <v>45383</v>
          </cell>
          <cell r="I341">
            <v>45383</v>
          </cell>
          <cell r="J341">
            <v>45383</v>
          </cell>
          <cell r="K341">
            <v>45383</v>
          </cell>
          <cell r="L341" t="str">
            <v>5.1.02.01.01.00
24</v>
          </cell>
          <cell r="M341" t="str">
            <v>06.05.</v>
          </cell>
          <cell r="N341" t="str">
            <v>06.05.08.</v>
          </cell>
          <cell r="O341" t="str">
            <v>Paper Clip No 1  Paper Clip No 3</v>
          </cell>
          <cell r="P341" t="str">
            <v>Paper Clip No 1  Paper Clip No 3</v>
          </cell>
          <cell r="Q341" t="str">
            <v>Alat Tulis Kantor (ATK)</v>
          </cell>
          <cell r="R341" t="str">
            <v>Paper Clip No 3 (Length 5.0Cm, Width 5.0Cm, Height 5.0Cm, Weight 5Gr)</v>
          </cell>
          <cell r="S341">
            <v>5</v>
          </cell>
          <cell r="T341" t="str">
            <v>kotak</v>
          </cell>
          <cell r="U341">
            <v>6000</v>
          </cell>
          <cell r="V341">
            <v>30000</v>
          </cell>
          <cell r="W341" t="str">
            <v>UD. JOSUA</v>
          </cell>
          <cell r="X341" t="str">
            <v>Gestiwan Zebua</v>
          </cell>
          <cell r="Y341" t="str">
            <v>082166506229</v>
          </cell>
          <cell r="Z341" t="str">
            <v>Jl. Pasir Putih Pasar Telukdalam, Telukdalam Kab. Nias Selatan</v>
          </cell>
          <cell r="AG341">
            <v>4</v>
          </cell>
        </row>
        <row r="342">
          <cell r="A342">
            <v>340</v>
          </cell>
          <cell r="B342" t="str">
            <v>105</v>
          </cell>
          <cell r="C342" t="str">
            <v>105</v>
          </cell>
          <cell r="D342" t="str">
            <v>BPU61</v>
          </cell>
          <cell r="E342">
            <v>341</v>
          </cell>
          <cell r="F342" t="str">
            <v>105</v>
          </cell>
          <cell r="G342">
            <v>45383</v>
          </cell>
          <cell r="H342">
            <v>45383</v>
          </cell>
          <cell r="I342">
            <v>45383</v>
          </cell>
          <cell r="J342">
            <v>45383</v>
          </cell>
          <cell r="K342">
            <v>45383</v>
          </cell>
          <cell r="L342" t="str">
            <v>5.1.02.01.01.00
24</v>
          </cell>
          <cell r="M342" t="str">
            <v>06.05.</v>
          </cell>
          <cell r="N342" t="str">
            <v>06.05.08.</v>
          </cell>
          <cell r="O342" t="str">
            <v>Lakban Hitam uk 2 " Warna hitam uk. 2 "</v>
          </cell>
          <cell r="P342" t="str">
            <v>Lakban Hitam uk 2 " Warna hitam uk. 2 "</v>
          </cell>
          <cell r="Q342" t="str">
            <v>Alat Tulis Kantor (ATK)</v>
          </cell>
          <cell r="R342" t="str">
            <v>Lakban Warna Uk 2" Warna Coklat Cofiie (Ukuran 90Yard Lebar : 48Mm)</v>
          </cell>
          <cell r="S342">
            <v>5</v>
          </cell>
          <cell r="T342" t="str">
            <v>buah</v>
          </cell>
          <cell r="U342">
            <v>25000</v>
          </cell>
          <cell r="V342">
            <v>125000</v>
          </cell>
          <cell r="W342" t="str">
            <v>UD. JOSUA</v>
          </cell>
          <cell r="X342" t="str">
            <v>Gestiwan Zebua</v>
          </cell>
          <cell r="Y342" t="str">
            <v>082166506229</v>
          </cell>
          <cell r="Z342" t="str">
            <v>Jl. Pasir Putih Pasar Telukdalam, Telukdalam Kab. Nias Selatan</v>
          </cell>
          <cell r="AG342">
            <v>4</v>
          </cell>
        </row>
        <row r="343">
          <cell r="A343">
            <v>341</v>
          </cell>
          <cell r="B343" t="str">
            <v>105</v>
          </cell>
          <cell r="C343" t="str">
            <v>105</v>
          </cell>
          <cell r="D343" t="str">
            <v>BPU61</v>
          </cell>
          <cell r="E343">
            <v>342</v>
          </cell>
          <cell r="F343" t="str">
            <v>105</v>
          </cell>
          <cell r="G343">
            <v>45383</v>
          </cell>
          <cell r="H343">
            <v>45383</v>
          </cell>
          <cell r="I343">
            <v>45383</v>
          </cell>
          <cell r="J343">
            <v>45383</v>
          </cell>
          <cell r="K343">
            <v>45383</v>
          </cell>
          <cell r="L343" t="str">
            <v>5.1.02.01.01.00
24</v>
          </cell>
          <cell r="M343" t="str">
            <v>06.05.</v>
          </cell>
          <cell r="N343" t="str">
            <v>06.05.08.</v>
          </cell>
          <cell r="O343" t="str">
            <v>Kertas StensiI</v>
          </cell>
          <cell r="P343" t="str">
            <v>Kertas StensiI</v>
          </cell>
          <cell r="Q343" t="str">
            <v>Alat Tulis Kantor (ATK)</v>
          </cell>
          <cell r="R343" t="str">
            <v>Kertas Stencil Folio (Length 33.0Cm, Width 21.0Cm, Height 5.0Cm, Weight 1400Gr)</v>
          </cell>
          <cell r="S343">
            <v>10</v>
          </cell>
          <cell r="T343" t="str">
            <v>bungkus</v>
          </cell>
          <cell r="U343">
            <v>50000</v>
          </cell>
          <cell r="V343">
            <v>500000</v>
          </cell>
          <cell r="W343" t="str">
            <v>UD. JOSUA</v>
          </cell>
          <cell r="X343" t="str">
            <v>Gestiwan Zebua</v>
          </cell>
          <cell r="Y343" t="str">
            <v>082166506229</v>
          </cell>
          <cell r="Z343" t="str">
            <v>Jl. Pasir Putih Pasar Telukdalam, Telukdalam Kab. Nias Selatan</v>
          </cell>
          <cell r="AG343">
            <v>4</v>
          </cell>
        </row>
        <row r="344">
          <cell r="A344">
            <v>342</v>
          </cell>
          <cell r="B344" t="str">
            <v>105</v>
          </cell>
          <cell r="C344" t="str">
            <v>105</v>
          </cell>
          <cell r="D344" t="str">
            <v>BPU61</v>
          </cell>
          <cell r="E344">
            <v>343</v>
          </cell>
          <cell r="F344" t="str">
            <v>105</v>
          </cell>
          <cell r="G344">
            <v>45383</v>
          </cell>
          <cell r="H344">
            <v>45383</v>
          </cell>
          <cell r="I344">
            <v>45383</v>
          </cell>
          <cell r="J344">
            <v>45383</v>
          </cell>
          <cell r="K344">
            <v>45383</v>
          </cell>
          <cell r="L344" t="str">
            <v>5.1.02.01.01.00
24</v>
          </cell>
          <cell r="M344" t="str">
            <v>06.05.</v>
          </cell>
          <cell r="N344" t="str">
            <v>06.05.08.</v>
          </cell>
          <cell r="O344" t="str">
            <v>Spidol White board</v>
          </cell>
          <cell r="P344" t="str">
            <v>Spidol White board</v>
          </cell>
          <cell r="Q344" t="str">
            <v>Alat Tulis Kantor (ATK)</v>
          </cell>
          <cell r="R344" t="str">
            <v>Spidol White Board (Berat Produk 0.5 Kg, Panjang Produk 10 Cm, Lebar Produk 3 Cm, Tinggi Produk 10 Cm)</v>
          </cell>
          <cell r="S344">
            <v>2</v>
          </cell>
          <cell r="T344" t="str">
            <v>lusin</v>
          </cell>
          <cell r="U344">
            <v>120000</v>
          </cell>
          <cell r="V344">
            <v>240000</v>
          </cell>
          <cell r="W344" t="str">
            <v>UD. JOSUA</v>
          </cell>
          <cell r="X344" t="str">
            <v>Gestiwan Zebua</v>
          </cell>
          <cell r="Y344" t="str">
            <v>082166506229</v>
          </cell>
          <cell r="Z344" t="str">
            <v>Jl. Pasir Putih Pasar Telukdalam, Telukdalam Kab. Nias Selatan</v>
          </cell>
          <cell r="AG344">
            <v>4</v>
          </cell>
        </row>
        <row r="345">
          <cell r="A345">
            <v>343</v>
          </cell>
          <cell r="B345" t="str">
            <v>105</v>
          </cell>
          <cell r="C345" t="str">
            <v>105</v>
          </cell>
          <cell r="D345" t="str">
            <v>BPU61</v>
          </cell>
          <cell r="E345">
            <v>344</v>
          </cell>
          <cell r="F345" t="str">
            <v>105</v>
          </cell>
          <cell r="G345">
            <v>45383</v>
          </cell>
          <cell r="H345">
            <v>45383</v>
          </cell>
          <cell r="I345">
            <v>45383</v>
          </cell>
          <cell r="J345">
            <v>45383</v>
          </cell>
          <cell r="K345">
            <v>45383</v>
          </cell>
          <cell r="L345" t="str">
            <v>5.1.02.01.01.00
24</v>
          </cell>
          <cell r="M345" t="str">
            <v>06.05.</v>
          </cell>
          <cell r="N345" t="str">
            <v>06.05.08.</v>
          </cell>
          <cell r="O345" t="str">
            <v>Pisau Cutter Kenko L-500</v>
          </cell>
          <cell r="P345" t="str">
            <v>Pisau Cutter Kenko L-500</v>
          </cell>
          <cell r="Q345" t="str">
            <v>Alat Tulis Kantor (ATK)</v>
          </cell>
          <cell r="R345" t="str">
            <v>Pisau Cutter L-500 (Merk: Kenko. Dimension: 15.50cm x 2.70cm x 1.00cm. Weight: 71.00g)</v>
          </cell>
          <cell r="S345">
            <v>2</v>
          </cell>
          <cell r="T345" t="str">
            <v>buah</v>
          </cell>
          <cell r="U345">
            <v>15000</v>
          </cell>
          <cell r="V345">
            <v>30000</v>
          </cell>
          <cell r="W345" t="str">
            <v>UD. JOSUA</v>
          </cell>
          <cell r="X345" t="str">
            <v>Gestiwan Zebua</v>
          </cell>
          <cell r="Y345" t="str">
            <v>082166506229</v>
          </cell>
          <cell r="Z345" t="str">
            <v>Jl. Pasir Putih Pasar Telukdalam, Telukdalam Kab. Nias Selatan</v>
          </cell>
          <cell r="AG345">
            <v>4</v>
          </cell>
        </row>
        <row r="346">
          <cell r="A346">
            <v>344</v>
          </cell>
          <cell r="B346" t="str">
            <v>105</v>
          </cell>
          <cell r="C346" t="str">
            <v>105</v>
          </cell>
          <cell r="D346" t="str">
            <v>BPU61</v>
          </cell>
          <cell r="E346">
            <v>345</v>
          </cell>
          <cell r="F346" t="str">
            <v>105</v>
          </cell>
          <cell r="G346">
            <v>45383</v>
          </cell>
          <cell r="H346">
            <v>45383</v>
          </cell>
          <cell r="I346">
            <v>45383</v>
          </cell>
          <cell r="J346">
            <v>45383</v>
          </cell>
          <cell r="K346">
            <v>45383</v>
          </cell>
          <cell r="L346" t="str">
            <v>5.1.02.01.01.00
24</v>
          </cell>
          <cell r="M346" t="str">
            <v>06.05.</v>
          </cell>
          <cell r="N346" t="str">
            <v>06.05.08.</v>
          </cell>
          <cell r="O346" t="str">
            <v>Lem Fox isi 500 gram--</v>
          </cell>
          <cell r="P346" t="str">
            <v>Lem Fox isi 500 gram--</v>
          </cell>
          <cell r="Q346" t="str">
            <v>Alat Tulis Kantor (ATK)</v>
          </cell>
          <cell r="R346" t="str">
            <v>Lem Fox Isi 500 Gram (Bahan Pvc, Berat 500Gr, Ukuran Botol Putih 500Gr)</v>
          </cell>
          <cell r="S346">
            <v>2</v>
          </cell>
          <cell r="T346" t="str">
            <v>buah</v>
          </cell>
          <cell r="U346">
            <v>35400</v>
          </cell>
          <cell r="V346">
            <v>70800</v>
          </cell>
          <cell r="W346" t="str">
            <v>UD. JOSUA</v>
          </cell>
          <cell r="X346" t="str">
            <v>Gestiwan Zebua</v>
          </cell>
          <cell r="Y346" t="str">
            <v>082166506229</v>
          </cell>
          <cell r="Z346" t="str">
            <v>Jl. Pasir Putih Pasar Telukdalam, Telukdalam Kab. Nias Selatan</v>
          </cell>
          <cell r="AG346">
            <v>4</v>
          </cell>
        </row>
        <row r="347">
          <cell r="A347">
            <v>345</v>
          </cell>
          <cell r="B347" t="str">
            <v>105</v>
          </cell>
          <cell r="C347" t="str">
            <v>105</v>
          </cell>
          <cell r="D347" t="str">
            <v>BPU61</v>
          </cell>
          <cell r="E347">
            <v>346</v>
          </cell>
          <cell r="F347" t="str">
            <v>105</v>
          </cell>
          <cell r="G347">
            <v>45383</v>
          </cell>
          <cell r="H347">
            <v>45383</v>
          </cell>
          <cell r="I347">
            <v>45383</v>
          </cell>
          <cell r="J347">
            <v>45383</v>
          </cell>
          <cell r="K347">
            <v>45383</v>
          </cell>
          <cell r="L347" t="str">
            <v>5.1.02.01.01.00
24</v>
          </cell>
          <cell r="M347" t="str">
            <v>06.05.</v>
          </cell>
          <cell r="N347" t="str">
            <v>06.05.08.</v>
          </cell>
          <cell r="O347" t="str">
            <v>Binder Klip  nomor 260</v>
          </cell>
          <cell r="P347" t="str">
            <v>Binder Klip  nomor 260</v>
          </cell>
          <cell r="Q347" t="str">
            <v>Alat Tulis Kantor (ATK)</v>
          </cell>
          <cell r="R347" t="str">
            <v>Binder Klip  nomor 260 (Merk: Kenko. size : 9,5cm x 5cm x 15cm Weight : 268 gram)</v>
          </cell>
          <cell r="S347">
            <v>10</v>
          </cell>
          <cell r="T347" t="str">
            <v>kotak</v>
          </cell>
          <cell r="U347">
            <v>20000</v>
          </cell>
          <cell r="V347">
            <v>200000</v>
          </cell>
          <cell r="W347" t="str">
            <v>UD. JOSUA</v>
          </cell>
          <cell r="X347" t="str">
            <v>Gestiwan Zebua</v>
          </cell>
          <cell r="Y347" t="str">
            <v>082166506229</v>
          </cell>
          <cell r="Z347" t="str">
            <v>Jl. Pasir Putih Pasar Telukdalam, Telukdalam Kab. Nias Selatan</v>
          </cell>
          <cell r="AG347">
            <v>4</v>
          </cell>
        </row>
        <row r="348">
          <cell r="A348">
            <v>346</v>
          </cell>
          <cell r="B348" t="str">
            <v>105</v>
          </cell>
          <cell r="C348" t="str">
            <v>105</v>
          </cell>
          <cell r="D348" t="str">
            <v>BPU61</v>
          </cell>
          <cell r="E348">
            <v>347</v>
          </cell>
          <cell r="F348" t="str">
            <v>105</v>
          </cell>
          <cell r="G348">
            <v>45383</v>
          </cell>
          <cell r="H348">
            <v>45383</v>
          </cell>
          <cell r="I348">
            <v>45383</v>
          </cell>
          <cell r="J348">
            <v>45383</v>
          </cell>
          <cell r="K348">
            <v>45383</v>
          </cell>
          <cell r="L348" t="str">
            <v>5.1.02.01.01.00
24</v>
          </cell>
          <cell r="M348" t="str">
            <v>06.05.</v>
          </cell>
          <cell r="N348" t="str">
            <v>06.05.08.</v>
          </cell>
          <cell r="O348" t="str">
            <v>C. Tinta Printer EPSON Tinta Printer Epson Yellow</v>
          </cell>
          <cell r="P348" t="str">
            <v>C. Tinta Printer EPSON Tinta Printer Epson Yellow</v>
          </cell>
          <cell r="Q348" t="str">
            <v>Alat Tulis Kantor (ATK)</v>
          </cell>
          <cell r="R348" t="str">
            <v>Tinta Printer Epson 664 Kuning (Length 5.0Cm, Width 5.0Cm, Height 5.0Cm, Weight 5Gr)</v>
          </cell>
          <cell r="S348">
            <v>4</v>
          </cell>
          <cell r="T348" t="str">
            <v>botol</v>
          </cell>
          <cell r="U348">
            <v>110000</v>
          </cell>
          <cell r="V348">
            <v>440000</v>
          </cell>
          <cell r="W348" t="str">
            <v>UD. JOSUA</v>
          </cell>
          <cell r="X348" t="str">
            <v>Gestiwan Zebua</v>
          </cell>
          <cell r="Y348" t="str">
            <v>082166506229</v>
          </cell>
          <cell r="Z348" t="str">
            <v>Jl. Pasir Putih Pasar Telukdalam, Telukdalam Kab. Nias Selatan</v>
          </cell>
          <cell r="AG348">
            <v>4</v>
          </cell>
        </row>
        <row r="349">
          <cell r="A349">
            <v>347</v>
          </cell>
          <cell r="B349" t="str">
            <v>105</v>
          </cell>
          <cell r="C349" t="str">
            <v>105</v>
          </cell>
          <cell r="D349" t="str">
            <v>BPU61</v>
          </cell>
          <cell r="E349">
            <v>348</v>
          </cell>
          <cell r="F349" t="str">
            <v>105</v>
          </cell>
          <cell r="G349">
            <v>45383</v>
          </cell>
          <cell r="H349">
            <v>45383</v>
          </cell>
          <cell r="I349">
            <v>45383</v>
          </cell>
          <cell r="J349">
            <v>45383</v>
          </cell>
          <cell r="K349">
            <v>45383</v>
          </cell>
          <cell r="L349" t="str">
            <v>5.1.02.01.01.00
24</v>
          </cell>
          <cell r="M349" t="str">
            <v>06.05.</v>
          </cell>
          <cell r="N349" t="str">
            <v>06.05.08.</v>
          </cell>
          <cell r="O349" t="str">
            <v>PAPER CLIP  Paper Clip No 1</v>
          </cell>
          <cell r="P349" t="str">
            <v>PAPER CLIP  Paper Clip No 1</v>
          </cell>
          <cell r="Q349" t="str">
            <v>Alat Tulis Kantor (ATK)</v>
          </cell>
          <cell r="R349" t="str">
            <v>Paper Clip No 1 (Length 5.0Cm, Width 5.0Cm, Height 5.0Cm, Weight 5Gr)</v>
          </cell>
          <cell r="S349">
            <v>5</v>
          </cell>
          <cell r="T349" t="str">
            <v>kotak</v>
          </cell>
          <cell r="U349">
            <v>5000</v>
          </cell>
          <cell r="V349">
            <v>25000</v>
          </cell>
          <cell r="W349" t="str">
            <v>UD. JOSUA</v>
          </cell>
          <cell r="X349" t="str">
            <v>Gestiwan Zebua</v>
          </cell>
          <cell r="Y349" t="str">
            <v>082166506229</v>
          </cell>
          <cell r="Z349" t="str">
            <v>Jl. Pasir Putih Pasar Telukdalam, Telukdalam Kab. Nias Selatan</v>
          </cell>
          <cell r="AG349">
            <v>4</v>
          </cell>
        </row>
        <row r="350">
          <cell r="A350">
            <v>348</v>
          </cell>
          <cell r="B350" t="str">
            <v>105</v>
          </cell>
          <cell r="C350" t="str">
            <v>105</v>
          </cell>
          <cell r="D350" t="str">
            <v>BPU61</v>
          </cell>
          <cell r="E350">
            <v>349</v>
          </cell>
          <cell r="F350" t="str">
            <v>105</v>
          </cell>
          <cell r="G350">
            <v>45383</v>
          </cell>
          <cell r="H350">
            <v>45383</v>
          </cell>
          <cell r="I350">
            <v>45383</v>
          </cell>
          <cell r="J350">
            <v>45383</v>
          </cell>
          <cell r="K350">
            <v>45383</v>
          </cell>
          <cell r="L350" t="str">
            <v>5.1.02.01.01.00
24</v>
          </cell>
          <cell r="M350" t="str">
            <v>06.05.</v>
          </cell>
          <cell r="N350" t="str">
            <v>06.05.08.</v>
          </cell>
          <cell r="O350" t="str">
            <v>Kertas HVS 80 gram Merk : Paper One A4, Ukuran : 8,27" x 11,69", Isi : 500 lembar</v>
          </cell>
          <cell r="P350" t="str">
            <v>Kertas HVS 80 gram Merk : Paper One A4, Ukuran : 8,27" x 11,69", Isi : 500 lembar</v>
          </cell>
          <cell r="Q350" t="str">
            <v>Alat Tulis Kantor (ATK)</v>
          </cell>
          <cell r="R350" t="str">
            <v>Kertas Hvs A4 80Gsm Paper One (Length 30.0Cm, Width 21.0Cm, Height 7.0Cm, Weight 2394Gr)</v>
          </cell>
          <cell r="S350">
            <v>40</v>
          </cell>
          <cell r="T350" t="str">
            <v>rim</v>
          </cell>
          <cell r="U350">
            <v>50000</v>
          </cell>
          <cell r="V350">
            <v>2000000</v>
          </cell>
          <cell r="W350" t="str">
            <v>UD. JOSUA</v>
          </cell>
          <cell r="X350" t="str">
            <v>Gestiwan Zebua</v>
          </cell>
          <cell r="Y350" t="str">
            <v>082166506229</v>
          </cell>
          <cell r="Z350" t="str">
            <v>Jl. Pasir Putih Pasar Telukdalam, Telukdalam Kab. Nias Selatan</v>
          </cell>
          <cell r="AG350">
            <v>4</v>
          </cell>
        </row>
        <row r="351">
          <cell r="A351">
            <v>349</v>
          </cell>
          <cell r="B351" t="str">
            <v>105</v>
          </cell>
          <cell r="C351" t="str">
            <v>105</v>
          </cell>
          <cell r="D351" t="str">
            <v>BPU61</v>
          </cell>
          <cell r="E351">
            <v>350</v>
          </cell>
          <cell r="F351" t="str">
            <v>105</v>
          </cell>
          <cell r="G351">
            <v>45383</v>
          </cell>
          <cell r="H351">
            <v>45383</v>
          </cell>
          <cell r="I351">
            <v>45383</v>
          </cell>
          <cell r="J351">
            <v>45383</v>
          </cell>
          <cell r="K351">
            <v>45383</v>
          </cell>
          <cell r="L351" t="str">
            <v>5.1.02.01.01.00
24</v>
          </cell>
          <cell r="M351" t="str">
            <v>06.05.</v>
          </cell>
          <cell r="N351" t="str">
            <v>06.05.08.</v>
          </cell>
          <cell r="O351" t="str">
            <v>Stofmap Transparan</v>
          </cell>
          <cell r="P351" t="str">
            <v>Stofmap Transparan</v>
          </cell>
          <cell r="Q351" t="str">
            <v>Alat Tulis Kantor (ATK)</v>
          </cell>
          <cell r="R351" t="str">
            <v>Stofmap Transparan (Length 5.0Cm, Width 5.0Cm, Height 5.0Cm, Weight 5Gr)</v>
          </cell>
          <cell r="S351">
            <v>100</v>
          </cell>
          <cell r="T351" t="str">
            <v>buah</v>
          </cell>
          <cell r="U351">
            <v>5500</v>
          </cell>
          <cell r="V351">
            <v>550000</v>
          </cell>
          <cell r="W351" t="str">
            <v>UD. JOSUA</v>
          </cell>
          <cell r="X351" t="str">
            <v>Gestiwan Zebua</v>
          </cell>
          <cell r="Y351" t="str">
            <v>082166506229</v>
          </cell>
          <cell r="Z351" t="str">
            <v>Jl. Pasir Putih Pasar Telukdalam, Telukdalam Kab. Nias Selatan</v>
          </cell>
          <cell r="AG351">
            <v>4</v>
          </cell>
        </row>
        <row r="352">
          <cell r="A352">
            <v>350</v>
          </cell>
          <cell r="B352" t="str">
            <v>105</v>
          </cell>
          <cell r="C352" t="str">
            <v>105</v>
          </cell>
          <cell r="D352" t="str">
            <v>BPU61</v>
          </cell>
          <cell r="E352">
            <v>351</v>
          </cell>
          <cell r="F352" t="str">
            <v>105</v>
          </cell>
          <cell r="G352">
            <v>45383</v>
          </cell>
          <cell r="H352">
            <v>45383</v>
          </cell>
          <cell r="I352">
            <v>45383</v>
          </cell>
          <cell r="J352">
            <v>45383</v>
          </cell>
          <cell r="K352">
            <v>45383</v>
          </cell>
          <cell r="L352" t="str">
            <v>5.1.02.01.01.00
24</v>
          </cell>
          <cell r="M352" t="str">
            <v>06.05.</v>
          </cell>
          <cell r="N352" t="str">
            <v>06.05.08.</v>
          </cell>
          <cell r="O352" t="str">
            <v>Amplop Panjang Putih Polos Merk : Jaya Ukuran : 11 x 23 cm</v>
          </cell>
          <cell r="P352" t="str">
            <v>Amplop Panjang Putih Polos Merk : Jaya Ukuran : 11 x 23 cm</v>
          </cell>
          <cell r="Q352" t="str">
            <v>Alat Tulis Kantor (ATK)</v>
          </cell>
          <cell r="R352" t="str">
            <v>Amplop Putih Panjang (Length 5.0Cm, Width 5.0Cm, Height 5.0Cm, Weight 5Gr)</v>
          </cell>
          <cell r="S352">
            <v>1</v>
          </cell>
          <cell r="T352" t="str">
            <v>kotak</v>
          </cell>
          <cell r="U352">
            <v>48000</v>
          </cell>
          <cell r="V352">
            <v>48000</v>
          </cell>
          <cell r="W352" t="str">
            <v>UD. JOSUA</v>
          </cell>
          <cell r="X352" t="str">
            <v>Gestiwan Zebua</v>
          </cell>
          <cell r="Y352" t="str">
            <v>082166506229</v>
          </cell>
          <cell r="Z352" t="str">
            <v>Jl. Pasir Putih Pasar Telukdalam, Telukdalam Kab. Nias Selatan</v>
          </cell>
          <cell r="AG352">
            <v>4</v>
          </cell>
        </row>
        <row r="353">
          <cell r="A353">
            <v>351</v>
          </cell>
          <cell r="B353" t="str">
            <v>105</v>
          </cell>
          <cell r="C353" t="str">
            <v>105</v>
          </cell>
          <cell r="D353" t="str">
            <v>BPU61</v>
          </cell>
          <cell r="E353">
            <v>352</v>
          </cell>
          <cell r="F353" t="str">
            <v>105</v>
          </cell>
          <cell r="G353">
            <v>45383</v>
          </cell>
          <cell r="H353">
            <v>45383</v>
          </cell>
          <cell r="I353">
            <v>45383</v>
          </cell>
          <cell r="J353">
            <v>45383</v>
          </cell>
          <cell r="K353">
            <v>45383</v>
          </cell>
          <cell r="L353" t="str">
            <v>5.1.02.01.01.00
24</v>
          </cell>
          <cell r="M353" t="str">
            <v>06.05.</v>
          </cell>
          <cell r="N353" t="str">
            <v>06.05.08.</v>
          </cell>
          <cell r="O353" t="str">
            <v>Kertas Post-It Warna Warni  Sign Here</v>
          </cell>
          <cell r="P353" t="str">
            <v>Kertas Post-It Warna Warni  Sign Here</v>
          </cell>
          <cell r="Q353" t="str">
            <v>Alat Tulis Kantor (ATK)</v>
          </cell>
          <cell r="R353" t="str">
            <v>Kertas Post-it/Sticky Note (ukuran: 2 x 4.8 cm)</v>
          </cell>
          <cell r="S353">
            <v>5</v>
          </cell>
          <cell r="T353" t="str">
            <v>buah</v>
          </cell>
          <cell r="U353">
            <v>22800</v>
          </cell>
          <cell r="V353">
            <v>114000</v>
          </cell>
          <cell r="W353" t="str">
            <v>UD. JOSUA</v>
          </cell>
          <cell r="X353" t="str">
            <v>Gestiwan Zebua</v>
          </cell>
          <cell r="Y353" t="str">
            <v>082166506229</v>
          </cell>
          <cell r="Z353" t="str">
            <v>Jl. Pasir Putih Pasar Telukdalam, Telukdalam Kab. Nias Selatan</v>
          </cell>
          <cell r="AG353">
            <v>4</v>
          </cell>
        </row>
        <row r="354">
          <cell r="A354">
            <v>352</v>
          </cell>
          <cell r="B354" t="str">
            <v>105</v>
          </cell>
          <cell r="C354" t="str">
            <v>105</v>
          </cell>
          <cell r="D354" t="str">
            <v>BPU61</v>
          </cell>
          <cell r="E354">
            <v>353</v>
          </cell>
          <cell r="F354" t="str">
            <v>105</v>
          </cell>
          <cell r="G354">
            <v>45383</v>
          </cell>
          <cell r="H354">
            <v>45383</v>
          </cell>
          <cell r="I354">
            <v>45383</v>
          </cell>
          <cell r="J354">
            <v>45383</v>
          </cell>
          <cell r="K354">
            <v>45383</v>
          </cell>
          <cell r="L354" t="str">
            <v>5.1.02.01.01.00
24</v>
          </cell>
          <cell r="M354" t="str">
            <v>06.05.</v>
          </cell>
          <cell r="N354" t="str">
            <v>06.05.08.</v>
          </cell>
          <cell r="O354" t="str">
            <v>Lakban Bening</v>
          </cell>
          <cell r="P354" t="str">
            <v>Lakban Bening Kecil</v>
          </cell>
          <cell r="Q354" t="str">
            <v>Alat Tulis Kantor (ATK)</v>
          </cell>
          <cell r="R354" t="str">
            <v>Lakban Bening Kecil (Length 5.0Cm, Width 5.0Cm, Height 5.0Cm, Weight 5Gr)</v>
          </cell>
          <cell r="S354">
            <v>5</v>
          </cell>
          <cell r="T354" t="str">
            <v>buah</v>
          </cell>
          <cell r="U354">
            <v>10000</v>
          </cell>
          <cell r="V354">
            <v>50000</v>
          </cell>
          <cell r="W354" t="str">
            <v>UD. JOSUA</v>
          </cell>
          <cell r="X354" t="str">
            <v>Gestiwan Zebua</v>
          </cell>
          <cell r="Y354" t="str">
            <v>082166506229</v>
          </cell>
          <cell r="Z354" t="str">
            <v>Jl. Pasir Putih Pasar Telukdalam, Telukdalam Kab. Nias Selatan</v>
          </cell>
          <cell r="AG354">
            <v>4</v>
          </cell>
        </row>
        <row r="355">
          <cell r="A355">
            <v>353</v>
          </cell>
          <cell r="B355" t="str">
            <v>105</v>
          </cell>
          <cell r="C355" t="str">
            <v>105</v>
          </cell>
          <cell r="D355" t="str">
            <v>BPU61</v>
          </cell>
          <cell r="E355">
            <v>354</v>
          </cell>
          <cell r="F355" t="str">
            <v>105</v>
          </cell>
          <cell r="G355">
            <v>45383</v>
          </cell>
          <cell r="H355">
            <v>45383</v>
          </cell>
          <cell r="I355">
            <v>45383</v>
          </cell>
          <cell r="J355">
            <v>45383</v>
          </cell>
          <cell r="K355">
            <v>45383</v>
          </cell>
          <cell r="L355" t="str">
            <v>5.1.02.01.01.00
24</v>
          </cell>
          <cell r="M355" t="str">
            <v>06.05.</v>
          </cell>
          <cell r="N355" t="str">
            <v>06.05.08.</v>
          </cell>
          <cell r="O355" t="str">
            <v>Binder Klip  nomor 200</v>
          </cell>
          <cell r="P355" t="str">
            <v>Binder Klip  nomor 200</v>
          </cell>
          <cell r="Q355" t="str">
            <v>Alat Tulis Kantor (ATK)</v>
          </cell>
          <cell r="R355" t="str">
            <v>Binder Clip Nomor 200 (Length 5.0Cm, Width 5.0Cm, Height 5.0Cm, Weight 5Gr)</v>
          </cell>
          <cell r="S355">
            <v>10</v>
          </cell>
          <cell r="T355" t="str">
            <v>kotak</v>
          </cell>
          <cell r="U355">
            <v>16500</v>
          </cell>
          <cell r="V355">
            <v>165000</v>
          </cell>
          <cell r="W355" t="str">
            <v>UD. JOSUA</v>
          </cell>
          <cell r="X355" t="str">
            <v>Gestiwan Zebua</v>
          </cell>
          <cell r="Y355" t="str">
            <v>082166506229</v>
          </cell>
          <cell r="Z355" t="str">
            <v>Jl. Pasir Putih Pasar Telukdalam, Telukdalam Kab. Nias Selatan</v>
          </cell>
          <cell r="AG355">
            <v>4</v>
          </cell>
        </row>
        <row r="356">
          <cell r="A356">
            <v>354</v>
          </cell>
          <cell r="B356" t="str">
            <v>105</v>
          </cell>
          <cell r="C356" t="str">
            <v>105</v>
          </cell>
          <cell r="D356" t="str">
            <v>BPU61</v>
          </cell>
          <cell r="E356">
            <v>355</v>
          </cell>
          <cell r="F356" t="str">
            <v>105</v>
          </cell>
          <cell r="G356">
            <v>45383</v>
          </cell>
          <cell r="H356">
            <v>45383</v>
          </cell>
          <cell r="I356">
            <v>45383</v>
          </cell>
          <cell r="J356">
            <v>45383</v>
          </cell>
          <cell r="K356">
            <v>45383</v>
          </cell>
          <cell r="L356" t="str">
            <v>5.1.02.01.01.00
24</v>
          </cell>
          <cell r="M356" t="str">
            <v>06.05.</v>
          </cell>
          <cell r="N356" t="str">
            <v>06.05.08.</v>
          </cell>
          <cell r="O356" t="str">
            <v>C. Tinta Printer EPSON Toner Epson 664 Black</v>
          </cell>
          <cell r="P356" t="str">
            <v>C. Tinta Printer EPSON Toner Epson 664 Black</v>
          </cell>
          <cell r="Q356" t="str">
            <v>Alat Tulis Kantor (ATK)</v>
          </cell>
          <cell r="R356" t="str">
            <v>Tinta Printer Epson 664 Hitam (Length 5.0Cm, Width 5.0Cm, Height 5.0Cm, Weight 5Gr)</v>
          </cell>
          <cell r="S356">
            <v>6</v>
          </cell>
          <cell r="T356" t="str">
            <v>botol</v>
          </cell>
          <cell r="U356">
            <v>85000</v>
          </cell>
          <cell r="V356">
            <v>510000</v>
          </cell>
          <cell r="W356" t="str">
            <v>UD. JOSUA</v>
          </cell>
          <cell r="X356" t="str">
            <v>Gestiwan Zebua</v>
          </cell>
          <cell r="Y356" t="str">
            <v>082166506229</v>
          </cell>
          <cell r="Z356" t="str">
            <v>Jl. Pasir Putih Pasar Telukdalam, Telukdalam Kab. Nias Selatan</v>
          </cell>
          <cell r="AG356">
            <v>4</v>
          </cell>
        </row>
        <row r="357">
          <cell r="A357">
            <v>355</v>
          </cell>
          <cell r="B357" t="str">
            <v>105</v>
          </cell>
          <cell r="C357" t="str">
            <v>105</v>
          </cell>
          <cell r="D357" t="str">
            <v>BPU61</v>
          </cell>
          <cell r="E357">
            <v>356</v>
          </cell>
          <cell r="F357" t="str">
            <v>105</v>
          </cell>
          <cell r="G357">
            <v>45383</v>
          </cell>
          <cell r="H357">
            <v>45383</v>
          </cell>
          <cell r="I357">
            <v>45383</v>
          </cell>
          <cell r="J357">
            <v>45383</v>
          </cell>
          <cell r="K357">
            <v>45383</v>
          </cell>
          <cell r="L357" t="str">
            <v>5.1.02.01.01.00
24</v>
          </cell>
          <cell r="M357" t="str">
            <v>06.05.</v>
          </cell>
          <cell r="N357" t="str">
            <v>06.05.08.</v>
          </cell>
          <cell r="O357" t="str">
            <v>Kertas Warna Blank Folio, Ukuran : 8,5 x 14",  70 gram</v>
          </cell>
          <cell r="P357" t="str">
            <v>Kertas Warna Blank Folio, Ukuran : 8,5 x 14",  70 gram</v>
          </cell>
          <cell r="Q357" t="str">
            <v>Alat Tulis Kantor (ATK)</v>
          </cell>
          <cell r="R357" t="str">
            <v>Kertas Hvs Warna 70 Gsm (Length 21.0Cm, Width 33.0Cm, Height 7.0Cm, Weight 2400Gr)</v>
          </cell>
          <cell r="S357">
            <v>2</v>
          </cell>
          <cell r="T357" t="str">
            <v>rim</v>
          </cell>
          <cell r="U357">
            <v>90000</v>
          </cell>
          <cell r="V357">
            <v>180000</v>
          </cell>
          <cell r="W357" t="str">
            <v>UD. JOSUA</v>
          </cell>
          <cell r="X357" t="str">
            <v>Gestiwan Zebua</v>
          </cell>
          <cell r="Y357" t="str">
            <v>082166506229</v>
          </cell>
          <cell r="Z357" t="str">
            <v>Jl. Pasir Putih Pasar Telukdalam, Telukdalam Kab. Nias Selatan</v>
          </cell>
          <cell r="AG357">
            <v>4</v>
          </cell>
        </row>
        <row r="358">
          <cell r="A358">
            <v>356</v>
          </cell>
          <cell r="B358" t="str">
            <v>105</v>
          </cell>
          <cell r="C358" t="str">
            <v>105</v>
          </cell>
          <cell r="D358" t="str">
            <v>BPU61</v>
          </cell>
          <cell r="E358">
            <v>357</v>
          </cell>
          <cell r="F358" t="str">
            <v>105</v>
          </cell>
          <cell r="G358">
            <v>45383</v>
          </cell>
          <cell r="H358">
            <v>45383</v>
          </cell>
          <cell r="I358">
            <v>45383</v>
          </cell>
          <cell r="J358">
            <v>45383</v>
          </cell>
          <cell r="K358">
            <v>45383</v>
          </cell>
          <cell r="L358" t="str">
            <v>5.1.02.01.01.00
24</v>
          </cell>
          <cell r="M358" t="str">
            <v>06.05.</v>
          </cell>
          <cell r="N358" t="str">
            <v>06.05.08.</v>
          </cell>
          <cell r="O358" t="str">
            <v>Sampul Plastik</v>
          </cell>
          <cell r="P358" t="str">
            <v>Sampul Plastik</v>
          </cell>
          <cell r="Q358" t="str">
            <v>Alat Tulis Kantor (ATK)</v>
          </cell>
          <cell r="R358" t="str">
            <v>Sampul Plastik (Length 5.0Cm, Width 5.0Cm, Height 5.0Cm, Weight 5Gr)</v>
          </cell>
          <cell r="S358">
            <v>5</v>
          </cell>
          <cell r="T358" t="str">
            <v>bungkus</v>
          </cell>
          <cell r="U358">
            <v>65000</v>
          </cell>
          <cell r="V358">
            <v>325000</v>
          </cell>
          <cell r="W358" t="str">
            <v>UD. JOSUA</v>
          </cell>
          <cell r="X358" t="str">
            <v>Gestiwan Zebua</v>
          </cell>
          <cell r="Y358" t="str">
            <v>082166506229</v>
          </cell>
          <cell r="Z358" t="str">
            <v>Jl. Pasir Putih Pasar Telukdalam, Telukdalam Kab. Nias Selatan</v>
          </cell>
          <cell r="AG358">
            <v>4</v>
          </cell>
        </row>
        <row r="359">
          <cell r="A359">
            <v>357</v>
          </cell>
          <cell r="B359" t="str">
            <v>105</v>
          </cell>
          <cell r="C359" t="str">
            <v>105</v>
          </cell>
          <cell r="D359" t="str">
            <v>BPU61</v>
          </cell>
          <cell r="E359">
            <v>358</v>
          </cell>
          <cell r="F359" t="str">
            <v>105</v>
          </cell>
          <cell r="G359">
            <v>45383</v>
          </cell>
          <cell r="H359">
            <v>45383</v>
          </cell>
          <cell r="I359">
            <v>45383</v>
          </cell>
          <cell r="J359">
            <v>45383</v>
          </cell>
          <cell r="K359">
            <v>45383</v>
          </cell>
          <cell r="L359" t="str">
            <v>5.1.02.01.01.00
24</v>
          </cell>
          <cell r="M359" t="str">
            <v>06.05.</v>
          </cell>
          <cell r="N359" t="str">
            <v>06.05.08.</v>
          </cell>
          <cell r="O359" t="str">
            <v>Box File Merk : Bantex Ukuran : 115x270x325 mm</v>
          </cell>
          <cell r="P359" t="str">
            <v>Box File Merk : Bantex Ukuran : 115x270x325 mm</v>
          </cell>
          <cell r="Q359" t="str">
            <v>Alat Tulis Kantor (ATK)</v>
          </cell>
          <cell r="R359" t="str">
            <v>Box File (Merk : Bantex Ukuran : 115x270x325 mm)</v>
          </cell>
          <cell r="S359">
            <v>4</v>
          </cell>
          <cell r="T359" t="str">
            <v>buah</v>
          </cell>
          <cell r="U359">
            <v>59800</v>
          </cell>
          <cell r="V359">
            <v>239200</v>
          </cell>
          <cell r="W359" t="str">
            <v>UD. JOSUA</v>
          </cell>
          <cell r="X359" t="str">
            <v>Gestiwan Zebua</v>
          </cell>
          <cell r="Y359" t="str">
            <v>082166506229</v>
          </cell>
          <cell r="Z359" t="str">
            <v>Jl. Pasir Putih Pasar Telukdalam, Telukdalam Kab. Nias Selatan</v>
          </cell>
          <cell r="AG359">
            <v>4</v>
          </cell>
        </row>
        <row r="360">
          <cell r="A360">
            <v>358</v>
          </cell>
          <cell r="B360" t="str">
            <v>105</v>
          </cell>
          <cell r="C360" t="str">
            <v>105</v>
          </cell>
          <cell r="D360" t="str">
            <v>BPU61</v>
          </cell>
          <cell r="E360">
            <v>359</v>
          </cell>
          <cell r="F360" t="str">
            <v>105</v>
          </cell>
          <cell r="G360">
            <v>45383</v>
          </cell>
          <cell r="H360">
            <v>45383</v>
          </cell>
          <cell r="I360">
            <v>45383</v>
          </cell>
          <cell r="J360">
            <v>45383</v>
          </cell>
          <cell r="K360">
            <v>45383</v>
          </cell>
          <cell r="L360" t="str">
            <v>5.1.02.01.01.00
24</v>
          </cell>
          <cell r="M360" t="str">
            <v>06.05.</v>
          </cell>
          <cell r="N360" t="str">
            <v>06.05.08.</v>
          </cell>
          <cell r="O360" t="str">
            <v>Lakban warna Uk 2" Warna Coklat Cofiie</v>
          </cell>
          <cell r="P360" t="str">
            <v>Lakban warna Uk 2" Warna Coklat Cofiie</v>
          </cell>
          <cell r="Q360" t="str">
            <v>Alat Tulis Kantor (ATK)</v>
          </cell>
          <cell r="R360" t="str">
            <v>Lakban Warna Uk 2" Warna Coklat Cofiie (Ukuran 90Yard Lebar : 48Mm)</v>
          </cell>
          <cell r="S360">
            <v>3</v>
          </cell>
          <cell r="T360" t="str">
            <v>buah</v>
          </cell>
          <cell r="U360">
            <v>20000</v>
          </cell>
          <cell r="V360">
            <v>60000</v>
          </cell>
          <cell r="W360" t="str">
            <v>UD. JOSUA</v>
          </cell>
          <cell r="X360" t="str">
            <v>Gestiwan Zebua</v>
          </cell>
          <cell r="Y360" t="str">
            <v>082166506229</v>
          </cell>
          <cell r="Z360" t="str">
            <v>Jl. Pasir Putih Pasar Telukdalam, Telukdalam Kab. Nias Selatan</v>
          </cell>
          <cell r="AG360">
            <v>4</v>
          </cell>
        </row>
        <row r="361">
          <cell r="A361">
            <v>359</v>
          </cell>
          <cell r="B361" t="str">
            <v>105</v>
          </cell>
          <cell r="C361" t="str">
            <v>105</v>
          </cell>
          <cell r="D361" t="str">
            <v>BPU61</v>
          </cell>
          <cell r="E361">
            <v>360</v>
          </cell>
          <cell r="F361" t="str">
            <v>105</v>
          </cell>
          <cell r="G361">
            <v>45383</v>
          </cell>
          <cell r="H361">
            <v>45383</v>
          </cell>
          <cell r="I361">
            <v>45383</v>
          </cell>
          <cell r="J361">
            <v>45383</v>
          </cell>
          <cell r="K361">
            <v>45383</v>
          </cell>
          <cell r="L361" t="str">
            <v>5.1.02.01.01.00
24</v>
          </cell>
          <cell r="M361" t="str">
            <v>06.05.</v>
          </cell>
          <cell r="N361" t="str">
            <v>06.05.08.</v>
          </cell>
          <cell r="O361" t="str">
            <v>gunting kertas-ukuran : panjang 21cm x lebar 8cm, stainless steel</v>
          </cell>
          <cell r="P361" t="str">
            <v>gunting kertas-ukuran : panjang 21cm x lebar 8cm, stainless steel</v>
          </cell>
          <cell r="Q361" t="str">
            <v>Alat Tulis Kantor (ATK)</v>
          </cell>
          <cell r="R361" t="str">
            <v>Gunting Sedang (Length 5.0Cm, Width 5.0Cm, Height 5.0Cm, Weight 5Gr)</v>
          </cell>
          <cell r="S361">
            <v>2</v>
          </cell>
          <cell r="T361" t="str">
            <v>buah</v>
          </cell>
          <cell r="U361">
            <v>20000</v>
          </cell>
          <cell r="V361">
            <v>40000</v>
          </cell>
          <cell r="W361" t="str">
            <v>UD. JOSUA</v>
          </cell>
          <cell r="X361" t="str">
            <v>Gestiwan Zebua</v>
          </cell>
          <cell r="Y361" t="str">
            <v>082166506229</v>
          </cell>
          <cell r="Z361" t="str">
            <v>Jl. Pasir Putih Pasar Telukdalam, Telukdalam Kab. Nias Selatan</v>
          </cell>
          <cell r="AG361">
            <v>4</v>
          </cell>
        </row>
        <row r="362">
          <cell r="A362">
            <v>360</v>
          </cell>
          <cell r="B362" t="str">
            <v>105</v>
          </cell>
          <cell r="C362" t="str">
            <v>105</v>
          </cell>
          <cell r="D362" t="str">
            <v>BPU61</v>
          </cell>
          <cell r="E362">
            <v>361</v>
          </cell>
          <cell r="F362" t="str">
            <v>105</v>
          </cell>
          <cell r="G362">
            <v>45383</v>
          </cell>
          <cell r="H362">
            <v>45383</v>
          </cell>
          <cell r="I362">
            <v>45383</v>
          </cell>
          <cell r="J362">
            <v>45383</v>
          </cell>
          <cell r="K362">
            <v>45383</v>
          </cell>
          <cell r="L362" t="str">
            <v>5.1.02.01.01.00
24</v>
          </cell>
          <cell r="M362" t="str">
            <v>06.05.</v>
          </cell>
          <cell r="N362" t="str">
            <v>06.05.08.</v>
          </cell>
          <cell r="O362" t="str">
            <v>Ballpoint Standard AE7</v>
          </cell>
          <cell r="P362" t="str">
            <v>Ballpoint Standard AE7</v>
          </cell>
          <cell r="Q362" t="str">
            <v>Alat Tulis Kantor (ATK)</v>
          </cell>
          <cell r="R362" t="str">
            <v>Ballpoint Standard Ae7 (Ukuran: 0.5 Mm Warna: Hitam 1 , Lebar Produk 6 Cm, Tinggi Produk 4 Cm)</v>
          </cell>
          <cell r="S362">
            <v>2</v>
          </cell>
          <cell r="T362" t="str">
            <v>lusin</v>
          </cell>
          <cell r="U362">
            <v>20000</v>
          </cell>
          <cell r="V362">
            <v>40000</v>
          </cell>
          <cell r="W362" t="str">
            <v>UD. JOSUA</v>
          </cell>
          <cell r="X362" t="str">
            <v>Gestiwan Zebua</v>
          </cell>
          <cell r="Y362" t="str">
            <v>082166506229</v>
          </cell>
          <cell r="Z362" t="str">
            <v>Jl. Pasir Putih Pasar Telukdalam, Telukdalam Kab. Nias Selatan</v>
          </cell>
          <cell r="AG362">
            <v>4</v>
          </cell>
        </row>
        <row r="363">
          <cell r="A363">
            <v>361</v>
          </cell>
          <cell r="B363" t="str">
            <v>105</v>
          </cell>
          <cell r="C363" t="str">
            <v>105</v>
          </cell>
          <cell r="D363" t="str">
            <v>BPU61</v>
          </cell>
          <cell r="E363">
            <v>362</v>
          </cell>
          <cell r="F363" t="str">
            <v>105</v>
          </cell>
          <cell r="G363">
            <v>45383</v>
          </cell>
          <cell r="H363">
            <v>45383</v>
          </cell>
          <cell r="I363">
            <v>45383</v>
          </cell>
          <cell r="J363">
            <v>45383</v>
          </cell>
          <cell r="K363">
            <v>45383</v>
          </cell>
          <cell r="L363" t="str">
            <v>5.1.02.01.01.00
24</v>
          </cell>
          <cell r="M363" t="str">
            <v>06.05.</v>
          </cell>
          <cell r="N363" t="str">
            <v>06.05.08.</v>
          </cell>
          <cell r="O363" t="str">
            <v>C. Tinta Printer EPSON Tinta Printer Epson Read</v>
          </cell>
          <cell r="P363" t="str">
            <v>C. Tinta Printer EPSON Tinta Printer Epson Read</v>
          </cell>
          <cell r="Q363" t="str">
            <v>Alat Tulis Kantor (ATK)</v>
          </cell>
          <cell r="R363" t="str">
            <v>Tnta Printer Epson 664 Merah (Length 5.0Cm, Width 5.0Cm, Height 5.0Cm, Weight 5Gr)</v>
          </cell>
          <cell r="S363">
            <v>4</v>
          </cell>
          <cell r="T363" t="str">
            <v>botol</v>
          </cell>
          <cell r="U363">
            <v>110000</v>
          </cell>
          <cell r="V363">
            <v>440000</v>
          </cell>
          <cell r="W363" t="str">
            <v>UD. JOSUA</v>
          </cell>
          <cell r="X363" t="str">
            <v>Gestiwan Zebua</v>
          </cell>
          <cell r="Y363" t="str">
            <v>082166506229</v>
          </cell>
          <cell r="Z363" t="str">
            <v>Jl. Pasir Putih Pasar Telukdalam, Telukdalam Kab. Nias Selatan</v>
          </cell>
          <cell r="AG363">
            <v>4</v>
          </cell>
        </row>
        <row r="364">
          <cell r="A364">
            <v>362</v>
          </cell>
          <cell r="B364" t="str">
            <v>105</v>
          </cell>
          <cell r="C364" t="str">
            <v>105</v>
          </cell>
          <cell r="D364" t="str">
            <v>BPU61</v>
          </cell>
          <cell r="E364">
            <v>363</v>
          </cell>
          <cell r="F364" t="str">
            <v>105</v>
          </cell>
          <cell r="G364">
            <v>45383</v>
          </cell>
          <cell r="H364">
            <v>45383</v>
          </cell>
          <cell r="I364">
            <v>45383</v>
          </cell>
          <cell r="J364">
            <v>45383</v>
          </cell>
          <cell r="K364">
            <v>45383</v>
          </cell>
          <cell r="L364" t="str">
            <v>5.1.02.01.01.00
24</v>
          </cell>
          <cell r="M364" t="str">
            <v>06.05.</v>
          </cell>
          <cell r="N364" t="str">
            <v>06.05.08.</v>
          </cell>
          <cell r="O364" t="str">
            <v>Stofmap Kertas</v>
          </cell>
          <cell r="P364" t="str">
            <v>Stofmap Kertas</v>
          </cell>
          <cell r="Q364" t="str">
            <v>Alat Tulis Kantor (ATK)</v>
          </cell>
          <cell r="R364" t="str">
            <v>Stofmap Kertas (Length 5.0Cm, Width 5.0Cm, Height 5.0Cm, Weight 5Gr)</v>
          </cell>
          <cell r="S364">
            <v>1</v>
          </cell>
          <cell r="T364" t="str">
            <v>pak</v>
          </cell>
          <cell r="U364">
            <v>87500</v>
          </cell>
          <cell r="V364">
            <v>87500</v>
          </cell>
          <cell r="W364" t="str">
            <v>UD. JOSUA</v>
          </cell>
          <cell r="X364" t="str">
            <v>Gestiwan Zebua</v>
          </cell>
          <cell r="Y364" t="str">
            <v>082166506229</v>
          </cell>
          <cell r="Z364" t="str">
            <v>Jl. Pasir Putih Pasar Telukdalam, Telukdalam Kab. Nias Selatan</v>
          </cell>
          <cell r="AG364">
            <v>4</v>
          </cell>
        </row>
        <row r="365">
          <cell r="A365">
            <v>363</v>
          </cell>
          <cell r="B365" t="str">
            <v>105</v>
          </cell>
          <cell r="C365" t="str">
            <v>105</v>
          </cell>
          <cell r="D365" t="str">
            <v>BPU61</v>
          </cell>
          <cell r="E365">
            <v>364</v>
          </cell>
          <cell r="F365" t="str">
            <v>105</v>
          </cell>
          <cell r="G365">
            <v>45383</v>
          </cell>
          <cell r="H365">
            <v>45383</v>
          </cell>
          <cell r="I365">
            <v>45383</v>
          </cell>
          <cell r="J365">
            <v>45383</v>
          </cell>
          <cell r="K365">
            <v>45383</v>
          </cell>
          <cell r="L365" t="str">
            <v>5.1.02.01.01.00
24</v>
          </cell>
          <cell r="M365" t="str">
            <v>06.05.</v>
          </cell>
          <cell r="N365" t="str">
            <v>06.05.08.</v>
          </cell>
          <cell r="O365" t="str">
            <v>lakban hitam-ukuran : lebar 2 inch, panjang 12m, bahan : kain</v>
          </cell>
          <cell r="P365" t="str">
            <v>lakban hitam-ukuran : lebar 2 inch, panjang 12m, bahan : kain</v>
          </cell>
          <cell r="Q365" t="str">
            <v>Alat Tulis Kantor (ATK)</v>
          </cell>
          <cell r="R365" t="str">
            <v>Lakban Hitam (Length 5.0Cm, Width 5.0Cm, Height 5.0Cm, Weight 5Gr)</v>
          </cell>
          <cell r="S365">
            <v>4</v>
          </cell>
          <cell r="T365" t="str">
            <v>buah</v>
          </cell>
          <cell r="U365">
            <v>12500</v>
          </cell>
          <cell r="V365">
            <v>50000</v>
          </cell>
          <cell r="W365" t="str">
            <v>UD. JOSUA</v>
          </cell>
          <cell r="X365" t="str">
            <v>Gestiwan Zebua</v>
          </cell>
          <cell r="Y365" t="str">
            <v>082166506229</v>
          </cell>
          <cell r="Z365" t="str">
            <v>Jl. Pasir Putih Pasar Telukdalam, Telukdalam Kab. Nias Selatan</v>
          </cell>
          <cell r="AG365">
            <v>4</v>
          </cell>
        </row>
        <row r="366">
          <cell r="A366">
            <v>364</v>
          </cell>
          <cell r="B366" t="str">
            <v>105</v>
          </cell>
          <cell r="C366" t="str">
            <v>105</v>
          </cell>
          <cell r="D366" t="str">
            <v>BPU61</v>
          </cell>
          <cell r="E366">
            <v>365</v>
          </cell>
          <cell r="F366" t="str">
            <v>105</v>
          </cell>
          <cell r="G366">
            <v>45383</v>
          </cell>
          <cell r="H366">
            <v>45383</v>
          </cell>
          <cell r="I366">
            <v>45383</v>
          </cell>
          <cell r="J366">
            <v>45383</v>
          </cell>
          <cell r="K366">
            <v>45383</v>
          </cell>
          <cell r="L366" t="str">
            <v>5.1.02.01.01.00
24</v>
          </cell>
          <cell r="M366" t="str">
            <v>06.05.</v>
          </cell>
          <cell r="N366" t="str">
            <v>06.05.08.</v>
          </cell>
          <cell r="O366" t="str">
            <v>Lakban Besar</v>
          </cell>
          <cell r="P366" t="str">
            <v>Lakban Besar</v>
          </cell>
          <cell r="Q366" t="str">
            <v>Alat Tulis Kantor (ATK)</v>
          </cell>
          <cell r="R366" t="str">
            <v xml:space="preserve"> Lakban Hitam besar Kain (Daimaru 2 inch / 48 mm x 12 m)</v>
          </cell>
          <cell r="S366">
            <v>5</v>
          </cell>
          <cell r="T366" t="str">
            <v>buah</v>
          </cell>
          <cell r="U366">
            <v>25000</v>
          </cell>
          <cell r="V366">
            <v>125000</v>
          </cell>
          <cell r="W366" t="str">
            <v>UD. JOSUA</v>
          </cell>
          <cell r="X366" t="str">
            <v>Gestiwan Zebua</v>
          </cell>
          <cell r="Y366" t="str">
            <v>082166506229</v>
          </cell>
          <cell r="Z366" t="str">
            <v>Jl. Pasir Putih Pasar Telukdalam, Telukdalam Kab. Nias Selatan</v>
          </cell>
          <cell r="AG366">
            <v>4</v>
          </cell>
        </row>
        <row r="367">
          <cell r="A367">
            <v>365</v>
          </cell>
          <cell r="B367" t="str">
            <v>105</v>
          </cell>
          <cell r="C367" t="str">
            <v>105</v>
          </cell>
          <cell r="D367" t="str">
            <v>BPU61</v>
          </cell>
          <cell r="E367">
            <v>366</v>
          </cell>
          <cell r="F367" t="str">
            <v>105</v>
          </cell>
          <cell r="G367">
            <v>45383</v>
          </cell>
          <cell r="H367">
            <v>45383</v>
          </cell>
          <cell r="I367">
            <v>45383</v>
          </cell>
          <cell r="J367">
            <v>45383</v>
          </cell>
          <cell r="K367">
            <v>45383</v>
          </cell>
          <cell r="L367" t="str">
            <v>5.1.02.01.01.00
24</v>
          </cell>
          <cell r="M367" t="str">
            <v>06.05.</v>
          </cell>
          <cell r="N367" t="str">
            <v>06.05.08.</v>
          </cell>
          <cell r="O367" t="str">
            <v>Tinta Printer Canon 740 Hitam-740 Hitam</v>
          </cell>
          <cell r="P367" t="str">
            <v>Tinta Printer Canon 740 Hitam-740 Hitam</v>
          </cell>
          <cell r="Q367" t="str">
            <v>Alat Tulis Kantor (ATK)</v>
          </cell>
          <cell r="R367" t="str">
            <v>Tinta Printer Cano Aiflo Hitam (Length 5.0Cm, Width 5.0Cm, Height 5.0Cm, Weight 5Gr)</v>
          </cell>
          <cell r="S367">
            <v>8</v>
          </cell>
          <cell r="T367" t="str">
            <v>botol</v>
          </cell>
          <cell r="U367">
            <v>30000</v>
          </cell>
          <cell r="V367">
            <v>240000</v>
          </cell>
          <cell r="W367" t="str">
            <v>UD. JOSUA</v>
          </cell>
          <cell r="X367" t="str">
            <v>Gestiwan Zebua</v>
          </cell>
          <cell r="Y367" t="str">
            <v>082166506229</v>
          </cell>
          <cell r="Z367" t="str">
            <v>Jl. Pasir Putih Pasar Telukdalam, Telukdalam Kab. Nias Selatan</v>
          </cell>
          <cell r="AG367">
            <v>4</v>
          </cell>
        </row>
        <row r="368">
          <cell r="A368">
            <v>366</v>
          </cell>
          <cell r="B368" t="str">
            <v>105</v>
          </cell>
          <cell r="C368" t="str">
            <v>105</v>
          </cell>
          <cell r="D368" t="str">
            <v>BPU61</v>
          </cell>
          <cell r="E368">
            <v>367</v>
          </cell>
          <cell r="F368" t="str">
            <v>105</v>
          </cell>
          <cell r="G368">
            <v>45383</v>
          </cell>
          <cell r="H368">
            <v>45383</v>
          </cell>
          <cell r="I368">
            <v>45383</v>
          </cell>
          <cell r="J368">
            <v>45383</v>
          </cell>
          <cell r="K368">
            <v>45383</v>
          </cell>
          <cell r="L368" t="str">
            <v>5.1.02.01.01.00
24</v>
          </cell>
          <cell r="M368" t="str">
            <v>06.05.</v>
          </cell>
          <cell r="N368" t="str">
            <v>06.05.08.</v>
          </cell>
          <cell r="O368" t="str">
            <v>Kertas HVS 60 gram Merk : Paper One HVS F4 uk. 8.27"x11.69"</v>
          </cell>
          <cell r="P368" t="str">
            <v>Kertas HVS 60 gram Merk : Paper One HVS F4 uk. 8.27"x11.69"</v>
          </cell>
          <cell r="Q368" t="str">
            <v>Alat Tulis Kantor (ATK)</v>
          </cell>
          <cell r="R368" t="str">
            <v>Kertas Hvs 60Gsm Paper One F4 (Length 33.0Cm, Width 21.0Cm, Height 7.0Cm, Weight 1400Gr)</v>
          </cell>
          <cell r="S368">
            <v>10</v>
          </cell>
          <cell r="T368" t="str">
            <v>rim</v>
          </cell>
          <cell r="U368">
            <v>48500</v>
          </cell>
          <cell r="V368">
            <v>485000</v>
          </cell>
          <cell r="W368" t="str">
            <v>UD. JOSUA</v>
          </cell>
          <cell r="X368" t="str">
            <v>Gestiwan Zebua</v>
          </cell>
          <cell r="Y368" t="str">
            <v>082166506229</v>
          </cell>
          <cell r="Z368" t="str">
            <v>Jl. Pasir Putih Pasar Telukdalam, Telukdalam Kab. Nias Selatan</v>
          </cell>
          <cell r="AG368">
            <v>4</v>
          </cell>
        </row>
        <row r="369">
          <cell r="A369">
            <v>367</v>
          </cell>
          <cell r="B369" t="str">
            <v>105</v>
          </cell>
          <cell r="C369" t="str">
            <v>105</v>
          </cell>
          <cell r="D369" t="str">
            <v>BPU61</v>
          </cell>
          <cell r="E369">
            <v>368</v>
          </cell>
          <cell r="F369" t="str">
            <v>105</v>
          </cell>
          <cell r="G369">
            <v>45383</v>
          </cell>
          <cell r="H369">
            <v>45383</v>
          </cell>
          <cell r="I369">
            <v>45383</v>
          </cell>
          <cell r="J369">
            <v>45383</v>
          </cell>
          <cell r="K369">
            <v>45383</v>
          </cell>
          <cell r="L369" t="str">
            <v>5.1.02.01.01.00
24</v>
          </cell>
          <cell r="M369" t="str">
            <v>06.05.</v>
          </cell>
          <cell r="N369" t="str">
            <v>06.05.08.</v>
          </cell>
          <cell r="O369" t="str">
            <v>Binder Klip Ordner</v>
          </cell>
          <cell r="P369" t="str">
            <v>Binder Klip Ordner</v>
          </cell>
          <cell r="Q369" t="str">
            <v>Alat Tulis Kantor (ATK)</v>
          </cell>
          <cell r="R369" t="str">
            <v>Binder Klip Ordner (Length 5.0Cm, Width 5.0Cm, Height 5.0Cm, Weight 5Gr)</v>
          </cell>
          <cell r="S369">
            <v>6</v>
          </cell>
          <cell r="T369" t="str">
            <v>buah</v>
          </cell>
          <cell r="U369">
            <v>49500</v>
          </cell>
          <cell r="V369">
            <v>297000</v>
          </cell>
          <cell r="W369" t="str">
            <v>UD. JOSUA</v>
          </cell>
          <cell r="X369" t="str">
            <v>Gestiwan Zebua</v>
          </cell>
          <cell r="Y369" t="str">
            <v>082166506229</v>
          </cell>
          <cell r="Z369" t="str">
            <v>Jl. Pasir Putih Pasar Telukdalam, Telukdalam Kab. Nias Selatan</v>
          </cell>
          <cell r="AG369">
            <v>4</v>
          </cell>
        </row>
        <row r="370">
          <cell r="A370">
            <v>368</v>
          </cell>
          <cell r="B370" t="str">
            <v>106</v>
          </cell>
          <cell r="C370" t="str">
            <v>106</v>
          </cell>
          <cell r="D370" t="str">
            <v>BPU62</v>
          </cell>
          <cell r="E370">
            <v>369</v>
          </cell>
          <cell r="F370" t="str">
            <v>106</v>
          </cell>
          <cell r="G370">
            <v>45383</v>
          </cell>
          <cell r="H370">
            <v>45383</v>
          </cell>
          <cell r="I370">
            <v>45383</v>
          </cell>
          <cell r="J370">
            <v>45383</v>
          </cell>
          <cell r="K370">
            <v>45383</v>
          </cell>
          <cell r="L370" t="str">
            <v>5.1.02.01.01.00
30</v>
          </cell>
          <cell r="M370" t="str">
            <v>06.05.</v>
          </cell>
          <cell r="N370" t="str">
            <v>06.05.09.</v>
          </cell>
          <cell r="O370" t="str">
            <v>Handsoap/Pencuci Tangan</v>
          </cell>
          <cell r="P370" t="str">
            <v>Handsoap/Pencuci Tangan</v>
          </cell>
          <cell r="Q370" t="str">
            <v>Alat Kebersihan</v>
          </cell>
          <cell r="R370" t="str">
            <v>Handsoap/Pencuci Tangan (Antibacterial Hand Soap - 250ml, ekstrak aloevera)</v>
          </cell>
          <cell r="S370">
            <v>5</v>
          </cell>
          <cell r="T370" t="str">
            <v>botol</v>
          </cell>
          <cell r="U370">
            <v>67000</v>
          </cell>
          <cell r="V370">
            <v>335000</v>
          </cell>
          <cell r="W370" t="str">
            <v>UD. JOSUA</v>
          </cell>
          <cell r="X370" t="str">
            <v>Gestiwan Zebua</v>
          </cell>
          <cell r="Y370" t="str">
            <v>082166506229</v>
          </cell>
          <cell r="Z370" t="str">
            <v>Jl. Pasir Putih Pasar Telukdalam, Telukdalam Kab. Nias Selatan</v>
          </cell>
          <cell r="AG370">
            <v>4</v>
          </cell>
        </row>
        <row r="371">
          <cell r="A371">
            <v>369</v>
          </cell>
          <cell r="B371" t="str">
            <v>106</v>
          </cell>
          <cell r="C371" t="str">
            <v>106</v>
          </cell>
          <cell r="D371" t="str">
            <v>BPU62</v>
          </cell>
          <cell r="E371">
            <v>370</v>
          </cell>
          <cell r="F371" t="str">
            <v>106</v>
          </cell>
          <cell r="G371">
            <v>45383</v>
          </cell>
          <cell r="H371">
            <v>45383</v>
          </cell>
          <cell r="I371">
            <v>45383</v>
          </cell>
          <cell r="J371">
            <v>45383</v>
          </cell>
          <cell r="K371">
            <v>45383</v>
          </cell>
          <cell r="L371" t="str">
            <v>5.1.02.01.01.00
30</v>
          </cell>
          <cell r="M371" t="str">
            <v>06.05.</v>
          </cell>
          <cell r="N371" t="str">
            <v>06.05.09.</v>
          </cell>
          <cell r="O371" t="str">
            <v>Perlengkapan Kebersihan Pembersih Lantai Super Pel Varian 800ml</v>
          </cell>
          <cell r="P371" t="str">
            <v>Perlengkapan Kebersihan Pembersih Lantai Super Pel Varian 800ml</v>
          </cell>
          <cell r="Q371" t="str">
            <v>Alat Kebersihan</v>
          </cell>
          <cell r="R371" t="str">
            <v>Super Pel 800ml (Dimensi, 22cm x 12cm x 26cm. Berat, 800g.)</v>
          </cell>
          <cell r="S371">
            <v>15</v>
          </cell>
          <cell r="T371" t="str">
            <v>buah</v>
          </cell>
          <cell r="U371">
            <v>13700</v>
          </cell>
          <cell r="V371">
            <v>205500</v>
          </cell>
          <cell r="W371" t="str">
            <v>UD. JOSUA</v>
          </cell>
          <cell r="X371" t="str">
            <v>Gestiwan Zebua</v>
          </cell>
          <cell r="Y371" t="str">
            <v>082166506229</v>
          </cell>
          <cell r="Z371" t="str">
            <v>Jl. Pasir Putih Pasar Telukdalam, Telukdalam Kab. Nias Selatan</v>
          </cell>
          <cell r="AG371">
            <v>4</v>
          </cell>
        </row>
        <row r="372">
          <cell r="A372">
            <v>370</v>
          </cell>
          <cell r="B372" t="str">
            <v>106</v>
          </cell>
          <cell r="C372" t="str">
            <v>106</v>
          </cell>
          <cell r="D372" t="str">
            <v>BPU62</v>
          </cell>
          <cell r="E372">
            <v>371</v>
          </cell>
          <cell r="F372" t="str">
            <v>106</v>
          </cell>
          <cell r="G372">
            <v>45383</v>
          </cell>
          <cell r="H372">
            <v>45383</v>
          </cell>
          <cell r="I372">
            <v>45383</v>
          </cell>
          <cell r="J372">
            <v>45383</v>
          </cell>
          <cell r="K372">
            <v>45383</v>
          </cell>
          <cell r="L372" t="str">
            <v>5.1.02.01.01.00
30</v>
          </cell>
          <cell r="M372" t="str">
            <v>06.05.</v>
          </cell>
          <cell r="N372" t="str">
            <v>06.05.09.</v>
          </cell>
          <cell r="O372" t="str">
            <v>Pengharum Ruangan</v>
          </cell>
          <cell r="P372" t="str">
            <v>Pengharum Ruangan</v>
          </cell>
          <cell r="Q372" t="str">
            <v>Alat Kebersihan</v>
          </cell>
          <cell r="R372" t="str">
            <v>Stella pengharum ruangan sachet (Panjang : 10 cm, Lebar : 7 cm, Tinggi : 10 cm, Berat 10 Gr</v>
          </cell>
          <cell r="S372">
            <v>10</v>
          </cell>
          <cell r="T372" t="str">
            <v>buah</v>
          </cell>
          <cell r="U372">
            <v>12100</v>
          </cell>
          <cell r="V372">
            <v>121000</v>
          </cell>
          <cell r="W372" t="str">
            <v>UD. JOSUA</v>
          </cell>
          <cell r="X372" t="str">
            <v>Gestiwan Zebua</v>
          </cell>
          <cell r="Y372" t="str">
            <v>082166506229</v>
          </cell>
          <cell r="Z372" t="str">
            <v>Jl. Pasir Putih Pasar Telukdalam, Telukdalam Kab. Nias Selatan</v>
          </cell>
          <cell r="AG372">
            <v>4</v>
          </cell>
        </row>
        <row r="373">
          <cell r="A373">
            <v>371</v>
          </cell>
          <cell r="B373" t="str">
            <v>106</v>
          </cell>
          <cell r="C373" t="str">
            <v>106</v>
          </cell>
          <cell r="D373" t="str">
            <v>BPU62</v>
          </cell>
          <cell r="E373">
            <v>372</v>
          </cell>
          <cell r="F373" t="str">
            <v>106</v>
          </cell>
          <cell r="G373">
            <v>45383</v>
          </cell>
          <cell r="H373">
            <v>45383</v>
          </cell>
          <cell r="I373">
            <v>45383</v>
          </cell>
          <cell r="J373">
            <v>45383</v>
          </cell>
          <cell r="K373">
            <v>45383</v>
          </cell>
          <cell r="L373" t="str">
            <v>5.1.02.01.01.00
30</v>
          </cell>
          <cell r="M373" t="str">
            <v>06.05.</v>
          </cell>
          <cell r="N373" t="str">
            <v>06.05.09.</v>
          </cell>
          <cell r="O373" t="str">
            <v>Perlengkapan Kebersihan Pembersih Pakaian Sunlight Refil 800ml</v>
          </cell>
          <cell r="P373" t="str">
            <v>Perlengkapan Kebersihan Pembersih Pakaian Sunlight Refil 800ml</v>
          </cell>
          <cell r="Q373" t="str">
            <v>Alat Kebersihan</v>
          </cell>
          <cell r="R373" t="str">
            <v>Sunlight Refil 800ml (Dimensi, 6cm x 15cm x 22cm. Berat, 800g.)</v>
          </cell>
          <cell r="S373">
            <v>3</v>
          </cell>
          <cell r="T373" t="str">
            <v>buah</v>
          </cell>
          <cell r="U373">
            <v>15000</v>
          </cell>
          <cell r="V373">
            <v>45000</v>
          </cell>
          <cell r="W373" t="str">
            <v>UD. JOSUA</v>
          </cell>
          <cell r="X373" t="str">
            <v>Gestiwan Zebua</v>
          </cell>
          <cell r="Y373" t="str">
            <v>082166506229</v>
          </cell>
          <cell r="Z373" t="str">
            <v>Jl. Pasir Putih Pasar Telukdalam, Telukdalam Kab. Nias Selatan</v>
          </cell>
          <cell r="AG373">
            <v>4</v>
          </cell>
        </row>
        <row r="374">
          <cell r="A374">
            <v>372</v>
          </cell>
          <cell r="B374" t="str">
            <v>106</v>
          </cell>
          <cell r="C374" t="str">
            <v>106</v>
          </cell>
          <cell r="D374" t="str">
            <v>BPU62</v>
          </cell>
          <cell r="E374">
            <v>373</v>
          </cell>
          <cell r="F374" t="str">
            <v>106</v>
          </cell>
          <cell r="G374">
            <v>45383</v>
          </cell>
          <cell r="H374">
            <v>45383</v>
          </cell>
          <cell r="I374">
            <v>45383</v>
          </cell>
          <cell r="J374">
            <v>45383</v>
          </cell>
          <cell r="K374">
            <v>45383</v>
          </cell>
          <cell r="L374" t="str">
            <v>5.1.02.01.01.00
30</v>
          </cell>
          <cell r="M374" t="str">
            <v>06.05.</v>
          </cell>
          <cell r="N374" t="str">
            <v>06.05.09.</v>
          </cell>
          <cell r="O374" t="str">
            <v>vixal 500ml</v>
          </cell>
          <cell r="P374" t="str">
            <v>vixal 500ml</v>
          </cell>
          <cell r="Q374" t="str">
            <v>Alat Kebersihan</v>
          </cell>
          <cell r="R374" t="str">
            <v>Pembersih Lantai (Merk vixal, Kemasan Botol, isi  500ml)</v>
          </cell>
          <cell r="S374">
            <v>10</v>
          </cell>
          <cell r="T374" t="str">
            <v>botol</v>
          </cell>
          <cell r="U374">
            <v>30000</v>
          </cell>
          <cell r="V374">
            <v>300000</v>
          </cell>
          <cell r="W374" t="str">
            <v>UD. JOSUA</v>
          </cell>
          <cell r="X374" t="str">
            <v>Gestiwan Zebua</v>
          </cell>
          <cell r="Y374" t="str">
            <v>082166506229</v>
          </cell>
          <cell r="Z374" t="str">
            <v>Jl. Pasir Putih Pasar Telukdalam, Telukdalam Kab. Nias Selatan</v>
          </cell>
          <cell r="AG374">
            <v>4</v>
          </cell>
        </row>
        <row r="375">
          <cell r="A375">
            <v>373</v>
          </cell>
          <cell r="B375" t="str">
            <v>106</v>
          </cell>
          <cell r="C375" t="str">
            <v>106</v>
          </cell>
          <cell r="D375" t="str">
            <v>BPU62</v>
          </cell>
          <cell r="E375">
            <v>374</v>
          </cell>
          <cell r="F375" t="str">
            <v>106</v>
          </cell>
          <cell r="G375">
            <v>45383</v>
          </cell>
          <cell r="H375">
            <v>45383</v>
          </cell>
          <cell r="I375">
            <v>45383</v>
          </cell>
          <cell r="J375">
            <v>45383</v>
          </cell>
          <cell r="K375">
            <v>45383</v>
          </cell>
          <cell r="L375" t="str">
            <v>5.1.02.01.01.00
30</v>
          </cell>
          <cell r="M375" t="str">
            <v>06.05.</v>
          </cell>
          <cell r="N375" t="str">
            <v>06.05.09.</v>
          </cell>
          <cell r="O375" t="str">
            <v>Spon Cuci</v>
          </cell>
          <cell r="P375" t="str">
            <v>Spon Cuci</v>
          </cell>
          <cell r="Q375" t="str">
            <v>Alat Kebersihan</v>
          </cell>
          <cell r="R375" t="str">
            <v>Spon Cuci (G Spons Busa Cuci Piring Minyak Dua Sisi / Sponge Cuci Piring 2 sisi / Spons Abu Dua sisi Anti Minyak)</v>
          </cell>
          <cell r="S375">
            <v>5</v>
          </cell>
          <cell r="T375" t="str">
            <v>buah</v>
          </cell>
          <cell r="U375">
            <v>12000</v>
          </cell>
          <cell r="V375">
            <v>60000</v>
          </cell>
          <cell r="W375" t="str">
            <v>UD. JOSUA</v>
          </cell>
          <cell r="X375" t="str">
            <v>Gestiwan Zebua</v>
          </cell>
          <cell r="Y375" t="str">
            <v>082166506229</v>
          </cell>
          <cell r="Z375" t="str">
            <v>Jl. Pasir Putih Pasar Telukdalam, Telukdalam Kab. Nias Selatan</v>
          </cell>
          <cell r="AG375">
            <v>4</v>
          </cell>
        </row>
        <row r="376">
          <cell r="A376">
            <v>374</v>
          </cell>
          <cell r="B376" t="str">
            <v>106</v>
          </cell>
          <cell r="C376" t="str">
            <v>106</v>
          </cell>
          <cell r="D376" t="str">
            <v>BPU62</v>
          </cell>
          <cell r="E376">
            <v>375</v>
          </cell>
          <cell r="F376" t="str">
            <v>106</v>
          </cell>
          <cell r="G376">
            <v>45383</v>
          </cell>
          <cell r="H376">
            <v>45383</v>
          </cell>
          <cell r="I376">
            <v>45383</v>
          </cell>
          <cell r="J376">
            <v>45383</v>
          </cell>
          <cell r="K376">
            <v>45383</v>
          </cell>
          <cell r="L376" t="str">
            <v>5.1.02.01.01.00
30</v>
          </cell>
          <cell r="M376" t="str">
            <v>06.05.</v>
          </cell>
          <cell r="N376" t="str">
            <v>06.05.09.</v>
          </cell>
          <cell r="O376" t="str">
            <v>Tisu--</v>
          </cell>
          <cell r="P376" t="str">
            <v>Tisu--</v>
          </cell>
          <cell r="Q376" t="str">
            <v>Alat Kebersihan</v>
          </cell>
          <cell r="R376" t="str">
            <v>Tissue (Merk JOLLY 250 Sheets 2 Ply, Berat Volume = 285 gr)</v>
          </cell>
          <cell r="S376">
            <v>12</v>
          </cell>
          <cell r="T376" t="str">
            <v>buah</v>
          </cell>
          <cell r="U376">
            <v>12500</v>
          </cell>
          <cell r="V376">
            <v>150000</v>
          </cell>
          <cell r="W376" t="str">
            <v>UD. JOSUA</v>
          </cell>
          <cell r="X376" t="str">
            <v>Gestiwan Zebua</v>
          </cell>
          <cell r="Y376" t="str">
            <v>082166506229</v>
          </cell>
          <cell r="Z376" t="str">
            <v>Jl. Pasir Putih Pasar Telukdalam, Telukdalam Kab. Nias Selatan</v>
          </cell>
          <cell r="AG376">
            <v>4</v>
          </cell>
        </row>
        <row r="377">
          <cell r="A377">
            <v>375</v>
          </cell>
          <cell r="B377" t="str">
            <v>106</v>
          </cell>
          <cell r="C377" t="str">
            <v>106</v>
          </cell>
          <cell r="D377" t="str">
            <v>BPU62</v>
          </cell>
          <cell r="E377">
            <v>376</v>
          </cell>
          <cell r="F377" t="str">
            <v>106</v>
          </cell>
          <cell r="G377">
            <v>45383</v>
          </cell>
          <cell r="H377">
            <v>45383</v>
          </cell>
          <cell r="I377">
            <v>45383</v>
          </cell>
          <cell r="J377">
            <v>45383</v>
          </cell>
          <cell r="K377">
            <v>45383</v>
          </cell>
          <cell r="L377" t="str">
            <v>5.1.02.01.01.00
30</v>
          </cell>
          <cell r="M377" t="str">
            <v>06.05.</v>
          </cell>
          <cell r="N377" t="str">
            <v>06.05.09.</v>
          </cell>
          <cell r="O377" t="str">
            <v>Cairan Pembersih Kaca</v>
          </cell>
          <cell r="P377" t="str">
            <v>Cairan Pembersih Kaca</v>
          </cell>
          <cell r="Q377" t="str">
            <v>Alat Kebersihan</v>
          </cell>
          <cell r="R377" t="str">
            <v>Pembersih Kaca (Merk: CLING. Isi: 450ml. Dimensi 25 cm x 13 cm x 13 cm )</v>
          </cell>
          <cell r="S377">
            <v>5</v>
          </cell>
          <cell r="T377" t="str">
            <v>buah</v>
          </cell>
          <cell r="U377">
            <v>12000</v>
          </cell>
          <cell r="V377">
            <v>60000</v>
          </cell>
          <cell r="W377" t="str">
            <v>UD. JOSUA</v>
          </cell>
          <cell r="X377" t="str">
            <v>Gestiwan Zebua</v>
          </cell>
          <cell r="Y377" t="str">
            <v>082166506229</v>
          </cell>
          <cell r="Z377" t="str">
            <v>Jl. Pasir Putih Pasar Telukdalam, Telukdalam Kab. Nias Selatan</v>
          </cell>
          <cell r="AG377">
            <v>4</v>
          </cell>
        </row>
        <row r="378">
          <cell r="A378">
            <v>376</v>
          </cell>
          <cell r="B378" t="str">
            <v>106</v>
          </cell>
          <cell r="C378" t="str">
            <v>106</v>
          </cell>
          <cell r="D378" t="str">
            <v>BPU62</v>
          </cell>
          <cell r="E378">
            <v>377</v>
          </cell>
          <cell r="F378" t="str">
            <v>106</v>
          </cell>
          <cell r="G378">
            <v>45383</v>
          </cell>
          <cell r="H378">
            <v>45383</v>
          </cell>
          <cell r="I378">
            <v>45383</v>
          </cell>
          <cell r="J378">
            <v>45383</v>
          </cell>
          <cell r="K378">
            <v>45383</v>
          </cell>
          <cell r="L378" t="str">
            <v>5.1.02.01.01.00
30</v>
          </cell>
          <cell r="M378" t="str">
            <v>06.05.</v>
          </cell>
          <cell r="N378" t="str">
            <v>06.05.09.</v>
          </cell>
          <cell r="O378" t="str">
            <v>Hand Sanitizer-Unit</v>
          </cell>
          <cell r="P378" t="str">
            <v>Hand Sanitizer-Unit</v>
          </cell>
          <cell r="Q378" t="str">
            <v>Alat Kebersihan</v>
          </cell>
          <cell r="R378" t="str">
            <v>Hand Sanitizer (Merk: SOS. Isi: 300ml</v>
          </cell>
          <cell r="S378">
            <v>5</v>
          </cell>
          <cell r="T378" t="str">
            <v>unit</v>
          </cell>
          <cell r="U378">
            <v>70000</v>
          </cell>
          <cell r="V378">
            <v>350000</v>
          </cell>
          <cell r="W378" t="str">
            <v>UD. JOSUA</v>
          </cell>
          <cell r="X378" t="str">
            <v>Gestiwan Zebua</v>
          </cell>
          <cell r="Y378" t="str">
            <v>082166506229</v>
          </cell>
          <cell r="Z378" t="str">
            <v>Jl. Pasir Putih Pasar Telukdalam, Telukdalam Kab. Nias Selatan</v>
          </cell>
          <cell r="AG378">
            <v>4</v>
          </cell>
        </row>
        <row r="379">
          <cell r="A379">
            <v>377</v>
          </cell>
          <cell r="B379" t="str">
            <v>107</v>
          </cell>
          <cell r="C379" t="str">
            <v>107</v>
          </cell>
          <cell r="D379" t="str">
            <v>BPU63</v>
          </cell>
          <cell r="E379">
            <v>378</v>
          </cell>
          <cell r="F379" t="str">
            <v>107</v>
          </cell>
          <cell r="G379">
            <v>45383</v>
          </cell>
          <cell r="H379">
            <v>45383</v>
          </cell>
          <cell r="I379">
            <v>45383</v>
          </cell>
          <cell r="J379">
            <v>45383</v>
          </cell>
          <cell r="K379">
            <v>45383</v>
          </cell>
          <cell r="L379" t="str">
            <v>5.1.02.01.01.00
26</v>
          </cell>
          <cell r="M379" t="str">
            <v>06.05.</v>
          </cell>
          <cell r="N379" t="str">
            <v>06.05.08.</v>
          </cell>
          <cell r="O379" t="str">
            <v>Foto Copy Filio dan Kuarto</v>
          </cell>
          <cell r="P379" t="str">
            <v>Foto Copy Filio dan Kuarto</v>
          </cell>
          <cell r="Q379" t="str">
            <v>Penggandaan</v>
          </cell>
          <cell r="R379" t="str">
            <v>Fotocopy ukuran A4/F4</v>
          </cell>
          <cell r="S379">
            <v>4739</v>
          </cell>
          <cell r="T379" t="str">
            <v>lembar</v>
          </cell>
          <cell r="U379">
            <v>350</v>
          </cell>
          <cell r="V379">
            <v>7308700</v>
          </cell>
          <cell r="W379" t="str">
            <v>UD. JOSUA</v>
          </cell>
          <cell r="X379" t="str">
            <v>Gestiwan Zebua</v>
          </cell>
          <cell r="Y379" t="str">
            <v>082166506229</v>
          </cell>
          <cell r="Z379" t="str">
            <v>Jl. Pasir Putih Pasar Telukdalam, Telukdalam Kab. Nias Selatan</v>
          </cell>
          <cell r="AG379">
            <v>4</v>
          </cell>
        </row>
        <row r="380">
          <cell r="A380">
            <v>378</v>
          </cell>
          <cell r="B380" t="str">
            <v>108</v>
          </cell>
          <cell r="C380" t="str">
            <v>108</v>
          </cell>
          <cell r="D380" t="str">
            <v>BPU64</v>
          </cell>
          <cell r="E380">
            <v>379</v>
          </cell>
          <cell r="F380" t="str">
            <v>108</v>
          </cell>
          <cell r="G380">
            <v>45383</v>
          </cell>
          <cell r="H380">
            <v>45383</v>
          </cell>
          <cell r="I380">
            <v>45383</v>
          </cell>
          <cell r="J380">
            <v>45383</v>
          </cell>
          <cell r="K380">
            <v>45383</v>
          </cell>
          <cell r="L380" t="str">
            <v>5.1.02.01.01.00
31</v>
          </cell>
          <cell r="M380" t="str">
            <v>05.08.</v>
          </cell>
          <cell r="N380" t="str">
            <v>05.08.10.</v>
          </cell>
          <cell r="O380" t="str">
            <v>bola lampu hannock-45 watt</v>
          </cell>
          <cell r="P380" t="str">
            <v>bola lampu hannock-45 watt</v>
          </cell>
          <cell r="Q380" t="str">
            <v>Alat Tulis Kantor (ATK)</v>
          </cell>
          <cell r="R380" t="str">
            <v>bola lampu hannock-45 watt</v>
          </cell>
          <cell r="S380">
            <v>21</v>
          </cell>
          <cell r="T380" t="str">
            <v>buah</v>
          </cell>
          <cell r="U380">
            <v>77800</v>
          </cell>
          <cell r="V380">
            <v>1633800</v>
          </cell>
          <cell r="W380" t="str">
            <v>CV. Goriyaku Wiratrade</v>
          </cell>
          <cell r="X380" t="str">
            <v>Wirawan Bazikho</v>
          </cell>
          <cell r="Y380" t="str">
            <v>082166714290</v>
          </cell>
          <cell r="Z380" t="str">
            <v>Jl. Pasir Putih Pasar Telukdalam, Telukdalam Kab. Nias Selatan</v>
          </cell>
          <cell r="AG380">
            <v>4</v>
          </cell>
        </row>
        <row r="381">
          <cell r="A381">
            <v>379</v>
          </cell>
          <cell r="B381" t="str">
            <v>109</v>
          </cell>
          <cell r="C381" t="str">
            <v>109</v>
          </cell>
          <cell r="D381" t="str">
            <v>BPU65</v>
          </cell>
          <cell r="E381">
            <v>380</v>
          </cell>
          <cell r="F381" t="str">
            <v>109</v>
          </cell>
          <cell r="G381">
            <v>45383</v>
          </cell>
          <cell r="H381">
            <v>45384</v>
          </cell>
          <cell r="I381">
            <v>45385</v>
          </cell>
          <cell r="J381">
            <v>45385</v>
          </cell>
          <cell r="K381">
            <v>45385</v>
          </cell>
          <cell r="L381" t="str">
            <v>5.1.02.01.01.00
52</v>
          </cell>
          <cell r="M381" t="str">
            <v>03.03.</v>
          </cell>
          <cell r="N381" t="str">
            <v>03.03.14.</v>
          </cell>
          <cell r="O381" t="str">
            <v>Kudapan pada Kegiatan rubrik/Ibadah Bulanan</v>
          </cell>
          <cell r="P381" t="str">
            <v>Kue Kotak</v>
          </cell>
          <cell r="Q381" t="str">
            <v>Kudapan</v>
          </cell>
          <cell r="R381" t="str">
            <v>Kue (bahan tepung terigu, gula, telur, mentega; berat 100gr, panjang 15cm, lebar 8 cm)</v>
          </cell>
          <cell r="S381">
            <v>100</v>
          </cell>
          <cell r="T381" t="str">
            <v>kotak</v>
          </cell>
          <cell r="U381">
            <v>15000</v>
          </cell>
          <cell r="V381">
            <v>1500000</v>
          </cell>
          <cell r="W381" t="str">
            <v>Rumah Roti Helena</v>
          </cell>
          <cell r="X381" t="str">
            <v>Fudi Supiyanto</v>
          </cell>
          <cell r="Y381" t="str">
            <v>082164895397</v>
          </cell>
          <cell r="Z381" t="str">
            <v>Jl. Jend A. Yani No. 89 Kelurahan Pasar Telukdalam - Nias Selatan</v>
          </cell>
          <cell r="AG381">
            <v>4</v>
          </cell>
        </row>
        <row r="382">
          <cell r="A382">
            <v>380</v>
          </cell>
          <cell r="B382" t="str">
            <v>110</v>
          </cell>
          <cell r="C382" t="str">
            <v>110</v>
          </cell>
          <cell r="D382" t="str">
            <v>BPU66</v>
          </cell>
          <cell r="E382">
            <v>381</v>
          </cell>
          <cell r="F382" t="str">
            <v>110</v>
          </cell>
          <cell r="G382">
            <v>45392</v>
          </cell>
          <cell r="H382">
            <v>45391</v>
          </cell>
          <cell r="I382">
            <v>45392</v>
          </cell>
          <cell r="J382">
            <v>45392</v>
          </cell>
          <cell r="K382">
            <v>45392</v>
          </cell>
          <cell r="L382" t="str">
            <v>5.1.02.01.01.00
26</v>
          </cell>
          <cell r="M382" t="str">
            <v>03.03.</v>
          </cell>
          <cell r="N382" t="str">
            <v>03.03.21.</v>
          </cell>
          <cell r="O382" t="str">
            <v>Spanduk Uk. 1 x 6 meter-</v>
          </cell>
          <cell r="P382" t="str">
            <v>Spanduk Uk. 1 x 6 meter-</v>
          </cell>
          <cell r="Q382" t="str">
            <v>Percetakan</v>
          </cell>
          <cell r="R382" t="str">
            <v>Spanduk (Ukuran 2 X 4 m)</v>
          </cell>
          <cell r="S382">
            <v>2</v>
          </cell>
          <cell r="T382" t="str">
            <v>buah</v>
          </cell>
          <cell r="U382">
            <v>300000</v>
          </cell>
          <cell r="V382">
            <v>600000</v>
          </cell>
          <cell r="W382" t="str">
            <v>UD. Balizato</v>
          </cell>
          <cell r="X382" t="str">
            <v>Pieter Buala P. Loi</v>
          </cell>
          <cell r="Y382" t="str">
            <v>082166506229</v>
          </cell>
          <cell r="Z382" t="str">
            <v>Jl. Pasir Putih Pasar Telukdalam, Telukdalam Kab. Nias Selatan</v>
          </cell>
          <cell r="AG382">
            <v>4</v>
          </cell>
        </row>
        <row r="383">
          <cell r="A383">
            <v>381</v>
          </cell>
          <cell r="B383" t="str">
            <v>111</v>
          </cell>
          <cell r="C383" t="str">
            <v>111</v>
          </cell>
          <cell r="D383" t="str">
            <v>BPU67</v>
          </cell>
          <cell r="E383">
            <v>382</v>
          </cell>
          <cell r="F383" t="str">
            <v>111</v>
          </cell>
          <cell r="G383">
            <v>45393</v>
          </cell>
          <cell r="H383">
            <v>45394</v>
          </cell>
          <cell r="I383">
            <v>45395</v>
          </cell>
          <cell r="J383">
            <v>45395</v>
          </cell>
          <cell r="K383">
            <v>45395</v>
          </cell>
          <cell r="L383" t="str">
            <v>5.1.02.01.01.00
52</v>
          </cell>
          <cell r="M383" t="str">
            <v>03.03.</v>
          </cell>
          <cell r="N383" t="str">
            <v>03.03.21.</v>
          </cell>
          <cell r="O383" t="str">
            <v>Konsumsi Pada Kegiatan Halal Bihalal Umat Muslim</v>
          </cell>
          <cell r="P383" t="str">
            <v>Nasi Kotak</v>
          </cell>
          <cell r="Q383" t="str">
            <v>Konsumsi</v>
          </cell>
          <cell r="R383" t="str">
            <v>Nasi putih;Sop daging; Sayur; Berat 1000gr; Dimensi; (PxLxT) 25cmx25cmx10cm</v>
          </cell>
          <cell r="S383">
            <v>100</v>
          </cell>
          <cell r="T383" t="str">
            <v>kotak</v>
          </cell>
          <cell r="U383">
            <v>40000</v>
          </cell>
          <cell r="V383">
            <v>4000000</v>
          </cell>
          <cell r="W383" t="str">
            <v>Resto JFC Esther</v>
          </cell>
          <cell r="X383" t="str">
            <v>Limaati Daeli</v>
          </cell>
          <cell r="Y383" t="str">
            <v>085297578868</v>
          </cell>
          <cell r="Z383" t="str">
            <v>Jl. Saonigeho Km. 5 Telukdalam, Kab. Nias Selatan</v>
          </cell>
          <cell r="AG383">
            <v>4</v>
          </cell>
        </row>
        <row r="384">
          <cell r="A384">
            <v>382</v>
          </cell>
          <cell r="B384" t="str">
            <v>112</v>
          </cell>
          <cell r="C384" t="str">
            <v>112</v>
          </cell>
          <cell r="D384" t="str">
            <v>BPU68</v>
          </cell>
          <cell r="E384">
            <v>383</v>
          </cell>
          <cell r="F384" t="str">
            <v>112</v>
          </cell>
          <cell r="G384">
            <v>45397</v>
          </cell>
          <cell r="H384">
            <v>45398</v>
          </cell>
          <cell r="I384">
            <v>45399</v>
          </cell>
          <cell r="J384">
            <v>45399</v>
          </cell>
          <cell r="K384">
            <v>45399</v>
          </cell>
          <cell r="L384" t="str">
            <v>5.1.02.01.01.00
55</v>
          </cell>
          <cell r="M384" t="str">
            <v>03.04.</v>
          </cell>
          <cell r="N384" t="str">
            <v>03.04.01.</v>
          </cell>
          <cell r="O384" t="str">
            <v>Satuan Biaya Konsumsi Makanan dan Minuman Fasilitas Pelayanan Urusan Pendidikan Biasa, Kudapan (Snack) - Provinsi Sumatera Utara--</v>
          </cell>
          <cell r="P384" t="str">
            <v>Kue Kotak</v>
          </cell>
          <cell r="Q384" t="str">
            <v>Kudapan</v>
          </cell>
          <cell r="R384" t="str">
            <v>Kue (bahan tepung terigu, gula, telur, mentega; berat 100gr, panjang 15cm, lebar 8 cm)</v>
          </cell>
          <cell r="S384">
            <v>80</v>
          </cell>
          <cell r="T384" t="str">
            <v>kotak</v>
          </cell>
          <cell r="U384">
            <v>15000</v>
          </cell>
          <cell r="V384">
            <v>900000</v>
          </cell>
          <cell r="W384" t="str">
            <v>Rumah Roti Helena</v>
          </cell>
          <cell r="X384" t="str">
            <v>Fudi Supiyanto</v>
          </cell>
          <cell r="Y384" t="str">
            <v>082164895397</v>
          </cell>
          <cell r="Z384" t="str">
            <v>Jl. Jend A. Yani No. 89 Kelurahan Pasar Telukdalam - Nias Selatan</v>
          </cell>
          <cell r="AG384">
            <v>4</v>
          </cell>
        </row>
        <row r="385">
          <cell r="A385">
            <v>383</v>
          </cell>
          <cell r="B385" t="str">
            <v>113</v>
          </cell>
          <cell r="C385" t="str">
            <v>113</v>
          </cell>
          <cell r="D385" t="str">
            <v>BPU69</v>
          </cell>
          <cell r="E385">
            <v>384</v>
          </cell>
          <cell r="F385" t="str">
            <v>113</v>
          </cell>
          <cell r="G385">
            <v>45397</v>
          </cell>
          <cell r="H385">
            <v>45398</v>
          </cell>
          <cell r="I385">
            <v>45399</v>
          </cell>
          <cell r="J385">
            <v>45399</v>
          </cell>
          <cell r="K385">
            <v>45399</v>
          </cell>
          <cell r="L385" t="str">
            <v>5.1.02.01.01.00
55</v>
          </cell>
          <cell r="M385" t="str">
            <v>03.04.</v>
          </cell>
          <cell r="N385" t="str">
            <v>03.04.01.</v>
          </cell>
          <cell r="O385" t="str">
            <v>Satuan Biaya Konsumsi Makanan dan Minuman Fasilitas Pelayanan Urusan Pendidikan Biasa, Makan - Provinsi Sumatera Utara--</v>
          </cell>
          <cell r="P385" t="str">
            <v>Nasi Kotak</v>
          </cell>
          <cell r="Q385" t="str">
            <v>Konsumsi</v>
          </cell>
          <cell r="R385" t="str">
            <v>Nasi putih;Sop daging; Sayur; Berat 1000gr; Dimensi; (PxLxT) 25cmx25cmx10cm</v>
          </cell>
          <cell r="S385">
            <v>80</v>
          </cell>
          <cell r="T385" t="str">
            <v>kotak</v>
          </cell>
          <cell r="U385">
            <v>40000</v>
          </cell>
          <cell r="V385">
            <v>2400000</v>
          </cell>
          <cell r="W385" t="str">
            <v>Resto JFC Esther</v>
          </cell>
          <cell r="X385" t="str">
            <v>Limaati Daeli</v>
          </cell>
          <cell r="Y385" t="str">
            <v>085297578868</v>
          </cell>
          <cell r="Z385" t="str">
            <v>Jl. Saonigeho Km. 5 Telukdalam, Kab. Nias Selatan</v>
          </cell>
          <cell r="AG385">
            <v>4</v>
          </cell>
        </row>
        <row r="386">
          <cell r="A386">
            <v>384</v>
          </cell>
          <cell r="B386" t="str">
            <v>114</v>
          </cell>
          <cell r="C386" t="str">
            <v>114</v>
          </cell>
          <cell r="D386" t="str">
            <v>BPU70</v>
          </cell>
          <cell r="E386">
            <v>385</v>
          </cell>
          <cell r="F386" t="str">
            <v>114</v>
          </cell>
          <cell r="G386">
            <v>45398</v>
          </cell>
          <cell r="H386">
            <v>45399</v>
          </cell>
          <cell r="I386">
            <v>45400</v>
          </cell>
          <cell r="J386">
            <v>45400</v>
          </cell>
          <cell r="K386">
            <v>45400</v>
          </cell>
          <cell r="L386" t="str">
            <v>5.1.02.01.01.00
52</v>
          </cell>
          <cell r="M386" t="str">
            <v>04.06.</v>
          </cell>
          <cell r="N386" t="str">
            <v>04.06.14.</v>
          </cell>
          <cell r="O386" t="str">
            <v>Kudapan pada Kegiatan Workshop Peningkatan Kompetensi Guru Menggunakan Metode/Strategi Pembelajaran</v>
          </cell>
          <cell r="P386" t="str">
            <v>Kue Kotak</v>
          </cell>
          <cell r="Q386" t="str">
            <v>Kudapan</v>
          </cell>
          <cell r="R386" t="str">
            <v>Kue (bahan tepung terigu, gula, telur, mentega; berat 100gr, panjang 15cm, lebar 8 cm)</v>
          </cell>
          <cell r="S386">
            <v>60</v>
          </cell>
          <cell r="T386" t="str">
            <v>kotak</v>
          </cell>
          <cell r="U386">
            <v>15000</v>
          </cell>
          <cell r="V386">
            <v>900000</v>
          </cell>
          <cell r="W386" t="str">
            <v>Rumah Roti Helena</v>
          </cell>
          <cell r="X386" t="str">
            <v>Fudi Supiyanto</v>
          </cell>
          <cell r="Y386" t="str">
            <v>082164895397</v>
          </cell>
          <cell r="Z386" t="str">
            <v>Jl. Jend A. Yani No. 89 Kelurahan Pasar Telukdalam - Nias Selatan</v>
          </cell>
          <cell r="AG386">
            <v>4</v>
          </cell>
        </row>
        <row r="387">
          <cell r="A387">
            <v>385</v>
          </cell>
          <cell r="B387" t="str">
            <v>115</v>
          </cell>
          <cell r="C387" t="str">
            <v>115</v>
          </cell>
          <cell r="D387" t="str">
            <v>BPU71</v>
          </cell>
          <cell r="E387">
            <v>386</v>
          </cell>
          <cell r="F387" t="str">
            <v>115</v>
          </cell>
          <cell r="G387">
            <v>45398</v>
          </cell>
          <cell r="H387">
            <v>45399</v>
          </cell>
          <cell r="I387">
            <v>45400</v>
          </cell>
          <cell r="J387">
            <v>45400</v>
          </cell>
          <cell r="K387">
            <v>45400</v>
          </cell>
          <cell r="L387" t="str">
            <v>5.1.02.01.01.00
52</v>
          </cell>
          <cell r="M387" t="str">
            <v>04.06.</v>
          </cell>
          <cell r="N387" t="str">
            <v>04.06.14.</v>
          </cell>
          <cell r="O387" t="str">
            <v>Konsumsi pada Kegiatan Workshop Peningkatan Kompetensi Guru Menggunakan Metode/Strategi Pembelajaran</v>
          </cell>
          <cell r="P387" t="str">
            <v>Nasi Kotak</v>
          </cell>
          <cell r="Q387" t="str">
            <v>Konsumsi</v>
          </cell>
          <cell r="R387" t="str">
            <v>Nasi putih;Sop daging; Sayur; Berat 1000gr; Dimensi; (PxLxT) 25cmx25cmx10cm</v>
          </cell>
          <cell r="S387">
            <v>60</v>
          </cell>
          <cell r="T387" t="str">
            <v>kotak</v>
          </cell>
          <cell r="U387">
            <v>40000</v>
          </cell>
          <cell r="V387">
            <v>2400000</v>
          </cell>
          <cell r="W387" t="str">
            <v>Resto JFC Esther</v>
          </cell>
          <cell r="X387" t="str">
            <v>Limaati Daeli</v>
          </cell>
          <cell r="Y387" t="str">
            <v>085297578868</v>
          </cell>
          <cell r="Z387" t="str">
            <v>Jl. Saonigeho Km. 5 Telukdalam, Kab. Nias Selatan</v>
          </cell>
          <cell r="AG387">
            <v>4</v>
          </cell>
        </row>
        <row r="388">
          <cell r="A388">
            <v>386</v>
          </cell>
          <cell r="B388" t="str">
            <v>116</v>
          </cell>
          <cell r="C388" t="str">
            <v>116</v>
          </cell>
          <cell r="D388" t="str">
            <v>BPU72</v>
          </cell>
          <cell r="E388">
            <v>387</v>
          </cell>
          <cell r="F388" t="str">
            <v>116</v>
          </cell>
          <cell r="G388">
            <v>45399</v>
          </cell>
          <cell r="H388">
            <v>45400</v>
          </cell>
          <cell r="I388">
            <v>45401</v>
          </cell>
          <cell r="J388">
            <v>45401</v>
          </cell>
          <cell r="K388">
            <v>45401</v>
          </cell>
          <cell r="L388" t="str">
            <v>5.1.02.01.01.00
52</v>
          </cell>
          <cell r="M388" t="str">
            <v>04.06.</v>
          </cell>
          <cell r="N388" t="str">
            <v>04.06.27.</v>
          </cell>
          <cell r="O388" t="str">
            <v>Kudapan pada Kegiatan Workshop Peningkatan Kompetensi Guru "Prinsip Pembelajaran dan Asesmen"</v>
          </cell>
          <cell r="P388" t="str">
            <v>Kue Kotak</v>
          </cell>
          <cell r="Q388" t="str">
            <v>Kudapan</v>
          </cell>
          <cell r="R388" t="str">
            <v>Kue (bahan tepung terigu, gula, telur, mentega; berat 100gr, panjang 15cm, lebar 8 cm)</v>
          </cell>
          <cell r="S388">
            <v>60</v>
          </cell>
          <cell r="T388" t="str">
            <v>kotak</v>
          </cell>
          <cell r="U388">
            <v>15000</v>
          </cell>
          <cell r="V388">
            <v>900000</v>
          </cell>
          <cell r="W388" t="str">
            <v>Rumah Roti Helena</v>
          </cell>
          <cell r="X388" t="str">
            <v>Fudi Supiyanto</v>
          </cell>
          <cell r="Y388" t="str">
            <v>082164895397</v>
          </cell>
          <cell r="Z388" t="str">
            <v>Jl. Jend A. Yani No. 89 Kelurahan Pasar Telukdalam - Nias Selatan</v>
          </cell>
          <cell r="AG388">
            <v>4</v>
          </cell>
        </row>
        <row r="389">
          <cell r="A389">
            <v>387</v>
          </cell>
          <cell r="B389" t="str">
            <v>117</v>
          </cell>
          <cell r="C389" t="str">
            <v>117</v>
          </cell>
          <cell r="D389" t="str">
            <v>BPU73</v>
          </cell>
          <cell r="E389">
            <v>388</v>
          </cell>
          <cell r="F389" t="str">
            <v>117</v>
          </cell>
          <cell r="G389">
            <v>45399</v>
          </cell>
          <cell r="H389">
            <v>45400</v>
          </cell>
          <cell r="I389">
            <v>45401</v>
          </cell>
          <cell r="J389">
            <v>45401</v>
          </cell>
          <cell r="K389">
            <v>45401</v>
          </cell>
          <cell r="L389" t="str">
            <v>5.1.02.01.01.00
52</v>
          </cell>
          <cell r="M389" t="str">
            <v>04.06.</v>
          </cell>
          <cell r="N389" t="str">
            <v>04.06.27.</v>
          </cell>
          <cell r="O389" t="str">
            <v>Konsumsi pada Kegiatan Workshop Peningkatan Kompetensi Guru "Prinsip Pembelajaran dan Asesmen"</v>
          </cell>
          <cell r="P389" t="str">
            <v>Nasi Kotak</v>
          </cell>
          <cell r="Q389" t="str">
            <v>Konsumsi</v>
          </cell>
          <cell r="R389" t="str">
            <v>Nasi putih;Sop daging; Sayur; Berat 1000gr; Dimensi; (PxLxT) 25cmx25cmx10cm</v>
          </cell>
          <cell r="S389">
            <v>60</v>
          </cell>
          <cell r="T389" t="str">
            <v>kotak</v>
          </cell>
          <cell r="U389">
            <v>40000</v>
          </cell>
          <cell r="V389">
            <v>2400000</v>
          </cell>
          <cell r="W389" t="str">
            <v>Resto JFC Esther</v>
          </cell>
          <cell r="X389" t="str">
            <v>Limaati Daeli</v>
          </cell>
          <cell r="Y389" t="str">
            <v>085297578868</v>
          </cell>
          <cell r="Z389" t="str">
            <v>Jl. Saonigeho Km. 5 Telukdalam, Kab. Nias Selatan</v>
          </cell>
          <cell r="AG389">
            <v>4</v>
          </cell>
        </row>
        <row r="390">
          <cell r="A390">
            <v>388</v>
          </cell>
          <cell r="B390" t="str">
            <v>118</v>
          </cell>
          <cell r="C390" t="str">
            <v>118</v>
          </cell>
          <cell r="D390" t="str">
            <v>BPU74</v>
          </cell>
          <cell r="E390">
            <v>389</v>
          </cell>
          <cell r="F390" t="str">
            <v>118</v>
          </cell>
          <cell r="G390">
            <v>45399</v>
          </cell>
          <cell r="H390">
            <v>45400</v>
          </cell>
          <cell r="I390">
            <v>45401</v>
          </cell>
          <cell r="J390">
            <v>45401</v>
          </cell>
          <cell r="K390">
            <v>45401</v>
          </cell>
          <cell r="L390" t="str">
            <v>5.1.02.02.01.00
61</v>
          </cell>
          <cell r="M390" t="str">
            <v>06.07.</v>
          </cell>
          <cell r="N390" t="str">
            <v>06.07.01.</v>
          </cell>
          <cell r="O390" t="str">
            <v>Biaya Rekening Listrik--</v>
          </cell>
          <cell r="P390" t="str">
            <v>Biaya Rekening Listrik--</v>
          </cell>
          <cell r="Q390" t="str">
            <v>Jasa PLN</v>
          </cell>
          <cell r="R390" t="str">
            <v>Jasa Listrik 4400 VA</v>
          </cell>
          <cell r="S390">
            <v>1</v>
          </cell>
          <cell r="T390" t="str">
            <v>bulan</v>
          </cell>
          <cell r="U390">
            <v>2000000</v>
          </cell>
          <cell r="V390">
            <v>1812220</v>
          </cell>
          <cell r="W390" t="str">
            <v>PLN</v>
          </cell>
          <cell r="X390" t="str">
            <v>Riama Siahaan</v>
          </cell>
          <cell r="Y390" t="str">
            <v>082370389806</v>
          </cell>
          <cell r="Z390" t="str">
            <v>Desa Fanayama, Kec. Fanayama, Kab. Nias Selatan</v>
          </cell>
          <cell r="AG390">
            <v>4</v>
          </cell>
        </row>
        <row r="391">
          <cell r="A391">
            <v>389</v>
          </cell>
          <cell r="B391" t="str">
            <v>119</v>
          </cell>
          <cell r="C391" t="str">
            <v>119</v>
          </cell>
          <cell r="D391" t="str">
            <v>BPU75</v>
          </cell>
          <cell r="E391">
            <v>390</v>
          </cell>
          <cell r="F391" t="str">
            <v>119</v>
          </cell>
          <cell r="G391">
            <v>45399</v>
          </cell>
          <cell r="H391">
            <v>45400</v>
          </cell>
          <cell r="I391">
            <v>45401</v>
          </cell>
          <cell r="J391">
            <v>45401</v>
          </cell>
          <cell r="K391">
            <v>45401</v>
          </cell>
          <cell r="L391" t="str">
            <v>5.1.02.02.01.00
63</v>
          </cell>
          <cell r="M391" t="str">
            <v>06.07.</v>
          </cell>
          <cell r="N391" t="str">
            <v>06.07.05.</v>
          </cell>
          <cell r="O391" t="str">
            <v>Biaya Langganan Internet--</v>
          </cell>
          <cell r="P391" t="str">
            <v>Biaya Langganan Internet--</v>
          </cell>
          <cell r="Q391" t="str">
            <v>Jasa Internet</v>
          </cell>
          <cell r="R391" t="str">
            <v>Jasa Indihome Unlimited</v>
          </cell>
          <cell r="S391">
            <v>1</v>
          </cell>
          <cell r="T391" t="str">
            <v>bulan</v>
          </cell>
          <cell r="U391">
            <v>1500000</v>
          </cell>
          <cell r="V391">
            <v>1168359</v>
          </cell>
          <cell r="W391" t="str">
            <v>Indihome</v>
          </cell>
          <cell r="X391" t="str">
            <v>Riama Siahaan</v>
          </cell>
          <cell r="Y391" t="str">
            <v>082370389806</v>
          </cell>
          <cell r="Z391" t="str">
            <v>Desa Fanayama, Kec. Fanayama, Kab. Nias Selatan</v>
          </cell>
          <cell r="AG391">
            <v>4</v>
          </cell>
        </row>
        <row r="392">
          <cell r="A392">
            <v>390</v>
          </cell>
          <cell r="B392" t="str">
            <v>120</v>
          </cell>
          <cell r="C392" t="str">
            <v>120</v>
          </cell>
          <cell r="D392" t="str">
            <v>BPU76</v>
          </cell>
          <cell r="E392">
            <v>391</v>
          </cell>
          <cell r="F392" t="str">
            <v>120</v>
          </cell>
          <cell r="G392">
            <v>45400</v>
          </cell>
          <cell r="H392">
            <v>45401</v>
          </cell>
          <cell r="I392">
            <v>45402</v>
          </cell>
          <cell r="J392">
            <v>45402</v>
          </cell>
          <cell r="K392">
            <v>45402</v>
          </cell>
          <cell r="L392" t="str">
            <v>5.1.02.01.01.00
52</v>
          </cell>
          <cell r="M392" t="str">
            <v>04.06.</v>
          </cell>
          <cell r="N392" t="str">
            <v>04.06.41.</v>
          </cell>
          <cell r="O392" t="str">
            <v>Kudapan pada kegiatan Workshop Peningkatan Kompetensi Guru untuk memahami tentang perundungan, kekerasan, dan kekerasan seksual</v>
          </cell>
          <cell r="P392" t="str">
            <v>Kue Kotak</v>
          </cell>
          <cell r="Q392" t="str">
            <v>Kudapan</v>
          </cell>
          <cell r="R392" t="str">
            <v>Kue (bahan tepung terigu, gula, telur, mentega; berat 100gr, panjang 15cm, lebar 8 cm)</v>
          </cell>
          <cell r="S392">
            <v>75</v>
          </cell>
          <cell r="T392" t="str">
            <v>kotak</v>
          </cell>
          <cell r="U392">
            <v>14000</v>
          </cell>
          <cell r="V392">
            <v>1050000</v>
          </cell>
          <cell r="W392" t="str">
            <v>Rumah Roti Helena</v>
          </cell>
          <cell r="X392" t="str">
            <v>Fudi Supiyanto</v>
          </cell>
          <cell r="Y392" t="str">
            <v>082164895397</v>
          </cell>
          <cell r="Z392" t="str">
            <v>Jl. Jend A. Yani No. 89 Kelurahan Pasar Telukdalam - Nias Selatan</v>
          </cell>
          <cell r="AG392">
            <v>4</v>
          </cell>
        </row>
        <row r="393">
          <cell r="A393">
            <v>391</v>
          </cell>
          <cell r="B393" t="str">
            <v>121</v>
          </cell>
          <cell r="C393" t="str">
            <v>121</v>
          </cell>
          <cell r="D393" t="str">
            <v>BPU77</v>
          </cell>
          <cell r="E393">
            <v>392</v>
          </cell>
          <cell r="F393" t="str">
            <v>121</v>
          </cell>
          <cell r="G393">
            <v>45400</v>
          </cell>
          <cell r="H393">
            <v>45401</v>
          </cell>
          <cell r="I393">
            <v>45402</v>
          </cell>
          <cell r="J393">
            <v>45402</v>
          </cell>
          <cell r="K393">
            <v>45402</v>
          </cell>
          <cell r="L393" t="str">
            <v>5.1.02.01.01.00
52</v>
          </cell>
          <cell r="M393" t="str">
            <v>04.06.</v>
          </cell>
          <cell r="N393" t="str">
            <v>04.06.41.</v>
          </cell>
          <cell r="O393" t="str">
            <v>Konsumsi pada kegiatan Workshop Peningkatan Kompetensi Guru untuk memahami tentang perundungan, kekerasan, dan kekerasan seksual</v>
          </cell>
          <cell r="P393" t="str">
            <v>Nasi Kotak</v>
          </cell>
          <cell r="Q393" t="str">
            <v>Konsumsi</v>
          </cell>
          <cell r="R393" t="str">
            <v>Nasi putih;Sop daging; Sayur; Berat 1000gr; Dimensi; (PxLxT) 25cmx25cmx10cm</v>
          </cell>
          <cell r="S393">
            <v>75</v>
          </cell>
          <cell r="T393" t="str">
            <v>kotak</v>
          </cell>
          <cell r="U393">
            <v>40000</v>
          </cell>
          <cell r="V393">
            <v>3000000</v>
          </cell>
          <cell r="W393" t="str">
            <v>Resto JFC Esther</v>
          </cell>
          <cell r="X393" t="str">
            <v>Limaati Daeli</v>
          </cell>
          <cell r="Y393" t="str">
            <v>085297578868</v>
          </cell>
          <cell r="Z393" t="str">
            <v>Jl. Saonigeho Km. 5 Telukdalam, Kab. Nias Selatan</v>
          </cell>
          <cell r="AG393">
            <v>4</v>
          </cell>
        </row>
        <row r="394">
          <cell r="A394">
            <v>392</v>
          </cell>
          <cell r="B394" t="str">
            <v>122</v>
          </cell>
          <cell r="C394" t="str">
            <v>122</v>
          </cell>
          <cell r="D394" t="str">
            <v>BPU78</v>
          </cell>
          <cell r="E394">
            <v>393</v>
          </cell>
          <cell r="F394" t="str">
            <v>122</v>
          </cell>
          <cell r="G394">
            <v>45407</v>
          </cell>
          <cell r="H394">
            <v>45407</v>
          </cell>
          <cell r="I394">
            <v>45408</v>
          </cell>
          <cell r="J394">
            <v>45408</v>
          </cell>
          <cell r="K394">
            <v>45408</v>
          </cell>
          <cell r="L394" t="str">
            <v>5.1.02.02.01.00
27</v>
          </cell>
          <cell r="M394" t="str">
            <v>06.05.</v>
          </cell>
          <cell r="N394" t="str">
            <v>06.05.03.</v>
          </cell>
          <cell r="O394" t="str">
            <v>Belanja Jasa Tenaga Operator Komputer--</v>
          </cell>
          <cell r="P394" t="str">
            <v>Belanja Jasa Tenaga Operator Komputer--</v>
          </cell>
          <cell r="Q394" t="str">
            <v>Jasa Tenaga Operator</v>
          </cell>
          <cell r="R394" t="str">
            <v xml:space="preserve"> Biaya Jasa Operator Sekolah</v>
          </cell>
          <cell r="S394">
            <v>1</v>
          </cell>
          <cell r="T394" t="str">
            <v>bulan</v>
          </cell>
          <cell r="U394">
            <v>1000000</v>
          </cell>
          <cell r="V394">
            <v>1000000</v>
          </cell>
          <cell r="W394" t="str">
            <v>Riama Siahaan</v>
          </cell>
          <cell r="X394" t="str">
            <v>Riama Siahaan</v>
          </cell>
          <cell r="Y394" t="str">
            <v>082370389806</v>
          </cell>
          <cell r="Z394" t="str">
            <v>Desa Fanayama, Kec. Fanayama, Kab. Nias Selatan</v>
          </cell>
          <cell r="AG394">
            <v>4</v>
          </cell>
        </row>
        <row r="395">
          <cell r="A395">
            <v>393</v>
          </cell>
          <cell r="B395" t="str">
            <v>123</v>
          </cell>
          <cell r="C395" t="str">
            <v>123</v>
          </cell>
          <cell r="D395" t="str">
            <v>BNU51</v>
          </cell>
          <cell r="E395">
            <v>394</v>
          </cell>
          <cell r="F395" t="str">
            <v>123</v>
          </cell>
          <cell r="G395">
            <v>45407</v>
          </cell>
          <cell r="H395">
            <v>45407</v>
          </cell>
          <cell r="I395">
            <v>45408</v>
          </cell>
          <cell r="J395">
            <v>45408</v>
          </cell>
          <cell r="K395">
            <v>45408</v>
          </cell>
          <cell r="L395" t="str">
            <v>5.1.02.02.01.00
13</v>
          </cell>
          <cell r="M395" t="str">
            <v>07.12.</v>
          </cell>
          <cell r="N395" t="str">
            <v>07.12.01.</v>
          </cell>
          <cell r="O395" t="str">
            <v>Selatieli Nehe</v>
          </cell>
          <cell r="P395" t="str">
            <v>Selatieli Nehe</v>
          </cell>
          <cell r="Q395" t="str">
            <v>Jasa Tenaga Pengajar</v>
          </cell>
          <cell r="R395" t="str">
            <v>Honor Guru Tidak Tetap Sekolah (GTTS)</v>
          </cell>
          <cell r="S395">
            <v>33</v>
          </cell>
          <cell r="T395" t="str">
            <v>jpl</v>
          </cell>
          <cell r="U395">
            <v>75000</v>
          </cell>
          <cell r="V395">
            <v>2475000</v>
          </cell>
          <cell r="W395" t="str">
            <v>GTTS dan PTTS</v>
          </cell>
          <cell r="X395">
            <v>0</v>
          </cell>
          <cell r="AG395">
            <v>4</v>
          </cell>
        </row>
        <row r="396">
          <cell r="A396">
            <v>394</v>
          </cell>
          <cell r="B396" t="str">
            <v>124</v>
          </cell>
          <cell r="C396" t="str">
            <v>124</v>
          </cell>
          <cell r="D396" t="str">
            <v>BNU52</v>
          </cell>
          <cell r="E396">
            <v>395</v>
          </cell>
          <cell r="F396" t="str">
            <v>124</v>
          </cell>
          <cell r="G396">
            <v>45407</v>
          </cell>
          <cell r="H396">
            <v>45407</v>
          </cell>
          <cell r="I396">
            <v>45408</v>
          </cell>
          <cell r="J396">
            <v>45408</v>
          </cell>
          <cell r="K396">
            <v>45408</v>
          </cell>
          <cell r="L396" t="str">
            <v>5.1.02.02.01.00
13</v>
          </cell>
          <cell r="M396" t="str">
            <v>07.12.</v>
          </cell>
          <cell r="N396" t="str">
            <v>07.12.01.</v>
          </cell>
          <cell r="O396" t="str">
            <v>Arifin Metodi Bate'e</v>
          </cell>
          <cell r="P396" t="str">
            <v>Arifin Metodi Bate'e</v>
          </cell>
          <cell r="Q396" t="str">
            <v>Jasa Tenaga Pengajar</v>
          </cell>
          <cell r="R396" t="str">
            <v>Honor Guru Tidak Tetap Sekolah (GTTS)</v>
          </cell>
          <cell r="S396">
            <v>34</v>
          </cell>
          <cell r="T396" t="str">
            <v>jpl</v>
          </cell>
          <cell r="U396">
            <v>75000</v>
          </cell>
          <cell r="V396">
            <v>2550000</v>
          </cell>
          <cell r="W396" t="str">
            <v>GTTS dan PTTS</v>
          </cell>
          <cell r="X396">
            <v>0</v>
          </cell>
          <cell r="AG396">
            <v>4</v>
          </cell>
        </row>
        <row r="397">
          <cell r="A397">
            <v>395</v>
          </cell>
          <cell r="B397" t="str">
            <v>125</v>
          </cell>
          <cell r="C397" t="str">
            <v>125</v>
          </cell>
          <cell r="D397" t="str">
            <v>BNU53</v>
          </cell>
          <cell r="E397">
            <v>396</v>
          </cell>
          <cell r="F397" t="str">
            <v>125</v>
          </cell>
          <cell r="G397">
            <v>45407</v>
          </cell>
          <cell r="H397">
            <v>45407</v>
          </cell>
          <cell r="I397">
            <v>45408</v>
          </cell>
          <cell r="J397">
            <v>45408</v>
          </cell>
          <cell r="K397">
            <v>45408</v>
          </cell>
          <cell r="L397" t="str">
            <v>5.1.02.02.01.00
13</v>
          </cell>
          <cell r="M397" t="str">
            <v>07.12.</v>
          </cell>
          <cell r="N397" t="str">
            <v>07.12.01.</v>
          </cell>
          <cell r="O397" t="str">
            <v>Ferdiwati Wau</v>
          </cell>
          <cell r="P397" t="str">
            <v>Ferdiwati Wau</v>
          </cell>
          <cell r="Q397" t="str">
            <v>Jasa Tenaga Pengajar</v>
          </cell>
          <cell r="R397" t="str">
            <v>Honor Guru Tidak Tetap Sekolah (GTTS)</v>
          </cell>
          <cell r="S397">
            <v>30</v>
          </cell>
          <cell r="T397" t="str">
            <v>jpl</v>
          </cell>
          <cell r="U397">
            <v>75000</v>
          </cell>
          <cell r="V397">
            <v>2250000</v>
          </cell>
          <cell r="W397" t="str">
            <v>GTTS dan PTTS</v>
          </cell>
          <cell r="X397">
            <v>0</v>
          </cell>
          <cell r="AG397">
            <v>4</v>
          </cell>
        </row>
        <row r="398">
          <cell r="A398">
            <v>396</v>
          </cell>
          <cell r="B398" t="str">
            <v>126</v>
          </cell>
          <cell r="C398" t="str">
            <v>126</v>
          </cell>
          <cell r="D398" t="str">
            <v>BNU54</v>
          </cell>
          <cell r="E398">
            <v>397</v>
          </cell>
          <cell r="F398" t="str">
            <v>126</v>
          </cell>
          <cell r="G398">
            <v>45407</v>
          </cell>
          <cell r="H398">
            <v>45407</v>
          </cell>
          <cell r="I398">
            <v>45408</v>
          </cell>
          <cell r="J398">
            <v>45408</v>
          </cell>
          <cell r="K398">
            <v>45408</v>
          </cell>
          <cell r="L398" t="str">
            <v>5.1.02.02.01.00
13</v>
          </cell>
          <cell r="M398" t="str">
            <v>07.12.</v>
          </cell>
          <cell r="N398" t="str">
            <v>07.12.01.</v>
          </cell>
          <cell r="O398" t="str">
            <v>Noni Alfanita Sarumaha, S.Pd</v>
          </cell>
          <cell r="P398" t="str">
            <v>Noni Alfanita Sarumaha, S.Pd</v>
          </cell>
          <cell r="Q398" t="str">
            <v>Jasa Tenaga Pengajar</v>
          </cell>
          <cell r="R398" t="str">
            <v>Honor Guru Tidak Tetap Sekolah (GTTS)</v>
          </cell>
          <cell r="S398">
            <v>33</v>
          </cell>
          <cell r="T398" t="str">
            <v>jpl</v>
          </cell>
          <cell r="U398">
            <v>75000</v>
          </cell>
          <cell r="V398">
            <v>2475000</v>
          </cell>
          <cell r="W398" t="str">
            <v>GTTS dan PTTS</v>
          </cell>
          <cell r="X398">
            <v>0</v>
          </cell>
          <cell r="AG398">
            <v>4</v>
          </cell>
        </row>
        <row r="399">
          <cell r="A399">
            <v>397</v>
          </cell>
          <cell r="B399" t="str">
            <v>127</v>
          </cell>
          <cell r="C399" t="str">
            <v>127</v>
          </cell>
          <cell r="D399" t="str">
            <v>BNU55</v>
          </cell>
          <cell r="E399">
            <v>398</v>
          </cell>
          <cell r="F399" t="str">
            <v>127</v>
          </cell>
          <cell r="G399">
            <v>45407</v>
          </cell>
          <cell r="H399">
            <v>45407</v>
          </cell>
          <cell r="I399">
            <v>45408</v>
          </cell>
          <cell r="J399">
            <v>45408</v>
          </cell>
          <cell r="K399">
            <v>45408</v>
          </cell>
          <cell r="L399" t="str">
            <v>5.1.02.02.01.00
13</v>
          </cell>
          <cell r="M399" t="str">
            <v>07.12.</v>
          </cell>
          <cell r="N399" t="str">
            <v>07.12.01.</v>
          </cell>
          <cell r="O399" t="str">
            <v>EMILA HAFO</v>
          </cell>
          <cell r="P399" t="str">
            <v>EMILA HAFO</v>
          </cell>
          <cell r="Q399" t="str">
            <v>Jasa Tenaga Pengajar</v>
          </cell>
          <cell r="R399" t="str">
            <v>Honor Guru Tidak Tetap Sekolah (GTTS)</v>
          </cell>
          <cell r="S399">
            <v>28</v>
          </cell>
          <cell r="T399" t="str">
            <v>jpl</v>
          </cell>
          <cell r="U399">
            <v>75000</v>
          </cell>
          <cell r="V399">
            <v>2100000</v>
          </cell>
          <cell r="W399" t="str">
            <v>GTTS dan PTTS</v>
          </cell>
          <cell r="X399">
            <v>0</v>
          </cell>
          <cell r="AG399">
            <v>4</v>
          </cell>
        </row>
        <row r="400">
          <cell r="A400">
            <v>398</v>
          </cell>
          <cell r="B400" t="str">
            <v>128</v>
          </cell>
          <cell r="C400" t="str">
            <v>128</v>
          </cell>
          <cell r="D400" t="str">
            <v>BNU56</v>
          </cell>
          <cell r="E400">
            <v>399</v>
          </cell>
          <cell r="F400" t="str">
            <v>128</v>
          </cell>
          <cell r="G400">
            <v>45407</v>
          </cell>
          <cell r="H400">
            <v>45407</v>
          </cell>
          <cell r="I400">
            <v>45408</v>
          </cell>
          <cell r="J400">
            <v>45408</v>
          </cell>
          <cell r="K400">
            <v>45408</v>
          </cell>
          <cell r="L400" t="str">
            <v>5.1.02.02.01.00
13</v>
          </cell>
          <cell r="M400" t="str">
            <v>07.12.</v>
          </cell>
          <cell r="N400" t="str">
            <v>07.12.01.</v>
          </cell>
          <cell r="O400" t="str">
            <v>Asep Nurhidayat</v>
          </cell>
          <cell r="P400" t="str">
            <v>Asep Nurhidayat</v>
          </cell>
          <cell r="Q400" t="str">
            <v>Jasa Tenaga Pengajar</v>
          </cell>
          <cell r="R400" t="str">
            <v>Honor Guru Tidak Tetap Sekolah (GTTS)</v>
          </cell>
          <cell r="S400">
            <v>33</v>
          </cell>
          <cell r="T400" t="str">
            <v>jpl</v>
          </cell>
          <cell r="U400">
            <v>75000</v>
          </cell>
          <cell r="V400">
            <v>2475000</v>
          </cell>
          <cell r="W400" t="str">
            <v>GTTS dan PTTS</v>
          </cell>
          <cell r="X400">
            <v>0</v>
          </cell>
          <cell r="AG400">
            <v>4</v>
          </cell>
        </row>
        <row r="401">
          <cell r="A401">
            <v>399</v>
          </cell>
          <cell r="B401" t="str">
            <v>129</v>
          </cell>
          <cell r="C401" t="str">
            <v>129</v>
          </cell>
          <cell r="D401" t="str">
            <v>BNU57</v>
          </cell>
          <cell r="E401">
            <v>400</v>
          </cell>
          <cell r="F401" t="str">
            <v>129</v>
          </cell>
          <cell r="G401">
            <v>45407</v>
          </cell>
          <cell r="H401">
            <v>45407</v>
          </cell>
          <cell r="I401">
            <v>45408</v>
          </cell>
          <cell r="J401">
            <v>45408</v>
          </cell>
          <cell r="K401">
            <v>45408</v>
          </cell>
          <cell r="L401" t="str">
            <v>5.1.02.02.01.00
26</v>
          </cell>
          <cell r="M401" t="str">
            <v>07.12.</v>
          </cell>
          <cell r="N401" t="str">
            <v>07.12.02.</v>
          </cell>
          <cell r="O401" t="str">
            <v>Estera Nehe</v>
          </cell>
          <cell r="P401" t="str">
            <v>Estera Nehe</v>
          </cell>
          <cell r="Q401" t="str">
            <v>Jasa Tenaga TU</v>
          </cell>
          <cell r="R401" t="str">
            <v>Honor Pegawai Tidak Tetap Sekolah (PTTS)</v>
          </cell>
          <cell r="S401">
            <v>1</v>
          </cell>
          <cell r="T401" t="str">
            <v>bulan</v>
          </cell>
          <cell r="U401">
            <v>2000000</v>
          </cell>
          <cell r="V401">
            <v>2000000</v>
          </cell>
          <cell r="W401" t="str">
            <v>GTTS dan PTTS</v>
          </cell>
          <cell r="X401">
            <v>0</v>
          </cell>
          <cell r="AG401">
            <v>4</v>
          </cell>
        </row>
        <row r="402">
          <cell r="A402">
            <v>400</v>
          </cell>
          <cell r="B402" t="str">
            <v>130</v>
          </cell>
          <cell r="C402" t="str">
            <v>130</v>
          </cell>
          <cell r="D402" t="str">
            <v>BNU58</v>
          </cell>
          <cell r="E402">
            <v>401</v>
          </cell>
          <cell r="F402" t="str">
            <v>130</v>
          </cell>
          <cell r="G402">
            <v>45407</v>
          </cell>
          <cell r="H402">
            <v>45407</v>
          </cell>
          <cell r="I402">
            <v>45408</v>
          </cell>
          <cell r="J402">
            <v>45408</v>
          </cell>
          <cell r="K402">
            <v>45408</v>
          </cell>
          <cell r="L402" t="str">
            <v>5.1.02.02.01.00
26</v>
          </cell>
          <cell r="M402" t="str">
            <v>07.12.</v>
          </cell>
          <cell r="N402" t="str">
            <v>07.12.02.</v>
          </cell>
          <cell r="O402" t="str">
            <v>Hatieli Buulolo</v>
          </cell>
          <cell r="P402" t="str">
            <v>Hatieli Buulolo</v>
          </cell>
          <cell r="Q402" t="str">
            <v>Jasa Tenaga TU</v>
          </cell>
          <cell r="R402" t="str">
            <v>Honor Pegawai Tidak Tetap Sekolah (PTTS)</v>
          </cell>
          <cell r="S402">
            <v>1</v>
          </cell>
          <cell r="T402" t="str">
            <v>bulan</v>
          </cell>
          <cell r="U402">
            <v>2000000</v>
          </cell>
          <cell r="V402">
            <v>2000000</v>
          </cell>
          <cell r="W402" t="str">
            <v>GTTS dan PTTS</v>
          </cell>
          <cell r="X402">
            <v>0</v>
          </cell>
          <cell r="AG402">
            <v>4</v>
          </cell>
        </row>
        <row r="403">
          <cell r="A403">
            <v>401</v>
          </cell>
          <cell r="B403" t="str">
            <v>131</v>
          </cell>
          <cell r="C403" t="str">
            <v>131</v>
          </cell>
          <cell r="D403" t="str">
            <v>BNU59</v>
          </cell>
          <cell r="E403">
            <v>402</v>
          </cell>
          <cell r="F403" t="str">
            <v>131</v>
          </cell>
          <cell r="G403">
            <v>45407</v>
          </cell>
          <cell r="H403">
            <v>45407</v>
          </cell>
          <cell r="I403">
            <v>45408</v>
          </cell>
          <cell r="J403">
            <v>45408</v>
          </cell>
          <cell r="K403">
            <v>45408</v>
          </cell>
          <cell r="L403" t="str">
            <v>5.1.02.02.01.00
26</v>
          </cell>
          <cell r="M403" t="str">
            <v>07.12.</v>
          </cell>
          <cell r="N403" t="str">
            <v>07.12.02.</v>
          </cell>
          <cell r="O403" t="str">
            <v>David J. Sitinjak</v>
          </cell>
          <cell r="P403" t="str">
            <v>David J. Sitinjak</v>
          </cell>
          <cell r="Q403" t="str">
            <v>Jasa Tenaga TU</v>
          </cell>
          <cell r="R403" t="str">
            <v>Honor Pegawai Tidak Tetap Sekolah (PTTS)</v>
          </cell>
          <cell r="S403">
            <v>1</v>
          </cell>
          <cell r="T403" t="str">
            <v>bulan</v>
          </cell>
          <cell r="U403">
            <v>2000000</v>
          </cell>
          <cell r="V403">
            <v>2000000</v>
          </cell>
          <cell r="W403" t="str">
            <v>GTTS dan PTTS</v>
          </cell>
          <cell r="X403">
            <v>0</v>
          </cell>
          <cell r="AG403">
            <v>4</v>
          </cell>
        </row>
        <row r="404">
          <cell r="A404">
            <v>402</v>
          </cell>
          <cell r="B404" t="str">
            <v>132</v>
          </cell>
          <cell r="C404" t="str">
            <v>132</v>
          </cell>
          <cell r="D404" t="str">
            <v>BNU60</v>
          </cell>
          <cell r="E404">
            <v>403</v>
          </cell>
          <cell r="F404" t="str">
            <v>132</v>
          </cell>
          <cell r="G404">
            <v>45407</v>
          </cell>
          <cell r="H404">
            <v>45407</v>
          </cell>
          <cell r="I404">
            <v>45408</v>
          </cell>
          <cell r="J404">
            <v>45408</v>
          </cell>
          <cell r="K404">
            <v>45408</v>
          </cell>
          <cell r="L404" t="str">
            <v>5.1.02.02.01.00
26</v>
          </cell>
          <cell r="M404" t="str">
            <v>07.12.</v>
          </cell>
          <cell r="N404" t="str">
            <v>07.12.02.</v>
          </cell>
          <cell r="O404" t="str">
            <v>Siona Ziraluo</v>
          </cell>
          <cell r="P404" t="str">
            <v>Siona Ziraluo</v>
          </cell>
          <cell r="Q404" t="str">
            <v>Jasa Tenaga TU</v>
          </cell>
          <cell r="R404" t="str">
            <v>Honor Pegawai Tidak Tetap Sekolah (PTTS)</v>
          </cell>
          <cell r="S404">
            <v>1</v>
          </cell>
          <cell r="T404" t="str">
            <v>bulan</v>
          </cell>
          <cell r="U404">
            <v>2000000</v>
          </cell>
          <cell r="V404">
            <v>2000000</v>
          </cell>
          <cell r="W404" t="str">
            <v>GTTS dan PTTS</v>
          </cell>
          <cell r="X404">
            <v>0</v>
          </cell>
          <cell r="AG404">
            <v>4</v>
          </cell>
        </row>
        <row r="405">
          <cell r="A405">
            <v>403</v>
          </cell>
          <cell r="B405" t="str">
            <v>133</v>
          </cell>
          <cell r="C405" t="str">
            <v>133</v>
          </cell>
          <cell r="D405" t="str">
            <v>BNU61</v>
          </cell>
          <cell r="E405">
            <v>404</v>
          </cell>
          <cell r="F405" t="str">
            <v>133</v>
          </cell>
          <cell r="G405">
            <v>45407</v>
          </cell>
          <cell r="H405">
            <v>45407</v>
          </cell>
          <cell r="I405">
            <v>45408</v>
          </cell>
          <cell r="J405">
            <v>45408</v>
          </cell>
          <cell r="K405">
            <v>45408</v>
          </cell>
          <cell r="L405" t="str">
            <v>5.1.02.02.01.00
26</v>
          </cell>
          <cell r="M405" t="str">
            <v>07.12.</v>
          </cell>
          <cell r="N405" t="str">
            <v>07.12.02.</v>
          </cell>
          <cell r="O405" t="str">
            <v>Merdina Ziraluo</v>
          </cell>
          <cell r="P405" t="str">
            <v>Merdina Ziraluo</v>
          </cell>
          <cell r="Q405" t="str">
            <v>Jasa Tenaga TU</v>
          </cell>
          <cell r="R405" t="str">
            <v>Honor Pegawai Tidak Tetap Sekolah (PTTS)</v>
          </cell>
          <cell r="S405">
            <v>1</v>
          </cell>
          <cell r="T405" t="str">
            <v>bulan</v>
          </cell>
          <cell r="U405">
            <v>2000000</v>
          </cell>
          <cell r="V405">
            <v>2000000</v>
          </cell>
          <cell r="W405" t="str">
            <v>GTTS dan PTTS</v>
          </cell>
          <cell r="X405">
            <v>0</v>
          </cell>
          <cell r="AG405">
            <v>4</v>
          </cell>
        </row>
        <row r="406">
          <cell r="A406">
            <v>404</v>
          </cell>
          <cell r="B406" t="str">
            <v>134</v>
          </cell>
          <cell r="C406" t="str">
            <v>134</v>
          </cell>
          <cell r="D406" t="str">
            <v>BNU62</v>
          </cell>
          <cell r="E406">
            <v>405</v>
          </cell>
          <cell r="F406" t="str">
            <v>134</v>
          </cell>
          <cell r="G406">
            <v>45407</v>
          </cell>
          <cell r="H406">
            <v>45407</v>
          </cell>
          <cell r="I406">
            <v>45408</v>
          </cell>
          <cell r="J406">
            <v>45408</v>
          </cell>
          <cell r="K406">
            <v>45408</v>
          </cell>
          <cell r="L406" t="str">
            <v>5.1.02.02.01.00
30</v>
          </cell>
          <cell r="M406" t="str">
            <v>07.12.</v>
          </cell>
          <cell r="N406" t="str">
            <v>07.12.04.</v>
          </cell>
          <cell r="O406" t="str">
            <v>Fransiskus Lombu</v>
          </cell>
          <cell r="P406" t="str">
            <v>Fransiskus Lombu</v>
          </cell>
          <cell r="Q406" t="str">
            <v>Jasa Tenaga Kebersihan</v>
          </cell>
          <cell r="R406" t="str">
            <v>Honorarius Pegawai Kebersihan Sekolah</v>
          </cell>
          <cell r="S406">
            <v>1</v>
          </cell>
          <cell r="T406" t="str">
            <v>bulan</v>
          </cell>
          <cell r="U406">
            <v>1000000</v>
          </cell>
          <cell r="V406">
            <v>1000000</v>
          </cell>
          <cell r="W406" t="str">
            <v>Pegawai Kebersihan</v>
          </cell>
          <cell r="X406">
            <v>0</v>
          </cell>
          <cell r="AG406">
            <v>4</v>
          </cell>
        </row>
        <row r="407">
          <cell r="A407">
            <v>405</v>
          </cell>
          <cell r="B407" t="str">
            <v>135</v>
          </cell>
          <cell r="C407" t="str">
            <v>135</v>
          </cell>
          <cell r="D407" t="str">
            <v>BPU79</v>
          </cell>
          <cell r="E407">
            <v>406</v>
          </cell>
          <cell r="F407" t="str">
            <v>135</v>
          </cell>
          <cell r="G407">
            <v>45410</v>
          </cell>
          <cell r="H407">
            <v>45411</v>
          </cell>
          <cell r="I407">
            <v>45411</v>
          </cell>
          <cell r="J407">
            <v>45411</v>
          </cell>
          <cell r="K407">
            <v>45411</v>
          </cell>
          <cell r="L407" t="str">
            <v>5.1.02.01.01.00
52</v>
          </cell>
          <cell r="M407" t="str">
            <v>05.05.</v>
          </cell>
          <cell r="N407" t="str">
            <v>05.05.02.</v>
          </cell>
          <cell r="O407" t="str">
            <v>Air Mineral pada pelaksanaan kegiatan bulanan Gerakan Bersih Lingkungan Sekolah</v>
          </cell>
          <cell r="P407" t="str">
            <v>Aqua Cup</v>
          </cell>
          <cell r="Q407" t="str">
            <v>Air Mineral</v>
          </cell>
          <cell r="R407" t="str">
            <v>Aqua Cup (Diameter: 6.3cm. Tinggi: 9.5cm)</v>
          </cell>
          <cell r="S407">
            <v>25</v>
          </cell>
          <cell r="T407" t="str">
            <v>dus</v>
          </cell>
          <cell r="U407">
            <v>50000</v>
          </cell>
          <cell r="V407">
            <v>1250000</v>
          </cell>
          <cell r="W407" t="str">
            <v>Rumah Roti Helena</v>
          </cell>
          <cell r="X407" t="str">
            <v>Fudi Supiyanto</v>
          </cell>
          <cell r="Y407" t="str">
            <v>082164895397</v>
          </cell>
          <cell r="Z407" t="str">
            <v>Jl. Jend A. Yani No. 89 Kelurahan Pasar Telukdalam - Nias Selatan</v>
          </cell>
          <cell r="AG407">
            <v>4</v>
          </cell>
        </row>
        <row r="408">
          <cell r="A408">
            <v>406</v>
          </cell>
          <cell r="B408" t="str">
            <v>136</v>
          </cell>
          <cell r="C408" t="str">
            <v>136</v>
          </cell>
          <cell r="D408" t="str">
            <v>BPU80</v>
          </cell>
          <cell r="E408">
            <v>407</v>
          </cell>
          <cell r="F408" t="str">
            <v>136</v>
          </cell>
          <cell r="G408">
            <v>45410</v>
          </cell>
          <cell r="H408">
            <v>45411</v>
          </cell>
          <cell r="I408">
            <v>45412</v>
          </cell>
          <cell r="J408">
            <v>45412</v>
          </cell>
          <cell r="K408">
            <v>45412</v>
          </cell>
          <cell r="L408" t="str">
            <v>5.2.02.10.02.00
05</v>
          </cell>
          <cell r="M408" t="str">
            <v>05.08.</v>
          </cell>
          <cell r="N408" t="str">
            <v>05.08.02.</v>
          </cell>
          <cell r="O408" t="str">
            <v>Server</v>
          </cell>
          <cell r="P408" t="str">
            <v>Server</v>
          </cell>
          <cell r="Q408" t="str">
            <v>Peralatan Multimedia</v>
          </cell>
          <cell r="R408" t="str">
            <v>Server PC Fortress (Core i5, Windows 10 Pro, 64 Bit, RAM 64, Hdd 500GB, 1 Port)</v>
          </cell>
          <cell r="S408">
            <v>1</v>
          </cell>
          <cell r="T408" t="str">
            <v>unit</v>
          </cell>
          <cell r="U408">
            <v>32400000</v>
          </cell>
          <cell r="V408">
            <v>32400000</v>
          </cell>
          <cell r="W408" t="str">
            <v>CV. Goriyaku Wiratrade</v>
          </cell>
          <cell r="X408" t="str">
            <v>Wirawan Bazikho</v>
          </cell>
          <cell r="Y408" t="str">
            <v>082166714290</v>
          </cell>
          <cell r="Z408" t="str">
            <v>Jl. Pasir Putih Pasar Telukdalam, Telukdalam Kab. Nias Selatan</v>
          </cell>
          <cell r="AG408">
            <v>4</v>
          </cell>
        </row>
        <row r="409">
          <cell r="A409">
            <v>407</v>
          </cell>
          <cell r="B409" t="str">
            <v>137</v>
          </cell>
          <cell r="C409" t="str">
            <v>137</v>
          </cell>
          <cell r="D409" t="str">
            <v>BPU81</v>
          </cell>
          <cell r="E409">
            <v>408</v>
          </cell>
          <cell r="F409" t="str">
            <v>137</v>
          </cell>
          <cell r="G409">
            <v>45410</v>
          </cell>
          <cell r="H409">
            <v>45411</v>
          </cell>
          <cell r="I409">
            <v>45412</v>
          </cell>
          <cell r="J409">
            <v>45412</v>
          </cell>
          <cell r="K409">
            <v>45412</v>
          </cell>
          <cell r="L409" t="str">
            <v>5.1.02.01.01.00
12</v>
          </cell>
          <cell r="M409" t="str">
            <v>03.03.</v>
          </cell>
          <cell r="N409" t="str">
            <v>03.03.19.</v>
          </cell>
          <cell r="O409" t="str">
            <v>Biaya Lomba MTQ 2024</v>
          </cell>
          <cell r="P409" t="str">
            <v>Biaya Lomba MTQ 2024</v>
          </cell>
          <cell r="Q409" t="str">
            <v>Perlombaan</v>
          </cell>
          <cell r="R409" t="str">
            <v>Biaya Kegiatan Lomba MTQ 2024</v>
          </cell>
          <cell r="S409">
            <v>1</v>
          </cell>
          <cell r="T409" t="str">
            <v>paket</v>
          </cell>
          <cell r="U409">
            <v>16600000</v>
          </cell>
          <cell r="V409">
            <v>16600000</v>
          </cell>
          <cell r="W409" t="str">
            <v>Riama Siahaan</v>
          </cell>
          <cell r="X409" t="str">
            <v>Riama Siahaan</v>
          </cell>
          <cell r="Y409" t="str">
            <v>082370389806</v>
          </cell>
          <cell r="Z409" t="str">
            <v>Desa Fanayama, Kec. Fanayama, Kab. Nias Selatan</v>
          </cell>
          <cell r="AG409">
            <v>4</v>
          </cell>
        </row>
        <row r="410">
          <cell r="A410">
            <v>408</v>
          </cell>
          <cell r="B410" t="str">
            <v>138</v>
          </cell>
          <cell r="C410" t="str">
            <v>138</v>
          </cell>
          <cell r="D410" t="str">
            <v>BPU82</v>
          </cell>
          <cell r="E410">
            <v>409</v>
          </cell>
          <cell r="F410" t="str">
            <v>138</v>
          </cell>
          <cell r="G410">
            <v>45410</v>
          </cell>
          <cell r="H410">
            <v>45411</v>
          </cell>
          <cell r="I410">
            <v>45412</v>
          </cell>
          <cell r="J410">
            <v>45412</v>
          </cell>
          <cell r="K410">
            <v>45412</v>
          </cell>
          <cell r="L410" t="str">
            <v>5.1.02.01.01.00
52</v>
          </cell>
          <cell r="M410" t="str">
            <v>06.05.</v>
          </cell>
          <cell r="N410" t="str">
            <v>06.05.02.</v>
          </cell>
          <cell r="O410" t="str">
            <v>Kudapan Rapat Rutin Bulanan</v>
          </cell>
          <cell r="P410" t="str">
            <v>Kue Kotak</v>
          </cell>
          <cell r="Q410" t="str">
            <v>Kudapan</v>
          </cell>
          <cell r="R410" t="str">
            <v>Kue (bahan tepung terigu, gula, telur, mentega; berat 100gr, panjang 15cm, lebar 8 cm)</v>
          </cell>
          <cell r="S410">
            <v>60</v>
          </cell>
          <cell r="T410" t="str">
            <v>buah</v>
          </cell>
          <cell r="U410">
            <v>15000</v>
          </cell>
          <cell r="V410">
            <v>900000</v>
          </cell>
          <cell r="W410" t="str">
            <v>Rumah Roti Helena</v>
          </cell>
          <cell r="X410" t="str">
            <v>Fudi Supiyanto</v>
          </cell>
          <cell r="Y410" t="str">
            <v>082164895397</v>
          </cell>
          <cell r="Z410" t="str">
            <v>Jl. Jend A. Yani No. 89 Kelurahan Pasar Telukdalam - Nias Selatan</v>
          </cell>
          <cell r="AG410">
            <v>4</v>
          </cell>
        </row>
        <row r="411">
          <cell r="A411">
            <v>409</v>
          </cell>
          <cell r="B411" t="str">
            <v>139</v>
          </cell>
          <cell r="C411" t="str">
            <v>139</v>
          </cell>
          <cell r="D411" t="str">
            <v>BPU83</v>
          </cell>
          <cell r="E411">
            <v>410</v>
          </cell>
          <cell r="F411" t="str">
            <v>139</v>
          </cell>
          <cell r="G411">
            <v>45413</v>
          </cell>
          <cell r="H411">
            <v>45413</v>
          </cell>
          <cell r="I411">
            <v>45413</v>
          </cell>
          <cell r="J411">
            <v>45413</v>
          </cell>
          <cell r="K411">
            <v>45415</v>
          </cell>
          <cell r="L411" t="str">
            <v>5.1.02.01.01.00
24</v>
          </cell>
          <cell r="M411" t="str">
            <v>06.05.</v>
          </cell>
          <cell r="N411" t="str">
            <v>06.05.08.</v>
          </cell>
          <cell r="O411" t="str">
            <v>Binder Klip  nomor 111</v>
          </cell>
          <cell r="P411" t="str">
            <v>Binder Klip  nomor 111</v>
          </cell>
          <cell r="Q411" t="str">
            <v>Alat Tulis Kantor (ATK)</v>
          </cell>
          <cell r="R411" t="str">
            <v>Binder Clip No 111 (Length 5.0Cm, Width 5.0Cm, Height 5.0Cm, Weight 5Gr)</v>
          </cell>
          <cell r="S411">
            <v>5</v>
          </cell>
          <cell r="T411" t="str">
            <v>kotak</v>
          </cell>
          <cell r="U411">
            <v>11000</v>
          </cell>
          <cell r="V411">
            <v>55000</v>
          </cell>
          <cell r="W411" t="str">
            <v>UD. JOSUA</v>
          </cell>
          <cell r="X411" t="str">
            <v>Gestiwan Zebua</v>
          </cell>
          <cell r="Y411" t="str">
            <v>082166506229</v>
          </cell>
          <cell r="Z411" t="str">
            <v>Jl. Pasir Putih Pasar Telukdalam, Telukdalam Kab. Nias Selatan</v>
          </cell>
          <cell r="AG411">
            <v>5</v>
          </cell>
        </row>
        <row r="412">
          <cell r="A412">
            <v>410</v>
          </cell>
          <cell r="B412" t="str">
            <v>139</v>
          </cell>
          <cell r="C412" t="str">
            <v>139</v>
          </cell>
          <cell r="D412" t="str">
            <v>BPU83</v>
          </cell>
          <cell r="E412">
            <v>411</v>
          </cell>
          <cell r="F412" t="str">
            <v>139</v>
          </cell>
          <cell r="G412">
            <v>45413</v>
          </cell>
          <cell r="H412">
            <v>45413</v>
          </cell>
          <cell r="I412">
            <v>45413</v>
          </cell>
          <cell r="J412">
            <v>45413</v>
          </cell>
          <cell r="K412">
            <v>45415</v>
          </cell>
          <cell r="L412" t="str">
            <v>5.1.02.01.01.00
24</v>
          </cell>
          <cell r="M412" t="str">
            <v>06.05.</v>
          </cell>
          <cell r="N412" t="str">
            <v>06.05.08.</v>
          </cell>
          <cell r="O412" t="str">
            <v>Ballpoint Drawing Pen 0,1 Snowman</v>
          </cell>
          <cell r="P412" t="str">
            <v>Ballpoint Drawing Pen 0,1 Snowman</v>
          </cell>
          <cell r="Q412" t="str">
            <v>Alat Tulis Kantor (ATK)</v>
          </cell>
          <cell r="R412" t="str">
            <v>Ballpoint Drawing Pen 0,1 Snowman (Dimensi, 1cm x 1cm x 1cm. Berat, 50g)</v>
          </cell>
          <cell r="S412">
            <v>1</v>
          </cell>
          <cell r="T412" t="str">
            <v>lusin</v>
          </cell>
          <cell r="U412">
            <v>95000</v>
          </cell>
          <cell r="V412">
            <v>95000</v>
          </cell>
          <cell r="W412" t="str">
            <v>UD. JOSUA</v>
          </cell>
          <cell r="X412" t="str">
            <v>Gestiwan Zebua</v>
          </cell>
          <cell r="Y412" t="str">
            <v>082166506229</v>
          </cell>
          <cell r="Z412" t="str">
            <v>Jl. Pasir Putih Pasar Telukdalam, Telukdalam Kab. Nias Selatan</v>
          </cell>
          <cell r="AG412">
            <v>5</v>
          </cell>
        </row>
        <row r="413">
          <cell r="A413">
            <v>411</v>
          </cell>
          <cell r="B413" t="str">
            <v>139</v>
          </cell>
          <cell r="C413" t="str">
            <v>139</v>
          </cell>
          <cell r="D413" t="str">
            <v>BPU83</v>
          </cell>
          <cell r="E413">
            <v>412</v>
          </cell>
          <cell r="F413" t="str">
            <v>139</v>
          </cell>
          <cell r="G413">
            <v>45413</v>
          </cell>
          <cell r="H413">
            <v>45413</v>
          </cell>
          <cell r="I413">
            <v>45413</v>
          </cell>
          <cell r="J413">
            <v>45413</v>
          </cell>
          <cell r="K413">
            <v>45415</v>
          </cell>
          <cell r="L413" t="str">
            <v>5.1.02.01.01.00
24</v>
          </cell>
          <cell r="M413" t="str">
            <v>06.05.</v>
          </cell>
          <cell r="N413" t="str">
            <v>06.05.08.</v>
          </cell>
          <cell r="O413" t="str">
            <v>Stofmap Transparan tali</v>
          </cell>
          <cell r="P413" t="str">
            <v>Stofmap Transparan tali</v>
          </cell>
          <cell r="Q413" t="str">
            <v>Alat Tulis Kantor (ATK)</v>
          </cell>
          <cell r="R413" t="str">
            <v>Stofmap Transparan Tali (Length 5.0Cm, Width 5.0Cm, Height 5.0Cm, Weight 5Gr)</v>
          </cell>
          <cell r="S413">
            <v>100</v>
          </cell>
          <cell r="T413" t="str">
            <v>buah</v>
          </cell>
          <cell r="U413">
            <v>5500</v>
          </cell>
          <cell r="V413">
            <v>550000</v>
          </cell>
          <cell r="W413" t="str">
            <v>UD. JOSUA</v>
          </cell>
          <cell r="X413" t="str">
            <v>Gestiwan Zebua</v>
          </cell>
          <cell r="Y413" t="str">
            <v>082166506229</v>
          </cell>
          <cell r="Z413" t="str">
            <v>Jl. Pasir Putih Pasar Telukdalam, Telukdalam Kab. Nias Selatan</v>
          </cell>
          <cell r="AG413">
            <v>5</v>
          </cell>
        </row>
        <row r="414">
          <cell r="A414">
            <v>412</v>
          </cell>
          <cell r="B414" t="str">
            <v>139</v>
          </cell>
          <cell r="C414" t="str">
            <v>139</v>
          </cell>
          <cell r="D414" t="str">
            <v>BPU83</v>
          </cell>
          <cell r="E414">
            <v>413</v>
          </cell>
          <cell r="F414" t="str">
            <v>139</v>
          </cell>
          <cell r="G414">
            <v>45413</v>
          </cell>
          <cell r="H414">
            <v>45413</v>
          </cell>
          <cell r="I414">
            <v>45413</v>
          </cell>
          <cell r="J414">
            <v>45413</v>
          </cell>
          <cell r="K414">
            <v>45415</v>
          </cell>
          <cell r="L414" t="str">
            <v>5.1.02.01.01.00
24</v>
          </cell>
          <cell r="M414" t="str">
            <v>06.05.</v>
          </cell>
          <cell r="N414" t="str">
            <v>06.05.08.</v>
          </cell>
          <cell r="O414" t="str">
            <v>Amplop Coklat Merk : GSU Ukuran Folio polos</v>
          </cell>
          <cell r="P414" t="str">
            <v>Amplop Coklat Merk : GSU Ukuran Folio polos</v>
          </cell>
          <cell r="Q414" t="str">
            <v>Alat Tulis Kantor (ATK)</v>
          </cell>
          <cell r="R414" t="str">
            <v>Amplop Coklat GSU Polos (Panjang: 25 cm. Lebar: 5 cm. Tinggi: 35 cm. Berat: 1000 gram)</v>
          </cell>
          <cell r="S414">
            <v>2</v>
          </cell>
          <cell r="T414" t="str">
            <v>bungkus</v>
          </cell>
          <cell r="U414">
            <v>60000</v>
          </cell>
          <cell r="V414">
            <v>120000</v>
          </cell>
          <cell r="W414" t="str">
            <v>UD. JOSUA</v>
          </cell>
          <cell r="X414" t="str">
            <v>Gestiwan Zebua</v>
          </cell>
          <cell r="Y414" t="str">
            <v>082166506229</v>
          </cell>
          <cell r="Z414" t="str">
            <v>Jl. Pasir Putih Pasar Telukdalam, Telukdalam Kab. Nias Selatan</v>
          </cell>
          <cell r="AG414">
            <v>5</v>
          </cell>
        </row>
        <row r="415">
          <cell r="A415">
            <v>413</v>
          </cell>
          <cell r="B415" t="str">
            <v>139</v>
          </cell>
          <cell r="C415" t="str">
            <v>139</v>
          </cell>
          <cell r="D415" t="str">
            <v>BPU83</v>
          </cell>
          <cell r="E415">
            <v>414</v>
          </cell>
          <cell r="F415" t="str">
            <v>139</v>
          </cell>
          <cell r="G415">
            <v>45413</v>
          </cell>
          <cell r="H415">
            <v>45413</v>
          </cell>
          <cell r="I415">
            <v>45413</v>
          </cell>
          <cell r="J415">
            <v>45413</v>
          </cell>
          <cell r="K415">
            <v>45415</v>
          </cell>
          <cell r="L415" t="str">
            <v>5.1.02.01.01.00
24</v>
          </cell>
          <cell r="M415" t="str">
            <v>06.05.</v>
          </cell>
          <cell r="N415" t="str">
            <v>06.05.08.</v>
          </cell>
          <cell r="O415" t="str">
            <v>Stapler HD-10--</v>
          </cell>
          <cell r="P415" t="str">
            <v>Stapler HD-10--</v>
          </cell>
          <cell r="Q415" t="str">
            <v>Alat Tulis Kantor (ATK)</v>
          </cell>
          <cell r="R415" t="str">
            <v>Stapler Hd-10 (Size : 9.1 X 4.2 X 1.8 Cm, Berat. 0.07 Kg. Lebar. 10.0 Cm. Tinggi. 3.5 Cm)</v>
          </cell>
          <cell r="S415">
            <v>2</v>
          </cell>
          <cell r="T415" t="str">
            <v>buah</v>
          </cell>
          <cell r="U415">
            <v>20000</v>
          </cell>
          <cell r="V415">
            <v>40000</v>
          </cell>
          <cell r="W415" t="str">
            <v>UD. JOSUA</v>
          </cell>
          <cell r="X415" t="str">
            <v>Gestiwan Zebua</v>
          </cell>
          <cell r="Y415" t="str">
            <v>082166506229</v>
          </cell>
          <cell r="Z415" t="str">
            <v>Jl. Pasir Putih Pasar Telukdalam, Telukdalam Kab. Nias Selatan</v>
          </cell>
          <cell r="AG415">
            <v>5</v>
          </cell>
        </row>
        <row r="416">
          <cell r="A416">
            <v>414</v>
          </cell>
          <cell r="B416" t="str">
            <v>139</v>
          </cell>
          <cell r="C416" t="str">
            <v>139</v>
          </cell>
          <cell r="D416" t="str">
            <v>BPU83</v>
          </cell>
          <cell r="E416">
            <v>415</v>
          </cell>
          <cell r="F416" t="str">
            <v>139</v>
          </cell>
          <cell r="G416">
            <v>45413</v>
          </cell>
          <cell r="H416">
            <v>45413</v>
          </cell>
          <cell r="I416">
            <v>45413</v>
          </cell>
          <cell r="J416">
            <v>45413</v>
          </cell>
          <cell r="K416">
            <v>45415</v>
          </cell>
          <cell r="L416" t="str">
            <v>5.1.02.01.01.00
24</v>
          </cell>
          <cell r="M416" t="str">
            <v>06.05.</v>
          </cell>
          <cell r="N416" t="str">
            <v>06.05.08.</v>
          </cell>
          <cell r="O416" t="str">
            <v>Kertas Lain-Lain Kertas Buffalo</v>
          </cell>
          <cell r="P416" t="str">
            <v>Kertas Lain-Lain Kertas Buffalo</v>
          </cell>
          <cell r="Q416" t="str">
            <v>Alat Tulis Kantor (ATK)</v>
          </cell>
          <cell r="R416" t="str">
            <v>Kertas Buffalo F4 (Length 21.0Cm, Width 33.0Cm, Height 7.0Cm, Weight 1006Gr)</v>
          </cell>
          <cell r="S416">
            <v>5</v>
          </cell>
          <cell r="T416" t="str">
            <v>bungkus</v>
          </cell>
          <cell r="U416">
            <v>31000</v>
          </cell>
          <cell r="V416">
            <v>155000</v>
          </cell>
          <cell r="W416" t="str">
            <v>UD. JOSUA</v>
          </cell>
          <cell r="X416" t="str">
            <v>Gestiwan Zebua</v>
          </cell>
          <cell r="Y416" t="str">
            <v>082166506229</v>
          </cell>
          <cell r="Z416" t="str">
            <v>Jl. Pasir Putih Pasar Telukdalam, Telukdalam Kab. Nias Selatan</v>
          </cell>
          <cell r="AG416">
            <v>5</v>
          </cell>
        </row>
        <row r="417">
          <cell r="A417">
            <v>415</v>
          </cell>
          <cell r="B417" t="str">
            <v>139</v>
          </cell>
          <cell r="C417" t="str">
            <v>139</v>
          </cell>
          <cell r="D417" t="str">
            <v>BPU83</v>
          </cell>
          <cell r="E417">
            <v>416</v>
          </cell>
          <cell r="F417" t="str">
            <v>139</v>
          </cell>
          <cell r="G417">
            <v>45413</v>
          </cell>
          <cell r="H417">
            <v>45413</v>
          </cell>
          <cell r="I417">
            <v>45413</v>
          </cell>
          <cell r="J417">
            <v>45413</v>
          </cell>
          <cell r="K417">
            <v>45415</v>
          </cell>
          <cell r="L417" t="str">
            <v>5.1.02.01.01.00
24</v>
          </cell>
          <cell r="M417" t="str">
            <v>06.05.</v>
          </cell>
          <cell r="N417" t="str">
            <v>06.05.08.</v>
          </cell>
          <cell r="O417" t="str">
            <v>Baterey Kecil</v>
          </cell>
          <cell r="P417" t="str">
            <v>Baterey Kecil</v>
          </cell>
          <cell r="Q417" t="str">
            <v>Alat Tulis Kantor (ATK)</v>
          </cell>
          <cell r="R417" t="str">
            <v>Baterey Kecil (Type: Aa; Tegangan: 1.5 Volt; Ukuran: 14 X 50 Mm)</v>
          </cell>
          <cell r="S417">
            <v>2</v>
          </cell>
          <cell r="T417" t="str">
            <v>pasang</v>
          </cell>
          <cell r="U417">
            <v>20000</v>
          </cell>
          <cell r="V417">
            <v>40000</v>
          </cell>
          <cell r="W417" t="str">
            <v>UD. JOSUA</v>
          </cell>
          <cell r="X417" t="str">
            <v>Gestiwan Zebua</v>
          </cell>
          <cell r="Y417" t="str">
            <v>082166506229</v>
          </cell>
          <cell r="Z417" t="str">
            <v>Jl. Pasir Putih Pasar Telukdalam, Telukdalam Kab. Nias Selatan</v>
          </cell>
          <cell r="AG417">
            <v>5</v>
          </cell>
        </row>
        <row r="418">
          <cell r="A418">
            <v>416</v>
          </cell>
          <cell r="B418" t="str">
            <v>139</v>
          </cell>
          <cell r="C418" t="str">
            <v>139</v>
          </cell>
          <cell r="D418" t="str">
            <v>BPU83</v>
          </cell>
          <cell r="E418">
            <v>417</v>
          </cell>
          <cell r="F418" t="str">
            <v>139</v>
          </cell>
          <cell r="G418">
            <v>45413</v>
          </cell>
          <cell r="H418">
            <v>45413</v>
          </cell>
          <cell r="I418">
            <v>45413</v>
          </cell>
          <cell r="J418">
            <v>45413</v>
          </cell>
          <cell r="K418">
            <v>45415</v>
          </cell>
          <cell r="L418" t="str">
            <v>5.1.02.01.01.00
24</v>
          </cell>
          <cell r="M418" t="str">
            <v>06.05.</v>
          </cell>
          <cell r="N418" t="str">
            <v>06.05.08.</v>
          </cell>
          <cell r="O418" t="str">
            <v>Tinta Printer Canon 741 Warna-741 Warna</v>
          </cell>
          <cell r="P418" t="str">
            <v>Tinta Printer Canon 741 Warna-741 Warna</v>
          </cell>
          <cell r="Q418" t="str">
            <v>Alat Tulis Kantor (ATK)</v>
          </cell>
          <cell r="R418" t="str">
            <v>Tinta Printer Canon Aiflo Warna (Length 5.0Cm, Width 5.0Cm, Height 5.0Cm, Weight 5Gr)</v>
          </cell>
          <cell r="S418">
            <v>12</v>
          </cell>
          <cell r="T418" t="str">
            <v>botol</v>
          </cell>
          <cell r="U418">
            <v>33000</v>
          </cell>
          <cell r="V418">
            <v>396000</v>
          </cell>
          <cell r="W418" t="str">
            <v>UD. JOSUA</v>
          </cell>
          <cell r="X418" t="str">
            <v>Gestiwan Zebua</v>
          </cell>
          <cell r="Y418" t="str">
            <v>082166506229</v>
          </cell>
          <cell r="Z418" t="str">
            <v>Jl. Pasir Putih Pasar Telukdalam, Telukdalam Kab. Nias Selatan</v>
          </cell>
          <cell r="AG418">
            <v>5</v>
          </cell>
        </row>
        <row r="419">
          <cell r="A419">
            <v>417</v>
          </cell>
          <cell r="B419" t="str">
            <v>139</v>
          </cell>
          <cell r="C419" t="str">
            <v>139</v>
          </cell>
          <cell r="D419" t="str">
            <v>BPU83</v>
          </cell>
          <cell r="E419">
            <v>418</v>
          </cell>
          <cell r="F419" t="str">
            <v>139</v>
          </cell>
          <cell r="G419">
            <v>45413</v>
          </cell>
          <cell r="H419">
            <v>45413</v>
          </cell>
          <cell r="I419">
            <v>45413</v>
          </cell>
          <cell r="J419">
            <v>45413</v>
          </cell>
          <cell r="K419">
            <v>45415</v>
          </cell>
          <cell r="L419" t="str">
            <v>5.1.02.01.01.00
24</v>
          </cell>
          <cell r="M419" t="str">
            <v>06.05.</v>
          </cell>
          <cell r="N419" t="str">
            <v>06.05.08.</v>
          </cell>
          <cell r="O419" t="str">
            <v>Lakban Bening</v>
          </cell>
          <cell r="P419" t="str">
            <v>Lakban Bening Besar</v>
          </cell>
          <cell r="Q419" t="str">
            <v>Alat Tulis Kantor (ATK)</v>
          </cell>
          <cell r="R419" t="str">
            <v>Lakban Bening Besar (Length 5.0Cm, Width 5.0Cm, Height 5.0Cm, Weight 5Gr)</v>
          </cell>
          <cell r="S419">
            <v>5</v>
          </cell>
          <cell r="T419" t="str">
            <v>buah</v>
          </cell>
          <cell r="U419">
            <v>15000</v>
          </cell>
          <cell r="V419">
            <v>75000</v>
          </cell>
          <cell r="W419" t="str">
            <v>UD. JOSUA</v>
          </cell>
          <cell r="X419" t="str">
            <v>Gestiwan Zebua</v>
          </cell>
          <cell r="Y419" t="str">
            <v>082166506229</v>
          </cell>
          <cell r="Z419" t="str">
            <v>Jl. Pasir Putih Pasar Telukdalam, Telukdalam Kab. Nias Selatan</v>
          </cell>
          <cell r="AG419">
            <v>5</v>
          </cell>
        </row>
        <row r="420">
          <cell r="A420">
            <v>418</v>
          </cell>
          <cell r="B420" t="str">
            <v>139</v>
          </cell>
          <cell r="C420" t="str">
            <v>139</v>
          </cell>
          <cell r="D420" t="str">
            <v>BPU83</v>
          </cell>
          <cell r="E420">
            <v>419</v>
          </cell>
          <cell r="F420" t="str">
            <v>139</v>
          </cell>
          <cell r="G420">
            <v>45413</v>
          </cell>
          <cell r="H420">
            <v>45413</v>
          </cell>
          <cell r="I420">
            <v>45413</v>
          </cell>
          <cell r="J420">
            <v>45413</v>
          </cell>
          <cell r="K420">
            <v>45415</v>
          </cell>
          <cell r="L420" t="str">
            <v>5.1.02.01.01.00
24</v>
          </cell>
          <cell r="M420" t="str">
            <v>06.05.</v>
          </cell>
          <cell r="N420" t="str">
            <v>06.05.08.</v>
          </cell>
          <cell r="O420" t="str">
            <v>Plastik Mika</v>
          </cell>
          <cell r="P420" t="str">
            <v>Plastik Mika</v>
          </cell>
          <cell r="Q420" t="str">
            <v>Alat Tulis Kantor (ATK)</v>
          </cell>
          <cell r="R420" t="str">
            <v>Plastik Mika Jilid F4 (Length 21.0Cm, Width 33.0Cm, Height 7.0Cm, Weight 548Gr)</v>
          </cell>
          <cell r="S420">
            <v>5</v>
          </cell>
          <cell r="T420" t="str">
            <v>bungkus</v>
          </cell>
          <cell r="U420">
            <v>60000</v>
          </cell>
          <cell r="V420">
            <v>300000</v>
          </cell>
          <cell r="W420" t="str">
            <v>UD. JOSUA</v>
          </cell>
          <cell r="X420" t="str">
            <v>Gestiwan Zebua</v>
          </cell>
          <cell r="Y420" t="str">
            <v>082166506229</v>
          </cell>
          <cell r="Z420" t="str">
            <v>Jl. Pasir Putih Pasar Telukdalam, Telukdalam Kab. Nias Selatan</v>
          </cell>
          <cell r="AG420">
            <v>5</v>
          </cell>
        </row>
        <row r="421">
          <cell r="A421">
            <v>419</v>
          </cell>
          <cell r="B421" t="str">
            <v>139</v>
          </cell>
          <cell r="C421" t="str">
            <v>139</v>
          </cell>
          <cell r="D421" t="str">
            <v>BPU83</v>
          </cell>
          <cell r="E421">
            <v>420</v>
          </cell>
          <cell r="F421" t="str">
            <v>139</v>
          </cell>
          <cell r="G421">
            <v>45413</v>
          </cell>
          <cell r="H421">
            <v>45413</v>
          </cell>
          <cell r="I421">
            <v>45413</v>
          </cell>
          <cell r="J421">
            <v>45413</v>
          </cell>
          <cell r="K421">
            <v>45415</v>
          </cell>
          <cell r="L421" t="str">
            <v>5.1.02.01.01.00
24</v>
          </cell>
          <cell r="M421" t="str">
            <v>06.05.</v>
          </cell>
          <cell r="N421" t="str">
            <v>06.05.08.</v>
          </cell>
          <cell r="O421" t="str">
            <v>Binder Klip  nomor 107</v>
          </cell>
          <cell r="P421" t="str">
            <v>Binder Klip  nomor 107</v>
          </cell>
          <cell r="Q421" t="str">
            <v>Alat Tulis Kantor (ATK)</v>
          </cell>
          <cell r="R421" t="str">
            <v>Binder Klip 107 (Merk : Joyko. Size : 40 x 19 x 17 mm. Berat : 0.1 kg.)</v>
          </cell>
          <cell r="S421">
            <v>5</v>
          </cell>
          <cell r="T421" t="str">
            <v>kotak</v>
          </cell>
          <cell r="U421">
            <v>7500</v>
          </cell>
          <cell r="V421">
            <v>37500</v>
          </cell>
          <cell r="W421" t="str">
            <v>UD. JOSUA</v>
          </cell>
          <cell r="X421" t="str">
            <v>Gestiwan Zebua</v>
          </cell>
          <cell r="Y421" t="str">
            <v>082166506229</v>
          </cell>
          <cell r="Z421" t="str">
            <v>Jl. Pasir Putih Pasar Telukdalam, Telukdalam Kab. Nias Selatan</v>
          </cell>
          <cell r="AG421">
            <v>5</v>
          </cell>
        </row>
        <row r="422">
          <cell r="A422">
            <v>420</v>
          </cell>
          <cell r="B422" t="str">
            <v>139</v>
          </cell>
          <cell r="C422" t="str">
            <v>139</v>
          </cell>
          <cell r="D422" t="str">
            <v>BPU83</v>
          </cell>
          <cell r="E422">
            <v>421</v>
          </cell>
          <cell r="F422" t="str">
            <v>139</v>
          </cell>
          <cell r="G422">
            <v>45413</v>
          </cell>
          <cell r="H422">
            <v>45413</v>
          </cell>
          <cell r="I422">
            <v>45413</v>
          </cell>
          <cell r="J422">
            <v>45413</v>
          </cell>
          <cell r="K422">
            <v>45415</v>
          </cell>
          <cell r="L422" t="str">
            <v>5.1.02.01.01.00
24</v>
          </cell>
          <cell r="M422" t="str">
            <v>06.05.</v>
          </cell>
          <cell r="N422" t="str">
            <v>06.05.08.</v>
          </cell>
          <cell r="O422" t="str">
            <v>Amplop Coklat Merk : Garda Ukuran Cabinet</v>
          </cell>
          <cell r="P422" t="str">
            <v>Amplop Coklat Merk : Garda Ukuran Cabinet</v>
          </cell>
          <cell r="Q422" t="str">
            <v>Alat Tulis Kantor (ATK)</v>
          </cell>
          <cell r="R422" t="str">
            <v>Amplop Coklat (Merk : Garda Ukuran Cabinet. Ukuran : 110 x 240 mm. Isi : 100 lbr)</v>
          </cell>
          <cell r="S422">
            <v>3</v>
          </cell>
          <cell r="T422" t="str">
            <v>bungkus</v>
          </cell>
          <cell r="U422">
            <v>23000</v>
          </cell>
          <cell r="V422">
            <v>69000</v>
          </cell>
          <cell r="W422" t="str">
            <v>UD. JOSUA</v>
          </cell>
          <cell r="X422" t="str">
            <v>Gestiwan Zebua</v>
          </cell>
          <cell r="Y422" t="str">
            <v>082166506229</v>
          </cell>
          <cell r="Z422" t="str">
            <v>Jl. Pasir Putih Pasar Telukdalam, Telukdalam Kab. Nias Selatan</v>
          </cell>
          <cell r="AG422">
            <v>5</v>
          </cell>
        </row>
        <row r="423">
          <cell r="A423">
            <v>421</v>
          </cell>
          <cell r="B423" t="str">
            <v>139</v>
          </cell>
          <cell r="C423" t="str">
            <v>139</v>
          </cell>
          <cell r="D423" t="str">
            <v>BPU83</v>
          </cell>
          <cell r="E423">
            <v>422</v>
          </cell>
          <cell r="F423" t="str">
            <v>139</v>
          </cell>
          <cell r="G423">
            <v>45413</v>
          </cell>
          <cell r="H423">
            <v>45413</v>
          </cell>
          <cell r="I423">
            <v>45413</v>
          </cell>
          <cell r="J423">
            <v>45413</v>
          </cell>
          <cell r="K423">
            <v>45415</v>
          </cell>
          <cell r="L423" t="str">
            <v>5.1.02.01.01.00
24</v>
          </cell>
          <cell r="M423" t="str">
            <v>06.05.</v>
          </cell>
          <cell r="N423" t="str">
            <v>06.05.08.</v>
          </cell>
          <cell r="O423" t="str">
            <v>Kertas Label</v>
          </cell>
          <cell r="P423" t="str">
            <v>Kertas Label</v>
          </cell>
          <cell r="Q423" t="str">
            <v>Alat Tulis Kantor (ATK)</v>
          </cell>
          <cell r="R423" t="str">
            <v>Kertas Label (Dimensi, 14cm x 20.5cm x 0.2cm. Berat, 50g. Kertas Sticker label kecil panjang no 99 (0,5cm x 3,5cm))</v>
          </cell>
          <cell r="S423">
            <v>5</v>
          </cell>
          <cell r="T423" t="str">
            <v>lembar</v>
          </cell>
          <cell r="U423">
            <v>25000</v>
          </cell>
          <cell r="V423">
            <v>125000</v>
          </cell>
          <cell r="W423" t="str">
            <v>UD. JOSUA</v>
          </cell>
          <cell r="X423" t="str">
            <v>Gestiwan Zebua</v>
          </cell>
          <cell r="Y423" t="str">
            <v>082166506229</v>
          </cell>
          <cell r="Z423" t="str">
            <v>Jl. Pasir Putih Pasar Telukdalam, Telukdalam Kab. Nias Selatan</v>
          </cell>
          <cell r="AG423">
            <v>5</v>
          </cell>
        </row>
        <row r="424">
          <cell r="A424">
            <v>422</v>
          </cell>
          <cell r="B424" t="str">
            <v>139</v>
          </cell>
          <cell r="C424" t="str">
            <v>139</v>
          </cell>
          <cell r="D424" t="str">
            <v>BPU83</v>
          </cell>
          <cell r="E424">
            <v>423</v>
          </cell>
          <cell r="F424" t="str">
            <v>139</v>
          </cell>
          <cell r="G424">
            <v>45413</v>
          </cell>
          <cell r="H424">
            <v>45413</v>
          </cell>
          <cell r="I424">
            <v>45413</v>
          </cell>
          <cell r="J424">
            <v>45413</v>
          </cell>
          <cell r="K424">
            <v>45415</v>
          </cell>
          <cell r="L424" t="str">
            <v>5.1.02.01.01.00
24</v>
          </cell>
          <cell r="M424" t="str">
            <v>06.05.</v>
          </cell>
          <cell r="N424" t="str">
            <v>06.05.08.</v>
          </cell>
          <cell r="O424" t="str">
            <v>Spidol Refil Spidol White Board Snowman</v>
          </cell>
          <cell r="P424" t="str">
            <v>Spidol Refil Spidol White Board Snowman</v>
          </cell>
          <cell r="Q424" t="str">
            <v>Alat Tulis Kantor (ATK)</v>
          </cell>
          <cell r="R424" t="str">
            <v>Spidol Refil Spidol White Board Snowman (Panjang. : 10 Cm ; Lebar. : 5 Cm ; Tinggi. : 7 Cm ; Berat. : 500 Gr)</v>
          </cell>
          <cell r="S424">
            <v>10</v>
          </cell>
          <cell r="T424" t="str">
            <v>buah</v>
          </cell>
          <cell r="U424">
            <v>20900</v>
          </cell>
          <cell r="V424">
            <v>209000</v>
          </cell>
          <cell r="W424" t="str">
            <v>UD. JOSUA</v>
          </cell>
          <cell r="X424" t="str">
            <v>Gestiwan Zebua</v>
          </cell>
          <cell r="Y424" t="str">
            <v>082166506229</v>
          </cell>
          <cell r="Z424" t="str">
            <v>Jl. Pasir Putih Pasar Telukdalam, Telukdalam Kab. Nias Selatan</v>
          </cell>
          <cell r="AG424">
            <v>5</v>
          </cell>
        </row>
        <row r="425">
          <cell r="A425">
            <v>423</v>
          </cell>
          <cell r="B425" t="str">
            <v>139</v>
          </cell>
          <cell r="C425" t="str">
            <v>139</v>
          </cell>
          <cell r="D425" t="str">
            <v>BPU83</v>
          </cell>
          <cell r="E425">
            <v>424</v>
          </cell>
          <cell r="F425" t="str">
            <v>139</v>
          </cell>
          <cell r="G425">
            <v>45413</v>
          </cell>
          <cell r="H425">
            <v>45413</v>
          </cell>
          <cell r="I425">
            <v>45413</v>
          </cell>
          <cell r="J425">
            <v>45413</v>
          </cell>
          <cell r="K425">
            <v>45415</v>
          </cell>
          <cell r="L425" t="str">
            <v>5.1.02.01.01.00
24</v>
          </cell>
          <cell r="M425" t="str">
            <v>06.05.</v>
          </cell>
          <cell r="N425" t="str">
            <v>06.05.08.</v>
          </cell>
          <cell r="O425" t="str">
            <v>Binder Klip Merk : KENKO nomor 105</v>
          </cell>
          <cell r="P425" t="str">
            <v>Binder Klip Merk : KENKO nomor 105</v>
          </cell>
          <cell r="Q425" t="str">
            <v>Alat Tulis Kantor (ATK)</v>
          </cell>
          <cell r="R425" t="str">
            <v>Binder Klip (Merk : Kenko - Bahan : Besi - Ukuran : 15 x 25 mm (No. 105) - Isi : 12 Pcs - Berat : 35 Gram)</v>
          </cell>
          <cell r="S425">
            <v>2</v>
          </cell>
          <cell r="T425" t="str">
            <v>kotak</v>
          </cell>
          <cell r="U425">
            <v>5000</v>
          </cell>
          <cell r="V425">
            <v>10000</v>
          </cell>
          <cell r="W425" t="str">
            <v>UD. JOSUA</v>
          </cell>
          <cell r="X425" t="str">
            <v>Gestiwan Zebua</v>
          </cell>
          <cell r="Y425" t="str">
            <v>082166506229</v>
          </cell>
          <cell r="Z425" t="str">
            <v>Jl. Pasir Putih Pasar Telukdalam, Telukdalam Kab. Nias Selatan</v>
          </cell>
          <cell r="AG425">
            <v>5</v>
          </cell>
        </row>
        <row r="426">
          <cell r="A426">
            <v>424</v>
          </cell>
          <cell r="B426" t="str">
            <v>139</v>
          </cell>
          <cell r="C426" t="str">
            <v>139</v>
          </cell>
          <cell r="D426" t="str">
            <v>BPU83</v>
          </cell>
          <cell r="E426">
            <v>425</v>
          </cell>
          <cell r="F426" t="str">
            <v>139</v>
          </cell>
          <cell r="G426">
            <v>45413</v>
          </cell>
          <cell r="H426">
            <v>45413</v>
          </cell>
          <cell r="I426">
            <v>45413</v>
          </cell>
          <cell r="J426">
            <v>45413</v>
          </cell>
          <cell r="K426">
            <v>45415</v>
          </cell>
          <cell r="L426" t="str">
            <v>5.1.02.01.01.00
24</v>
          </cell>
          <cell r="M426" t="str">
            <v>06.05.</v>
          </cell>
          <cell r="N426" t="str">
            <v>06.05.08.</v>
          </cell>
          <cell r="O426" t="str">
            <v>Ballpoint Pilot G2</v>
          </cell>
          <cell r="P426" t="str">
            <v>Ballpoint Pilot G2</v>
          </cell>
          <cell r="Q426" t="str">
            <v>Alat Tulis Kantor (ATK)</v>
          </cell>
          <cell r="R426" t="str">
            <v>Ballpoint Pilot G2 (Length 5.0Cm, Width 5.0Cm, Height 5.0Cm, Weight 5Gr)</v>
          </cell>
          <cell r="S426">
            <v>1</v>
          </cell>
          <cell r="T426" t="str">
            <v>lusin</v>
          </cell>
          <cell r="U426">
            <v>235000</v>
          </cell>
          <cell r="V426">
            <v>235000</v>
          </cell>
          <cell r="W426" t="str">
            <v>UD. JOSUA</v>
          </cell>
          <cell r="X426" t="str">
            <v>Gestiwan Zebua</v>
          </cell>
          <cell r="Y426" t="str">
            <v>082166506229</v>
          </cell>
          <cell r="Z426" t="str">
            <v>Jl. Pasir Putih Pasar Telukdalam, Telukdalam Kab. Nias Selatan</v>
          </cell>
          <cell r="AG426">
            <v>5</v>
          </cell>
        </row>
        <row r="427">
          <cell r="A427">
            <v>425</v>
          </cell>
          <cell r="B427" t="str">
            <v>139</v>
          </cell>
          <cell r="C427" t="str">
            <v>139</v>
          </cell>
          <cell r="D427" t="str">
            <v>BPU83</v>
          </cell>
          <cell r="E427">
            <v>426</v>
          </cell>
          <cell r="F427" t="str">
            <v>139</v>
          </cell>
          <cell r="G427">
            <v>45413</v>
          </cell>
          <cell r="H427">
            <v>45413</v>
          </cell>
          <cell r="I427">
            <v>45413</v>
          </cell>
          <cell r="J427">
            <v>45413</v>
          </cell>
          <cell r="K427">
            <v>45415</v>
          </cell>
          <cell r="L427" t="str">
            <v>5.1.02.01.01.00
24</v>
          </cell>
          <cell r="M427" t="str">
            <v>06.05.</v>
          </cell>
          <cell r="N427" t="str">
            <v>06.05.08.</v>
          </cell>
          <cell r="O427" t="str">
            <v>Ballpoint Boldiner Standar</v>
          </cell>
          <cell r="P427" t="str">
            <v>Ballpoint Boldiner Standar</v>
          </cell>
          <cell r="Q427" t="str">
            <v>Alat Tulis Kantor (ATK)</v>
          </cell>
          <cell r="R427" t="str">
            <v xml:space="preserve">Ballpoint Boldiner Standar  (Satuan. 300 Gram ; Dimensi Ukuran. 15X5X7.5Cm. (Berat Volume: 0.09Kg) </v>
          </cell>
          <cell r="S427">
            <v>2</v>
          </cell>
          <cell r="T427" t="str">
            <v>lusin</v>
          </cell>
          <cell r="U427">
            <v>225000</v>
          </cell>
          <cell r="V427">
            <v>450000</v>
          </cell>
          <cell r="W427" t="str">
            <v>UD. JOSUA</v>
          </cell>
          <cell r="X427" t="str">
            <v>Gestiwan Zebua</v>
          </cell>
          <cell r="Y427" t="str">
            <v>082166506229</v>
          </cell>
          <cell r="Z427" t="str">
            <v>Jl. Pasir Putih Pasar Telukdalam, Telukdalam Kab. Nias Selatan</v>
          </cell>
          <cell r="AG427">
            <v>5</v>
          </cell>
        </row>
        <row r="428">
          <cell r="A428">
            <v>426</v>
          </cell>
          <cell r="B428" t="str">
            <v>139</v>
          </cell>
          <cell r="C428" t="str">
            <v>139</v>
          </cell>
          <cell r="D428" t="str">
            <v>BPU83</v>
          </cell>
          <cell r="E428">
            <v>427</v>
          </cell>
          <cell r="F428" t="str">
            <v>139</v>
          </cell>
          <cell r="G428">
            <v>45413</v>
          </cell>
          <cell r="H428">
            <v>45413</v>
          </cell>
          <cell r="I428">
            <v>45413</v>
          </cell>
          <cell r="J428">
            <v>45413</v>
          </cell>
          <cell r="K428">
            <v>45415</v>
          </cell>
          <cell r="L428" t="str">
            <v>5.1.02.01.01.00
24</v>
          </cell>
          <cell r="M428" t="str">
            <v>06.05.</v>
          </cell>
          <cell r="N428" t="str">
            <v>06.05.08.</v>
          </cell>
          <cell r="O428" t="str">
            <v>C. Tinta Printer EPSON Tinta Printer Epson Blue</v>
          </cell>
          <cell r="P428" t="str">
            <v>C. Tinta Printer EPSON Tinta Printer Epson Blue</v>
          </cell>
          <cell r="Q428" t="str">
            <v>Alat Tulis Kantor (ATK)</v>
          </cell>
          <cell r="R428" t="str">
            <v>Tinta Printer Epson 664 Biru (Length 5.0Cm, Width 5.0Cm, Height 5.0Cm, Weight 5Gr)</v>
          </cell>
          <cell r="S428">
            <v>4</v>
          </cell>
          <cell r="T428" t="str">
            <v>botol</v>
          </cell>
          <cell r="U428">
            <v>110000</v>
          </cell>
          <cell r="V428">
            <v>440000</v>
          </cell>
          <cell r="W428" t="str">
            <v>UD. JOSUA</v>
          </cell>
          <cell r="X428" t="str">
            <v>Gestiwan Zebua</v>
          </cell>
          <cell r="Y428" t="str">
            <v>082166506229</v>
          </cell>
          <cell r="Z428" t="str">
            <v>Jl. Pasir Putih Pasar Telukdalam, Telukdalam Kab. Nias Selatan</v>
          </cell>
          <cell r="AG428">
            <v>5</v>
          </cell>
        </row>
        <row r="429">
          <cell r="A429">
            <v>427</v>
          </cell>
          <cell r="B429" t="str">
            <v>139</v>
          </cell>
          <cell r="C429" t="str">
            <v>139</v>
          </cell>
          <cell r="D429" t="str">
            <v>BPU83</v>
          </cell>
          <cell r="E429">
            <v>428</v>
          </cell>
          <cell r="F429" t="str">
            <v>139</v>
          </cell>
          <cell r="G429">
            <v>45413</v>
          </cell>
          <cell r="H429">
            <v>45413</v>
          </cell>
          <cell r="I429">
            <v>45413</v>
          </cell>
          <cell r="J429">
            <v>45413</v>
          </cell>
          <cell r="K429">
            <v>45415</v>
          </cell>
          <cell r="L429" t="str">
            <v>5.1.02.01.01.00
24</v>
          </cell>
          <cell r="M429" t="str">
            <v>06.05.</v>
          </cell>
          <cell r="N429" t="str">
            <v>06.05.08.</v>
          </cell>
          <cell r="O429" t="str">
            <v>Map Binder</v>
          </cell>
          <cell r="P429" t="str">
            <v>Map Binder</v>
          </cell>
          <cell r="Q429" t="str">
            <v>Alat Tulis Kantor (ATK)</v>
          </cell>
          <cell r="R429" t="str">
            <v>Map Binder (Length 5.0Cm, Width 5.0Cm, Height 5.0Cm, Weight 5Gr)</v>
          </cell>
          <cell r="S429">
            <v>12</v>
          </cell>
          <cell r="T429" t="str">
            <v>buah</v>
          </cell>
          <cell r="U429">
            <v>35500</v>
          </cell>
          <cell r="V429">
            <v>426000</v>
          </cell>
          <cell r="W429" t="str">
            <v>UD. JOSUA</v>
          </cell>
          <cell r="X429" t="str">
            <v>Gestiwan Zebua</v>
          </cell>
          <cell r="Y429" t="str">
            <v>082166506229</v>
          </cell>
          <cell r="Z429" t="str">
            <v>Jl. Pasir Putih Pasar Telukdalam, Telukdalam Kab. Nias Selatan</v>
          </cell>
          <cell r="AG429">
            <v>5</v>
          </cell>
        </row>
        <row r="430">
          <cell r="A430">
            <v>428</v>
          </cell>
          <cell r="B430" t="str">
            <v>139</v>
          </cell>
          <cell r="C430" t="str">
            <v>139</v>
          </cell>
          <cell r="D430" t="str">
            <v>BPU83</v>
          </cell>
          <cell r="E430">
            <v>429</v>
          </cell>
          <cell r="F430" t="str">
            <v>139</v>
          </cell>
          <cell r="G430">
            <v>45413</v>
          </cell>
          <cell r="H430">
            <v>45413</v>
          </cell>
          <cell r="I430">
            <v>45413</v>
          </cell>
          <cell r="J430">
            <v>45413</v>
          </cell>
          <cell r="K430">
            <v>45415</v>
          </cell>
          <cell r="L430" t="str">
            <v>5.1.02.01.01.00
24</v>
          </cell>
          <cell r="M430" t="str">
            <v>06.05.</v>
          </cell>
          <cell r="N430" t="str">
            <v>06.05.08.</v>
          </cell>
          <cell r="O430" t="str">
            <v>Stapler Stapler No, 50 MAX</v>
          </cell>
          <cell r="P430" t="str">
            <v>Stapler Stapler No, 50 MAX</v>
          </cell>
          <cell r="Q430" t="str">
            <v>Alat Tulis Kantor (ATK)</v>
          </cell>
          <cell r="R430" t="str">
            <v>Stapler 50 (Length 5.0Cm, Width 5.0Cm, Height 5.0Cm, Weight 5Gr)</v>
          </cell>
          <cell r="S430">
            <v>2</v>
          </cell>
          <cell r="T430" t="str">
            <v>buah</v>
          </cell>
          <cell r="U430">
            <v>25000</v>
          </cell>
          <cell r="V430">
            <v>50000</v>
          </cell>
          <cell r="W430" t="str">
            <v>UD. JOSUA</v>
          </cell>
          <cell r="X430" t="str">
            <v>Gestiwan Zebua</v>
          </cell>
          <cell r="Y430" t="str">
            <v>082166506229</v>
          </cell>
          <cell r="Z430" t="str">
            <v>Jl. Pasir Putih Pasar Telukdalam, Telukdalam Kab. Nias Selatan</v>
          </cell>
          <cell r="AG430">
            <v>5</v>
          </cell>
        </row>
        <row r="431">
          <cell r="A431">
            <v>429</v>
          </cell>
          <cell r="B431" t="str">
            <v>139</v>
          </cell>
          <cell r="C431" t="str">
            <v>139</v>
          </cell>
          <cell r="D431" t="str">
            <v>BPU83</v>
          </cell>
          <cell r="E431">
            <v>430</v>
          </cell>
          <cell r="F431" t="str">
            <v>139</v>
          </cell>
          <cell r="G431">
            <v>45413</v>
          </cell>
          <cell r="H431">
            <v>45413</v>
          </cell>
          <cell r="I431">
            <v>45413</v>
          </cell>
          <cell r="J431">
            <v>45413</v>
          </cell>
          <cell r="K431">
            <v>45415</v>
          </cell>
          <cell r="L431" t="str">
            <v>5.1.02.01.01.00
24</v>
          </cell>
          <cell r="M431" t="str">
            <v>06.05.</v>
          </cell>
          <cell r="N431" t="str">
            <v>06.05.08.</v>
          </cell>
          <cell r="O431" t="str">
            <v>Amplop Coklat Merk : GSU Ukuran : 1/2 folio, bergaris</v>
          </cell>
          <cell r="P431" t="str">
            <v>Amplop Coklat Merk : GSU Ukuran : 1/2 folio, bergaris</v>
          </cell>
          <cell r="Q431" t="str">
            <v>Alat Tulis Kantor (ATK)</v>
          </cell>
          <cell r="R431" t="str">
            <v>Amplop Coklat (Merk : GSU. Ukuran: 1/2 Folio. Isi: 100 Lbr)</v>
          </cell>
          <cell r="S431">
            <v>1</v>
          </cell>
          <cell r="T431" t="str">
            <v>bungkus</v>
          </cell>
          <cell r="U431">
            <v>45000</v>
          </cell>
          <cell r="V431">
            <v>45000</v>
          </cell>
          <cell r="W431" t="str">
            <v>UD. JOSUA</v>
          </cell>
          <cell r="X431" t="str">
            <v>Gestiwan Zebua</v>
          </cell>
          <cell r="Y431" t="str">
            <v>082166506229</v>
          </cell>
          <cell r="Z431" t="str">
            <v>Jl. Pasir Putih Pasar Telukdalam, Telukdalam Kab. Nias Selatan</v>
          </cell>
          <cell r="AG431">
            <v>5</v>
          </cell>
        </row>
        <row r="432">
          <cell r="A432">
            <v>430</v>
          </cell>
          <cell r="B432" t="str">
            <v>139</v>
          </cell>
          <cell r="C432" t="str">
            <v>139</v>
          </cell>
          <cell r="D432" t="str">
            <v>BPU83</v>
          </cell>
          <cell r="E432">
            <v>431</v>
          </cell>
          <cell r="F432" t="str">
            <v>139</v>
          </cell>
          <cell r="G432">
            <v>45413</v>
          </cell>
          <cell r="H432">
            <v>45413</v>
          </cell>
          <cell r="I432">
            <v>45413</v>
          </cell>
          <cell r="J432">
            <v>45413</v>
          </cell>
          <cell r="K432">
            <v>45415</v>
          </cell>
          <cell r="L432" t="str">
            <v>5.1.02.01.01.00
24</v>
          </cell>
          <cell r="M432" t="str">
            <v>06.05.</v>
          </cell>
          <cell r="N432" t="str">
            <v>06.05.08.</v>
          </cell>
          <cell r="O432" t="str">
            <v>Lakban Hitam--</v>
          </cell>
          <cell r="P432" t="str">
            <v>Lakban Hitam--</v>
          </cell>
          <cell r="Q432" t="str">
            <v>Alat Tulis Kantor (ATK)</v>
          </cell>
          <cell r="R432" t="str">
            <v>Lakban Hitam (Length 5.0Cm, Width 5.0Cm, Height 5.0Cm, Weight 5Gr)</v>
          </cell>
          <cell r="S432">
            <v>5</v>
          </cell>
          <cell r="T432" t="str">
            <v>buah</v>
          </cell>
          <cell r="U432">
            <v>15500</v>
          </cell>
          <cell r="V432">
            <v>77500</v>
          </cell>
          <cell r="W432" t="str">
            <v>UD. JOSUA</v>
          </cell>
          <cell r="X432" t="str">
            <v>Gestiwan Zebua</v>
          </cell>
          <cell r="Y432" t="str">
            <v>082166506229</v>
          </cell>
          <cell r="Z432" t="str">
            <v>Jl. Pasir Putih Pasar Telukdalam, Telukdalam Kab. Nias Selatan</v>
          </cell>
          <cell r="AG432">
            <v>5</v>
          </cell>
        </row>
        <row r="433">
          <cell r="A433">
            <v>431</v>
          </cell>
          <cell r="B433" t="str">
            <v>139</v>
          </cell>
          <cell r="C433" t="str">
            <v>139</v>
          </cell>
          <cell r="D433" t="str">
            <v>BPU83</v>
          </cell>
          <cell r="E433">
            <v>432</v>
          </cell>
          <cell r="F433" t="str">
            <v>139</v>
          </cell>
          <cell r="G433">
            <v>45413</v>
          </cell>
          <cell r="H433">
            <v>45413</v>
          </cell>
          <cell r="I433">
            <v>45413</v>
          </cell>
          <cell r="J433">
            <v>45413</v>
          </cell>
          <cell r="K433">
            <v>45415</v>
          </cell>
          <cell r="L433" t="str">
            <v>5.1.02.01.01.00
24</v>
          </cell>
          <cell r="M433" t="str">
            <v>06.05.</v>
          </cell>
          <cell r="N433" t="str">
            <v>06.05.08.</v>
          </cell>
          <cell r="O433" t="str">
            <v>Paper Clip No 1  Paper Clip No 3</v>
          </cell>
          <cell r="P433" t="str">
            <v>Paper Clip No 1  Paper Clip No 3</v>
          </cell>
          <cell r="Q433" t="str">
            <v>Alat Tulis Kantor (ATK)</v>
          </cell>
          <cell r="R433" t="str">
            <v>Paper Clip No 3 (Length 5.0Cm, Width 5.0Cm, Height 5.0Cm, Weight 5Gr)</v>
          </cell>
          <cell r="S433">
            <v>5</v>
          </cell>
          <cell r="T433" t="str">
            <v>kotak</v>
          </cell>
          <cell r="U433">
            <v>6000</v>
          </cell>
          <cell r="V433">
            <v>30000</v>
          </cell>
          <cell r="W433" t="str">
            <v>UD. JOSUA</v>
          </cell>
          <cell r="X433" t="str">
            <v>Gestiwan Zebua</v>
          </cell>
          <cell r="Y433" t="str">
            <v>082166506229</v>
          </cell>
          <cell r="Z433" t="str">
            <v>Jl. Pasir Putih Pasar Telukdalam, Telukdalam Kab. Nias Selatan</v>
          </cell>
          <cell r="AG433">
            <v>5</v>
          </cell>
        </row>
        <row r="434">
          <cell r="A434">
            <v>432</v>
          </cell>
          <cell r="B434" t="str">
            <v>139</v>
          </cell>
          <cell r="C434" t="str">
            <v>139</v>
          </cell>
          <cell r="D434" t="str">
            <v>BPU83</v>
          </cell>
          <cell r="E434">
            <v>433</v>
          </cell>
          <cell r="F434" t="str">
            <v>139</v>
          </cell>
          <cell r="G434">
            <v>45413</v>
          </cell>
          <cell r="H434">
            <v>45413</v>
          </cell>
          <cell r="I434">
            <v>45413</v>
          </cell>
          <cell r="J434">
            <v>45413</v>
          </cell>
          <cell r="K434">
            <v>45415</v>
          </cell>
          <cell r="L434" t="str">
            <v>5.1.02.01.01.00
24</v>
          </cell>
          <cell r="M434" t="str">
            <v>06.05.</v>
          </cell>
          <cell r="N434" t="str">
            <v>06.05.08.</v>
          </cell>
          <cell r="O434" t="str">
            <v>Lakban Hitam uk 2 " Warna hitam uk. 2 "</v>
          </cell>
          <cell r="P434" t="str">
            <v>Lakban Hitam uk 2 " Warna hitam uk. 2 "</v>
          </cell>
          <cell r="Q434" t="str">
            <v>Alat Tulis Kantor (ATK)</v>
          </cell>
          <cell r="R434" t="str">
            <v>Lakban Warna Uk 2" Warna Coklat Cofiie (Ukuran 90Yard Lebar : 48Mm)</v>
          </cell>
          <cell r="S434">
            <v>5</v>
          </cell>
          <cell r="T434" t="str">
            <v>buah</v>
          </cell>
          <cell r="U434">
            <v>25000</v>
          </cell>
          <cell r="V434">
            <v>125000</v>
          </cell>
          <cell r="W434" t="str">
            <v>UD. JOSUA</v>
          </cell>
          <cell r="X434" t="str">
            <v>Gestiwan Zebua</v>
          </cell>
          <cell r="Y434" t="str">
            <v>082166506229</v>
          </cell>
          <cell r="Z434" t="str">
            <v>Jl. Pasir Putih Pasar Telukdalam, Telukdalam Kab. Nias Selatan</v>
          </cell>
          <cell r="AG434">
            <v>5</v>
          </cell>
        </row>
        <row r="435">
          <cell r="A435">
            <v>433</v>
          </cell>
          <cell r="B435" t="str">
            <v>139</v>
          </cell>
          <cell r="C435" t="str">
            <v>139</v>
          </cell>
          <cell r="D435" t="str">
            <v>BPU83</v>
          </cell>
          <cell r="E435">
            <v>434</v>
          </cell>
          <cell r="F435" t="str">
            <v>139</v>
          </cell>
          <cell r="G435">
            <v>45413</v>
          </cell>
          <cell r="H435">
            <v>45413</v>
          </cell>
          <cell r="I435">
            <v>45413</v>
          </cell>
          <cell r="J435">
            <v>45413</v>
          </cell>
          <cell r="K435">
            <v>45415</v>
          </cell>
          <cell r="L435" t="str">
            <v>5.1.02.01.01.00
24</v>
          </cell>
          <cell r="M435" t="str">
            <v>06.05.</v>
          </cell>
          <cell r="N435" t="str">
            <v>06.05.08.</v>
          </cell>
          <cell r="O435" t="str">
            <v>Kertas StensiI</v>
          </cell>
          <cell r="P435" t="str">
            <v>Kertas StensiI</v>
          </cell>
          <cell r="Q435" t="str">
            <v>Alat Tulis Kantor (ATK)</v>
          </cell>
          <cell r="R435" t="str">
            <v>Kertas Stencil Folio (Length 33.0Cm, Width 21.0Cm, Height 5.0Cm, Weight 1400Gr)</v>
          </cell>
          <cell r="S435">
            <v>10</v>
          </cell>
          <cell r="T435" t="str">
            <v>bungkus</v>
          </cell>
          <cell r="U435">
            <v>50000</v>
          </cell>
          <cell r="V435">
            <v>500000</v>
          </cell>
          <cell r="W435" t="str">
            <v>UD. JOSUA</v>
          </cell>
          <cell r="X435" t="str">
            <v>Gestiwan Zebua</v>
          </cell>
          <cell r="Y435" t="str">
            <v>082166506229</v>
          </cell>
          <cell r="Z435" t="str">
            <v>Jl. Pasir Putih Pasar Telukdalam, Telukdalam Kab. Nias Selatan</v>
          </cell>
          <cell r="AG435">
            <v>5</v>
          </cell>
        </row>
        <row r="436">
          <cell r="A436">
            <v>434</v>
          </cell>
          <cell r="B436" t="str">
            <v>139</v>
          </cell>
          <cell r="C436" t="str">
            <v>139</v>
          </cell>
          <cell r="D436" t="str">
            <v>BPU83</v>
          </cell>
          <cell r="E436">
            <v>435</v>
          </cell>
          <cell r="F436" t="str">
            <v>139</v>
          </cell>
          <cell r="G436">
            <v>45413</v>
          </cell>
          <cell r="H436">
            <v>45413</v>
          </cell>
          <cell r="I436">
            <v>45413</v>
          </cell>
          <cell r="J436">
            <v>45413</v>
          </cell>
          <cell r="K436">
            <v>45415</v>
          </cell>
          <cell r="L436" t="str">
            <v>5.1.02.01.01.00
24</v>
          </cell>
          <cell r="M436" t="str">
            <v>06.05.</v>
          </cell>
          <cell r="N436" t="str">
            <v>06.05.08.</v>
          </cell>
          <cell r="O436" t="str">
            <v>Spidol White board</v>
          </cell>
          <cell r="P436" t="str">
            <v>Spidol White board</v>
          </cell>
          <cell r="Q436" t="str">
            <v>Alat Tulis Kantor (ATK)</v>
          </cell>
          <cell r="R436" t="str">
            <v>Spidol White Board (Berat Produk 0.5 Kg, Panjang Produk 10 Cm, Lebar Produk 3 Cm, Tinggi Produk 10 Cm)</v>
          </cell>
          <cell r="S436">
            <v>2</v>
          </cell>
          <cell r="T436" t="str">
            <v>lusin</v>
          </cell>
          <cell r="U436">
            <v>120000</v>
          </cell>
          <cell r="V436">
            <v>240000</v>
          </cell>
          <cell r="W436" t="str">
            <v>UD. JOSUA</v>
          </cell>
          <cell r="X436" t="str">
            <v>Gestiwan Zebua</v>
          </cell>
          <cell r="Y436" t="str">
            <v>082166506229</v>
          </cell>
          <cell r="Z436" t="str">
            <v>Jl. Pasir Putih Pasar Telukdalam, Telukdalam Kab. Nias Selatan</v>
          </cell>
          <cell r="AG436">
            <v>5</v>
          </cell>
        </row>
        <row r="437">
          <cell r="A437">
            <v>435</v>
          </cell>
          <cell r="B437" t="str">
            <v>139</v>
          </cell>
          <cell r="C437" t="str">
            <v>139</v>
          </cell>
          <cell r="D437" t="str">
            <v>BPU83</v>
          </cell>
          <cell r="E437">
            <v>436</v>
          </cell>
          <cell r="F437" t="str">
            <v>139</v>
          </cell>
          <cell r="G437">
            <v>45413</v>
          </cell>
          <cell r="H437">
            <v>45413</v>
          </cell>
          <cell r="I437">
            <v>45413</v>
          </cell>
          <cell r="J437">
            <v>45413</v>
          </cell>
          <cell r="K437">
            <v>45415</v>
          </cell>
          <cell r="L437" t="str">
            <v>5.1.02.01.01.00
24</v>
          </cell>
          <cell r="M437" t="str">
            <v>06.05.</v>
          </cell>
          <cell r="N437" t="str">
            <v>06.05.08.</v>
          </cell>
          <cell r="O437" t="str">
            <v>Pisau Cutter Kenko L-500</v>
          </cell>
          <cell r="P437" t="str">
            <v>Pisau Cutter Kenko L-500</v>
          </cell>
          <cell r="Q437" t="str">
            <v>Alat Tulis Kantor (ATK)</v>
          </cell>
          <cell r="R437" t="str">
            <v>Pisau Cutter L-500 (Merk: Kenko. Dimension: 15.50cm x 2.70cm x 1.00cm. Weight: 71.00g)</v>
          </cell>
          <cell r="S437">
            <v>2</v>
          </cell>
          <cell r="T437" t="str">
            <v>buah</v>
          </cell>
          <cell r="U437">
            <v>15000</v>
          </cell>
          <cell r="V437">
            <v>30000</v>
          </cell>
          <cell r="W437" t="str">
            <v>UD. JOSUA</v>
          </cell>
          <cell r="X437" t="str">
            <v>Gestiwan Zebua</v>
          </cell>
          <cell r="Y437" t="str">
            <v>082166506229</v>
          </cell>
          <cell r="Z437" t="str">
            <v>Jl. Pasir Putih Pasar Telukdalam, Telukdalam Kab. Nias Selatan</v>
          </cell>
          <cell r="AG437">
            <v>5</v>
          </cell>
        </row>
        <row r="438">
          <cell r="A438">
            <v>436</v>
          </cell>
          <cell r="B438" t="str">
            <v>139</v>
          </cell>
          <cell r="C438" t="str">
            <v>139</v>
          </cell>
          <cell r="D438" t="str">
            <v>BPU83</v>
          </cell>
          <cell r="E438">
            <v>437</v>
          </cell>
          <cell r="F438" t="str">
            <v>139</v>
          </cell>
          <cell r="G438">
            <v>45413</v>
          </cell>
          <cell r="H438">
            <v>45413</v>
          </cell>
          <cell r="I438">
            <v>45413</v>
          </cell>
          <cell r="J438">
            <v>45413</v>
          </cell>
          <cell r="K438">
            <v>45415</v>
          </cell>
          <cell r="L438" t="str">
            <v>5.1.02.01.01.00
24</v>
          </cell>
          <cell r="M438" t="str">
            <v>06.05.</v>
          </cell>
          <cell r="N438" t="str">
            <v>06.05.08.</v>
          </cell>
          <cell r="O438" t="str">
            <v>Binder Klip  nomor 260</v>
          </cell>
          <cell r="P438" t="str">
            <v>Binder Klip  nomor 260</v>
          </cell>
          <cell r="Q438" t="str">
            <v>Alat Tulis Kantor (ATK)</v>
          </cell>
          <cell r="R438" t="str">
            <v>Binder Klip  nomor 260 (Merk: Kenko. size : 9,5cm x 5cm x 15cm Weight : 268 gram)</v>
          </cell>
          <cell r="S438">
            <v>10</v>
          </cell>
          <cell r="T438" t="str">
            <v>kotak</v>
          </cell>
          <cell r="U438">
            <v>20000</v>
          </cell>
          <cell r="V438">
            <v>200000</v>
          </cell>
          <cell r="W438" t="str">
            <v>UD. JOSUA</v>
          </cell>
          <cell r="X438" t="str">
            <v>Gestiwan Zebua</v>
          </cell>
          <cell r="Y438" t="str">
            <v>082166506229</v>
          </cell>
          <cell r="Z438" t="str">
            <v>Jl. Pasir Putih Pasar Telukdalam, Telukdalam Kab. Nias Selatan</v>
          </cell>
          <cell r="AG438">
            <v>5</v>
          </cell>
        </row>
        <row r="439">
          <cell r="A439">
            <v>437</v>
          </cell>
          <cell r="B439" t="str">
            <v>139</v>
          </cell>
          <cell r="C439" t="str">
            <v>139</v>
          </cell>
          <cell r="D439" t="str">
            <v>BPU83</v>
          </cell>
          <cell r="E439">
            <v>438</v>
          </cell>
          <cell r="F439" t="str">
            <v>139</v>
          </cell>
          <cell r="G439">
            <v>45413</v>
          </cell>
          <cell r="H439">
            <v>45413</v>
          </cell>
          <cell r="I439">
            <v>45413</v>
          </cell>
          <cell r="J439">
            <v>45413</v>
          </cell>
          <cell r="K439">
            <v>45415</v>
          </cell>
          <cell r="L439" t="str">
            <v>5.1.02.01.01.00
24</v>
          </cell>
          <cell r="M439" t="str">
            <v>06.05.</v>
          </cell>
          <cell r="N439" t="str">
            <v>06.05.08.</v>
          </cell>
          <cell r="O439" t="str">
            <v>C. Tinta Printer EPSON Tinta Printer Epson Yellow</v>
          </cell>
          <cell r="P439" t="str">
            <v>C. Tinta Printer EPSON Tinta Printer Epson Yellow</v>
          </cell>
          <cell r="Q439" t="str">
            <v>Alat Tulis Kantor (ATK)</v>
          </cell>
          <cell r="R439" t="str">
            <v>Tinta Printer Epson 664 Kuning (Length 5.0Cm, Width 5.0Cm, Height 5.0Cm, Weight 5Gr)</v>
          </cell>
          <cell r="S439">
            <v>4</v>
          </cell>
          <cell r="T439" t="str">
            <v>botol</v>
          </cell>
          <cell r="U439">
            <v>110000</v>
          </cell>
          <cell r="V439">
            <v>440000</v>
          </cell>
          <cell r="W439" t="str">
            <v>UD. JOSUA</v>
          </cell>
          <cell r="X439" t="str">
            <v>Gestiwan Zebua</v>
          </cell>
          <cell r="Y439" t="str">
            <v>082166506229</v>
          </cell>
          <cell r="Z439" t="str">
            <v>Jl. Pasir Putih Pasar Telukdalam, Telukdalam Kab. Nias Selatan</v>
          </cell>
          <cell r="AG439">
            <v>5</v>
          </cell>
        </row>
        <row r="440">
          <cell r="A440">
            <v>438</v>
          </cell>
          <cell r="B440" t="str">
            <v>139</v>
          </cell>
          <cell r="C440" t="str">
            <v>139</v>
          </cell>
          <cell r="D440" t="str">
            <v>BPU83</v>
          </cell>
          <cell r="E440">
            <v>439</v>
          </cell>
          <cell r="F440" t="str">
            <v>139</v>
          </cell>
          <cell r="G440">
            <v>45413</v>
          </cell>
          <cell r="H440">
            <v>45413</v>
          </cell>
          <cell r="I440">
            <v>45413</v>
          </cell>
          <cell r="J440">
            <v>45413</v>
          </cell>
          <cell r="K440">
            <v>45415</v>
          </cell>
          <cell r="L440" t="str">
            <v>5.1.02.01.01.00
24</v>
          </cell>
          <cell r="M440" t="str">
            <v>06.05.</v>
          </cell>
          <cell r="N440" t="str">
            <v>06.05.08.</v>
          </cell>
          <cell r="O440" t="str">
            <v>PAPER CLIP  Paper Clip No 1</v>
          </cell>
          <cell r="P440" t="str">
            <v>PAPER CLIP  Paper Clip No 1</v>
          </cell>
          <cell r="Q440" t="str">
            <v>Alat Tulis Kantor (ATK)</v>
          </cell>
          <cell r="R440" t="str">
            <v>Paper Clip No 1 (Length 5.0Cm, Width 5.0Cm, Height 5.0Cm, Weight 5Gr)</v>
          </cell>
          <cell r="S440">
            <v>5</v>
          </cell>
          <cell r="T440" t="str">
            <v>kotak</v>
          </cell>
          <cell r="U440">
            <v>5000</v>
          </cell>
          <cell r="V440">
            <v>25000</v>
          </cell>
          <cell r="W440" t="str">
            <v>UD. JOSUA</v>
          </cell>
          <cell r="X440" t="str">
            <v>Gestiwan Zebua</v>
          </cell>
          <cell r="Y440" t="str">
            <v>082166506229</v>
          </cell>
          <cell r="Z440" t="str">
            <v>Jl. Pasir Putih Pasar Telukdalam, Telukdalam Kab. Nias Selatan</v>
          </cell>
          <cell r="AG440">
            <v>5</v>
          </cell>
        </row>
        <row r="441">
          <cell r="A441">
            <v>439</v>
          </cell>
          <cell r="B441" t="str">
            <v>139</v>
          </cell>
          <cell r="C441" t="str">
            <v>139</v>
          </cell>
          <cell r="D441" t="str">
            <v>BPU83</v>
          </cell>
          <cell r="E441">
            <v>440</v>
          </cell>
          <cell r="F441" t="str">
            <v>139</v>
          </cell>
          <cell r="G441">
            <v>45413</v>
          </cell>
          <cell r="H441">
            <v>45413</v>
          </cell>
          <cell r="I441">
            <v>45413</v>
          </cell>
          <cell r="J441">
            <v>45413</v>
          </cell>
          <cell r="K441">
            <v>45415</v>
          </cell>
          <cell r="L441" t="str">
            <v>5.1.02.01.01.00
24</v>
          </cell>
          <cell r="M441" t="str">
            <v>06.05.</v>
          </cell>
          <cell r="N441" t="str">
            <v>06.05.08.</v>
          </cell>
          <cell r="O441" t="str">
            <v>Kertas HVS 80 gram Merk : Paper One A4, Ukuran : 8,27" x 11,69", Isi : 500 lembar</v>
          </cell>
          <cell r="P441" t="str">
            <v>Kertas HVS 80 gram Merk : Paper One A4, Ukuran : 8,27" x 11,69", Isi : 500 lembar</v>
          </cell>
          <cell r="Q441" t="str">
            <v>Alat Tulis Kantor (ATK)</v>
          </cell>
          <cell r="R441" t="str">
            <v>Kertas Hvs A4 80Gsm Paper One (Length 30.0Cm, Width 21.0Cm, Height 7.0Cm, Weight 2394Gr)</v>
          </cell>
          <cell r="S441">
            <v>40</v>
          </cell>
          <cell r="T441" t="str">
            <v>rim</v>
          </cell>
          <cell r="U441">
            <v>50000</v>
          </cell>
          <cell r="V441">
            <v>2000000</v>
          </cell>
          <cell r="W441" t="str">
            <v>UD. JOSUA</v>
          </cell>
          <cell r="X441" t="str">
            <v>Gestiwan Zebua</v>
          </cell>
          <cell r="Y441" t="str">
            <v>082166506229</v>
          </cell>
          <cell r="Z441" t="str">
            <v>Jl. Pasir Putih Pasar Telukdalam, Telukdalam Kab. Nias Selatan</v>
          </cell>
          <cell r="AG441">
            <v>5</v>
          </cell>
        </row>
        <row r="442">
          <cell r="A442">
            <v>440</v>
          </cell>
          <cell r="B442" t="str">
            <v>139</v>
          </cell>
          <cell r="C442" t="str">
            <v>139</v>
          </cell>
          <cell r="D442" t="str">
            <v>BPU83</v>
          </cell>
          <cell r="E442">
            <v>441</v>
          </cell>
          <cell r="F442" t="str">
            <v>139</v>
          </cell>
          <cell r="G442">
            <v>45413</v>
          </cell>
          <cell r="H442">
            <v>45413</v>
          </cell>
          <cell r="I442">
            <v>45413</v>
          </cell>
          <cell r="J442">
            <v>45413</v>
          </cell>
          <cell r="K442">
            <v>45415</v>
          </cell>
          <cell r="L442" t="str">
            <v>5.1.02.01.01.00
24</v>
          </cell>
          <cell r="M442" t="str">
            <v>06.05.</v>
          </cell>
          <cell r="N442" t="str">
            <v>06.05.08.</v>
          </cell>
          <cell r="O442" t="str">
            <v>Stofmap Transparan</v>
          </cell>
          <cell r="P442" t="str">
            <v>Stofmap Transparan</v>
          </cell>
          <cell r="Q442" t="str">
            <v>Alat Tulis Kantor (ATK)</v>
          </cell>
          <cell r="R442" t="str">
            <v>Stofmap Transparan (Length 5.0Cm, Width 5.0Cm, Height 5.0Cm, Weight 5Gr)</v>
          </cell>
          <cell r="S442">
            <v>100</v>
          </cell>
          <cell r="T442" t="str">
            <v>buah</v>
          </cell>
          <cell r="U442">
            <v>5500</v>
          </cell>
          <cell r="V442">
            <v>550000</v>
          </cell>
          <cell r="W442" t="str">
            <v>UD. JOSUA</v>
          </cell>
          <cell r="X442" t="str">
            <v>Gestiwan Zebua</v>
          </cell>
          <cell r="Y442" t="str">
            <v>082166506229</v>
          </cell>
          <cell r="Z442" t="str">
            <v>Jl. Pasir Putih Pasar Telukdalam, Telukdalam Kab. Nias Selatan</v>
          </cell>
          <cell r="AG442">
            <v>5</v>
          </cell>
        </row>
        <row r="443">
          <cell r="A443">
            <v>441</v>
          </cell>
          <cell r="B443" t="str">
            <v>139</v>
          </cell>
          <cell r="C443" t="str">
            <v>139</v>
          </cell>
          <cell r="D443" t="str">
            <v>BPU83</v>
          </cell>
          <cell r="E443">
            <v>442</v>
          </cell>
          <cell r="F443" t="str">
            <v>139</v>
          </cell>
          <cell r="G443">
            <v>45413</v>
          </cell>
          <cell r="H443">
            <v>45413</v>
          </cell>
          <cell r="I443">
            <v>45413</v>
          </cell>
          <cell r="J443">
            <v>45413</v>
          </cell>
          <cell r="K443">
            <v>45415</v>
          </cell>
          <cell r="L443" t="str">
            <v>5.1.02.01.01.00
24</v>
          </cell>
          <cell r="M443" t="str">
            <v>06.05.</v>
          </cell>
          <cell r="N443" t="str">
            <v>06.05.08.</v>
          </cell>
          <cell r="O443" t="str">
            <v>Amplop Panjang Putih Polos Merk : Jaya Ukuran : 11 x 23 cm</v>
          </cell>
          <cell r="P443" t="str">
            <v>Amplop Panjang Putih Polos Merk : Jaya Ukuran : 11 x 23 cm</v>
          </cell>
          <cell r="Q443" t="str">
            <v>Alat Tulis Kantor (ATK)</v>
          </cell>
          <cell r="R443" t="str">
            <v>Amplop Putih Panjang (Length 5.0Cm, Width 5.0Cm, Height 5.0Cm, Weight 5Gr)</v>
          </cell>
          <cell r="S443">
            <v>1</v>
          </cell>
          <cell r="T443" t="str">
            <v>kotak</v>
          </cell>
          <cell r="U443">
            <v>48000</v>
          </cell>
          <cell r="V443">
            <v>48000</v>
          </cell>
          <cell r="W443" t="str">
            <v>UD. JOSUA</v>
          </cell>
          <cell r="X443" t="str">
            <v>Gestiwan Zebua</v>
          </cell>
          <cell r="Y443" t="str">
            <v>082166506229</v>
          </cell>
          <cell r="Z443" t="str">
            <v>Jl. Pasir Putih Pasar Telukdalam, Telukdalam Kab. Nias Selatan</v>
          </cell>
          <cell r="AG443">
            <v>5</v>
          </cell>
        </row>
        <row r="444">
          <cell r="A444">
            <v>442</v>
          </cell>
          <cell r="B444" t="str">
            <v>139</v>
          </cell>
          <cell r="C444" t="str">
            <v>139</v>
          </cell>
          <cell r="D444" t="str">
            <v>BPU83</v>
          </cell>
          <cell r="E444">
            <v>443</v>
          </cell>
          <cell r="F444" t="str">
            <v>139</v>
          </cell>
          <cell r="G444">
            <v>45413</v>
          </cell>
          <cell r="H444">
            <v>45413</v>
          </cell>
          <cell r="I444">
            <v>45413</v>
          </cell>
          <cell r="J444">
            <v>45413</v>
          </cell>
          <cell r="K444">
            <v>45415</v>
          </cell>
          <cell r="L444" t="str">
            <v>5.1.02.01.01.00
24</v>
          </cell>
          <cell r="M444" t="str">
            <v>06.05.</v>
          </cell>
          <cell r="N444" t="str">
            <v>06.05.08.</v>
          </cell>
          <cell r="O444" t="str">
            <v>Kertas Post-It Warna Warni  Sign Here</v>
          </cell>
          <cell r="P444" t="str">
            <v>Kertas Post-It Warna Warni  Sign Here</v>
          </cell>
          <cell r="Q444" t="str">
            <v>Alat Tulis Kantor (ATK)</v>
          </cell>
          <cell r="R444" t="str">
            <v>Kertas Post-it/Sticky Note (ukuran: 2 x 4.8 cm)</v>
          </cell>
          <cell r="S444">
            <v>5</v>
          </cell>
          <cell r="T444" t="str">
            <v>buah</v>
          </cell>
          <cell r="U444">
            <v>22800</v>
          </cell>
          <cell r="V444">
            <v>114000</v>
          </cell>
          <cell r="W444" t="str">
            <v>UD. JOSUA</v>
          </cell>
          <cell r="X444" t="str">
            <v>Gestiwan Zebua</v>
          </cell>
          <cell r="Y444" t="str">
            <v>082166506229</v>
          </cell>
          <cell r="Z444" t="str">
            <v>Jl. Pasir Putih Pasar Telukdalam, Telukdalam Kab. Nias Selatan</v>
          </cell>
          <cell r="AG444">
            <v>5</v>
          </cell>
        </row>
        <row r="445">
          <cell r="A445">
            <v>443</v>
          </cell>
          <cell r="B445" t="str">
            <v>139</v>
          </cell>
          <cell r="C445" t="str">
            <v>139</v>
          </cell>
          <cell r="D445" t="str">
            <v>BPU83</v>
          </cell>
          <cell r="E445">
            <v>444</v>
          </cell>
          <cell r="F445" t="str">
            <v>139</v>
          </cell>
          <cell r="G445">
            <v>45413</v>
          </cell>
          <cell r="H445">
            <v>45413</v>
          </cell>
          <cell r="I445">
            <v>45413</v>
          </cell>
          <cell r="J445">
            <v>45413</v>
          </cell>
          <cell r="K445">
            <v>45415</v>
          </cell>
          <cell r="L445" t="str">
            <v>5.1.02.01.01.00
24</v>
          </cell>
          <cell r="M445" t="str">
            <v>06.05.</v>
          </cell>
          <cell r="N445" t="str">
            <v>06.05.08.</v>
          </cell>
          <cell r="O445" t="str">
            <v>Lakban Bening</v>
          </cell>
          <cell r="P445" t="str">
            <v>Lakban Bening Kecil</v>
          </cell>
          <cell r="Q445" t="str">
            <v>Alat Tulis Kantor (ATK)</v>
          </cell>
          <cell r="R445" t="str">
            <v>Lakban Bening Kecil (Length 5.0Cm, Width 5.0Cm, Height 5.0Cm, Weight 5Gr)</v>
          </cell>
          <cell r="S445">
            <v>5</v>
          </cell>
          <cell r="T445" t="str">
            <v>buah</v>
          </cell>
          <cell r="U445">
            <v>10000</v>
          </cell>
          <cell r="V445">
            <v>50000</v>
          </cell>
          <cell r="W445" t="str">
            <v>UD. JOSUA</v>
          </cell>
          <cell r="X445" t="str">
            <v>Gestiwan Zebua</v>
          </cell>
          <cell r="Y445" t="str">
            <v>082166506229</v>
          </cell>
          <cell r="Z445" t="str">
            <v>Jl. Pasir Putih Pasar Telukdalam, Telukdalam Kab. Nias Selatan</v>
          </cell>
          <cell r="AG445">
            <v>5</v>
          </cell>
        </row>
        <row r="446">
          <cell r="A446">
            <v>444</v>
          </cell>
          <cell r="B446" t="str">
            <v>139</v>
          </cell>
          <cell r="C446" t="str">
            <v>139</v>
          </cell>
          <cell r="D446" t="str">
            <v>BPU83</v>
          </cell>
          <cell r="E446">
            <v>445</v>
          </cell>
          <cell r="F446" t="str">
            <v>139</v>
          </cell>
          <cell r="G446">
            <v>45413</v>
          </cell>
          <cell r="H446">
            <v>45413</v>
          </cell>
          <cell r="I446">
            <v>45413</v>
          </cell>
          <cell r="J446">
            <v>45413</v>
          </cell>
          <cell r="K446">
            <v>45415</v>
          </cell>
          <cell r="L446" t="str">
            <v>5.1.02.01.01.00
24</v>
          </cell>
          <cell r="M446" t="str">
            <v>06.05.</v>
          </cell>
          <cell r="N446" t="str">
            <v>06.05.08.</v>
          </cell>
          <cell r="O446" t="str">
            <v>Binder Klip  nomor 200</v>
          </cell>
          <cell r="P446" t="str">
            <v>Binder Klip  nomor 200</v>
          </cell>
          <cell r="Q446" t="str">
            <v>Alat Tulis Kantor (ATK)</v>
          </cell>
          <cell r="R446" t="str">
            <v>Binder Clip Nomor 200 (Length 5.0Cm, Width 5.0Cm, Height 5.0Cm, Weight 5Gr)</v>
          </cell>
          <cell r="S446">
            <v>10</v>
          </cell>
          <cell r="T446" t="str">
            <v>kotak</v>
          </cell>
          <cell r="U446">
            <v>16500</v>
          </cell>
          <cell r="V446">
            <v>165000</v>
          </cell>
          <cell r="W446" t="str">
            <v>UD. JOSUA</v>
          </cell>
          <cell r="X446" t="str">
            <v>Gestiwan Zebua</v>
          </cell>
          <cell r="Y446" t="str">
            <v>082166506229</v>
          </cell>
          <cell r="Z446" t="str">
            <v>Jl. Pasir Putih Pasar Telukdalam, Telukdalam Kab. Nias Selatan</v>
          </cell>
          <cell r="AG446">
            <v>5</v>
          </cell>
        </row>
        <row r="447">
          <cell r="A447">
            <v>445</v>
          </cell>
          <cell r="B447" t="str">
            <v>139</v>
          </cell>
          <cell r="C447" t="str">
            <v>139</v>
          </cell>
          <cell r="D447" t="str">
            <v>BPU83</v>
          </cell>
          <cell r="E447">
            <v>446</v>
          </cell>
          <cell r="F447" t="str">
            <v>139</v>
          </cell>
          <cell r="G447">
            <v>45413</v>
          </cell>
          <cell r="H447">
            <v>45413</v>
          </cell>
          <cell r="I447">
            <v>45413</v>
          </cell>
          <cell r="J447">
            <v>45413</v>
          </cell>
          <cell r="K447">
            <v>45415</v>
          </cell>
          <cell r="L447" t="str">
            <v>5.1.02.01.01.00
24</v>
          </cell>
          <cell r="M447" t="str">
            <v>06.05.</v>
          </cell>
          <cell r="N447" t="str">
            <v>06.05.08.</v>
          </cell>
          <cell r="O447" t="str">
            <v>Baterey Tanggung</v>
          </cell>
          <cell r="P447" t="str">
            <v>Baterey Tanggung</v>
          </cell>
          <cell r="Q447" t="str">
            <v>Alat Tulis Kantor (ATK)</v>
          </cell>
          <cell r="R447" t="str">
            <v>Baterai Tanggung (Length 5.0Cm, Width 5.0Cm, Height 5.0Cm, Weight 5Gr)</v>
          </cell>
          <cell r="S447">
            <v>5</v>
          </cell>
          <cell r="T447" t="str">
            <v>pasang</v>
          </cell>
          <cell r="U447">
            <v>20000</v>
          </cell>
          <cell r="V447">
            <v>100000</v>
          </cell>
          <cell r="W447" t="str">
            <v>UD. JOSUA</v>
          </cell>
          <cell r="X447" t="str">
            <v>Gestiwan Zebua</v>
          </cell>
          <cell r="Y447" t="str">
            <v>082166506229</v>
          </cell>
          <cell r="Z447" t="str">
            <v>Jl. Pasir Putih Pasar Telukdalam, Telukdalam Kab. Nias Selatan</v>
          </cell>
          <cell r="AG447">
            <v>5</v>
          </cell>
        </row>
        <row r="448">
          <cell r="A448">
            <v>446</v>
          </cell>
          <cell r="B448" t="str">
            <v>139</v>
          </cell>
          <cell r="C448" t="str">
            <v>139</v>
          </cell>
          <cell r="D448" t="str">
            <v>BPU83</v>
          </cell>
          <cell r="E448">
            <v>447</v>
          </cell>
          <cell r="F448" t="str">
            <v>139</v>
          </cell>
          <cell r="G448">
            <v>45413</v>
          </cell>
          <cell r="H448">
            <v>45413</v>
          </cell>
          <cell r="I448">
            <v>45413</v>
          </cell>
          <cell r="J448">
            <v>45413</v>
          </cell>
          <cell r="K448">
            <v>45415</v>
          </cell>
          <cell r="L448" t="str">
            <v>5.1.02.01.01.00
24</v>
          </cell>
          <cell r="M448" t="str">
            <v>06.05.</v>
          </cell>
          <cell r="N448" t="str">
            <v>06.05.08.</v>
          </cell>
          <cell r="O448" t="str">
            <v>C. Tinta Printer EPSON Toner Epson 664 Black</v>
          </cell>
          <cell r="P448" t="str">
            <v>C. Tinta Printer EPSON Toner Epson 664 Black</v>
          </cell>
          <cell r="Q448" t="str">
            <v>Alat Tulis Kantor (ATK)</v>
          </cell>
          <cell r="R448" t="str">
            <v>Tinta Printer Epson 664 Hitam (Length 5.0Cm, Width 5.0Cm, Height 5.0Cm, Weight 5Gr)</v>
          </cell>
          <cell r="S448">
            <v>6</v>
          </cell>
          <cell r="T448" t="str">
            <v>botol</v>
          </cell>
          <cell r="U448">
            <v>85000</v>
          </cell>
          <cell r="V448">
            <v>510000</v>
          </cell>
          <cell r="W448" t="str">
            <v>UD. JOSUA</v>
          </cell>
          <cell r="X448" t="str">
            <v>Gestiwan Zebua</v>
          </cell>
          <cell r="Y448" t="str">
            <v>082166506229</v>
          </cell>
          <cell r="Z448" t="str">
            <v>Jl. Pasir Putih Pasar Telukdalam, Telukdalam Kab. Nias Selatan</v>
          </cell>
          <cell r="AG448">
            <v>5</v>
          </cell>
        </row>
        <row r="449">
          <cell r="A449">
            <v>447</v>
          </cell>
          <cell r="B449" t="str">
            <v>139</v>
          </cell>
          <cell r="C449" t="str">
            <v>139</v>
          </cell>
          <cell r="D449" t="str">
            <v>BPU83</v>
          </cell>
          <cell r="E449">
            <v>448</v>
          </cell>
          <cell r="F449" t="str">
            <v>139</v>
          </cell>
          <cell r="G449">
            <v>45413</v>
          </cell>
          <cell r="H449">
            <v>45413</v>
          </cell>
          <cell r="I449">
            <v>45413</v>
          </cell>
          <cell r="J449">
            <v>45413</v>
          </cell>
          <cell r="K449">
            <v>45415</v>
          </cell>
          <cell r="L449" t="str">
            <v>5.1.02.01.01.00
24</v>
          </cell>
          <cell r="M449" t="str">
            <v>06.05.</v>
          </cell>
          <cell r="N449" t="str">
            <v>06.05.08.</v>
          </cell>
          <cell r="O449" t="str">
            <v>Kertas Warna Blank Folio, Ukuran : 8,5 x 14",  70 gram</v>
          </cell>
          <cell r="P449" t="str">
            <v>Kertas Warna Blank Folio, Ukuran : 8,5 x 14",  70 gram</v>
          </cell>
          <cell r="Q449" t="str">
            <v>Alat Tulis Kantor (ATK)</v>
          </cell>
          <cell r="R449" t="str">
            <v>Kertas Hvs Warna 70 Gsm (Length 21.0Cm, Width 33.0Cm, Height 7.0Cm, Weight 2400Gr)</v>
          </cell>
          <cell r="S449">
            <v>2</v>
          </cell>
          <cell r="T449" t="str">
            <v>rim</v>
          </cell>
          <cell r="U449">
            <v>90000</v>
          </cell>
          <cell r="V449">
            <v>180000</v>
          </cell>
          <cell r="W449" t="str">
            <v>UD. JOSUA</v>
          </cell>
          <cell r="X449" t="str">
            <v>Gestiwan Zebua</v>
          </cell>
          <cell r="Y449" t="str">
            <v>082166506229</v>
          </cell>
          <cell r="Z449" t="str">
            <v>Jl. Pasir Putih Pasar Telukdalam, Telukdalam Kab. Nias Selatan</v>
          </cell>
          <cell r="AG449">
            <v>5</v>
          </cell>
        </row>
        <row r="450">
          <cell r="A450">
            <v>448</v>
          </cell>
          <cell r="B450" t="str">
            <v>139</v>
          </cell>
          <cell r="C450" t="str">
            <v>139</v>
          </cell>
          <cell r="D450" t="str">
            <v>BPU83</v>
          </cell>
          <cell r="E450">
            <v>449</v>
          </cell>
          <cell r="F450" t="str">
            <v>139</v>
          </cell>
          <cell r="G450">
            <v>45413</v>
          </cell>
          <cell r="H450">
            <v>45413</v>
          </cell>
          <cell r="I450">
            <v>45413</v>
          </cell>
          <cell r="J450">
            <v>45413</v>
          </cell>
          <cell r="K450">
            <v>45415</v>
          </cell>
          <cell r="L450" t="str">
            <v>5.1.02.01.01.00
24</v>
          </cell>
          <cell r="M450" t="str">
            <v>06.05.</v>
          </cell>
          <cell r="N450" t="str">
            <v>06.05.08.</v>
          </cell>
          <cell r="O450" t="str">
            <v>Sampul Plastik</v>
          </cell>
          <cell r="P450" t="str">
            <v>Sampul Plastik</v>
          </cell>
          <cell r="Q450" t="str">
            <v>Alat Tulis Kantor (ATK)</v>
          </cell>
          <cell r="R450" t="str">
            <v>Sampul Plastik (Length 5.0Cm, Width 5.0Cm, Height 5.0Cm, Weight 5Gr)</v>
          </cell>
          <cell r="S450">
            <v>5</v>
          </cell>
          <cell r="T450" t="str">
            <v>bungkus</v>
          </cell>
          <cell r="U450">
            <v>65000</v>
          </cell>
          <cell r="V450">
            <v>325000</v>
          </cell>
          <cell r="W450" t="str">
            <v>UD. JOSUA</v>
          </cell>
          <cell r="X450" t="str">
            <v>Gestiwan Zebua</v>
          </cell>
          <cell r="Y450" t="str">
            <v>082166506229</v>
          </cell>
          <cell r="Z450" t="str">
            <v>Jl. Pasir Putih Pasar Telukdalam, Telukdalam Kab. Nias Selatan</v>
          </cell>
          <cell r="AG450">
            <v>5</v>
          </cell>
        </row>
        <row r="451">
          <cell r="A451">
            <v>449</v>
          </cell>
          <cell r="B451" t="str">
            <v>139</v>
          </cell>
          <cell r="C451" t="str">
            <v>139</v>
          </cell>
          <cell r="D451" t="str">
            <v>BPU83</v>
          </cell>
          <cell r="E451">
            <v>450</v>
          </cell>
          <cell r="F451" t="str">
            <v>139</v>
          </cell>
          <cell r="G451">
            <v>45413</v>
          </cell>
          <cell r="H451">
            <v>45413</v>
          </cell>
          <cell r="I451">
            <v>45413</v>
          </cell>
          <cell r="J451">
            <v>45413</v>
          </cell>
          <cell r="K451">
            <v>45415</v>
          </cell>
          <cell r="L451" t="str">
            <v>5.1.02.01.01.00
24</v>
          </cell>
          <cell r="M451" t="str">
            <v>06.05.</v>
          </cell>
          <cell r="N451" t="str">
            <v>06.05.08.</v>
          </cell>
          <cell r="O451" t="str">
            <v>Box File Merk : Bantex Ukuran : 115x270x325 mm</v>
          </cell>
          <cell r="P451" t="str">
            <v>Box File Merk : Bantex Ukuran : 115x270x325 mm</v>
          </cell>
          <cell r="Q451" t="str">
            <v>Alat Tulis Kantor (ATK)</v>
          </cell>
          <cell r="R451" t="str">
            <v>Box File (Merk : Bantex Ukuran : 115x270x325 mm)</v>
          </cell>
          <cell r="S451">
            <v>4</v>
          </cell>
          <cell r="T451" t="str">
            <v>buah</v>
          </cell>
          <cell r="U451">
            <v>59800</v>
          </cell>
          <cell r="V451">
            <v>239200</v>
          </cell>
          <cell r="W451" t="str">
            <v>UD. JOSUA</v>
          </cell>
          <cell r="X451" t="str">
            <v>Gestiwan Zebua</v>
          </cell>
          <cell r="Y451" t="str">
            <v>082166506229</v>
          </cell>
          <cell r="Z451" t="str">
            <v>Jl. Pasir Putih Pasar Telukdalam, Telukdalam Kab. Nias Selatan</v>
          </cell>
          <cell r="AG451">
            <v>5</v>
          </cell>
        </row>
        <row r="452">
          <cell r="A452">
            <v>450</v>
          </cell>
          <cell r="B452" t="str">
            <v>139</v>
          </cell>
          <cell r="C452" t="str">
            <v>139</v>
          </cell>
          <cell r="D452" t="str">
            <v>BPU83</v>
          </cell>
          <cell r="E452">
            <v>451</v>
          </cell>
          <cell r="F452" t="str">
            <v>139</v>
          </cell>
          <cell r="G452">
            <v>45413</v>
          </cell>
          <cell r="H452">
            <v>45413</v>
          </cell>
          <cell r="I452">
            <v>45413</v>
          </cell>
          <cell r="J452">
            <v>45413</v>
          </cell>
          <cell r="K452">
            <v>45415</v>
          </cell>
          <cell r="L452" t="str">
            <v>5.1.02.01.01.00
24</v>
          </cell>
          <cell r="M452" t="str">
            <v>06.05.</v>
          </cell>
          <cell r="N452" t="str">
            <v>06.05.08.</v>
          </cell>
          <cell r="O452" t="str">
            <v>Lakban warna Uk 2" Warna Coklat Cofiie</v>
          </cell>
          <cell r="P452" t="str">
            <v>Lakban warna Uk 2" Warna Coklat Cofiie</v>
          </cell>
          <cell r="Q452" t="str">
            <v>Alat Tulis Kantor (ATK)</v>
          </cell>
          <cell r="R452" t="str">
            <v>Lakban Warna Uk 2" Warna Coklat Cofiie (Ukuran 90Yard Lebar : 48Mm)</v>
          </cell>
          <cell r="S452">
            <v>3</v>
          </cell>
          <cell r="T452" t="str">
            <v>buah</v>
          </cell>
          <cell r="U452">
            <v>20000</v>
          </cell>
          <cell r="V452">
            <v>60000</v>
          </cell>
          <cell r="W452" t="str">
            <v>UD. JOSUA</v>
          </cell>
          <cell r="X452" t="str">
            <v>Gestiwan Zebua</v>
          </cell>
          <cell r="Y452" t="str">
            <v>082166506229</v>
          </cell>
          <cell r="Z452" t="str">
            <v>Jl. Pasir Putih Pasar Telukdalam, Telukdalam Kab. Nias Selatan</v>
          </cell>
          <cell r="AG452">
            <v>5</v>
          </cell>
        </row>
        <row r="453">
          <cell r="A453">
            <v>451</v>
          </cell>
          <cell r="B453" t="str">
            <v>139</v>
          </cell>
          <cell r="C453" t="str">
            <v>139</v>
          </cell>
          <cell r="D453" t="str">
            <v>BPU83</v>
          </cell>
          <cell r="E453">
            <v>452</v>
          </cell>
          <cell r="F453" t="str">
            <v>139</v>
          </cell>
          <cell r="G453">
            <v>45413</v>
          </cell>
          <cell r="H453">
            <v>45413</v>
          </cell>
          <cell r="I453">
            <v>45413</v>
          </cell>
          <cell r="J453">
            <v>45413</v>
          </cell>
          <cell r="K453">
            <v>45415</v>
          </cell>
          <cell r="L453" t="str">
            <v>5.1.02.01.01.00
24</v>
          </cell>
          <cell r="M453" t="str">
            <v>06.05.</v>
          </cell>
          <cell r="N453" t="str">
            <v>06.05.08.</v>
          </cell>
          <cell r="O453" t="str">
            <v>gunting kertas-ukuran : panjang 21cm x lebar 8cm, stainless steel</v>
          </cell>
          <cell r="P453" t="str">
            <v>gunting kertas-ukuran : panjang 21cm x lebar 8cm, stainless steel</v>
          </cell>
          <cell r="Q453" t="str">
            <v>Alat Tulis Kantor (ATK)</v>
          </cell>
          <cell r="R453" t="str">
            <v>Gunting Sedang (Length 5.0Cm, Width 5.0Cm, Height 5.0Cm, Weight 5Gr)</v>
          </cell>
          <cell r="S453">
            <v>2</v>
          </cell>
          <cell r="T453" t="str">
            <v>buah</v>
          </cell>
          <cell r="U453">
            <v>20000</v>
          </cell>
          <cell r="V453">
            <v>40000</v>
          </cell>
          <cell r="W453" t="str">
            <v>UD. JOSUA</v>
          </cell>
          <cell r="X453" t="str">
            <v>Gestiwan Zebua</v>
          </cell>
          <cell r="Y453" t="str">
            <v>082166506229</v>
          </cell>
          <cell r="Z453" t="str">
            <v>Jl. Pasir Putih Pasar Telukdalam, Telukdalam Kab. Nias Selatan</v>
          </cell>
          <cell r="AG453">
            <v>5</v>
          </cell>
        </row>
        <row r="454">
          <cell r="A454">
            <v>452</v>
          </cell>
          <cell r="B454" t="str">
            <v>139</v>
          </cell>
          <cell r="C454" t="str">
            <v>139</v>
          </cell>
          <cell r="D454" t="str">
            <v>BPU83</v>
          </cell>
          <cell r="E454">
            <v>453</v>
          </cell>
          <cell r="F454" t="str">
            <v>139</v>
          </cell>
          <cell r="G454">
            <v>45413</v>
          </cell>
          <cell r="H454">
            <v>45413</v>
          </cell>
          <cell r="I454">
            <v>45413</v>
          </cell>
          <cell r="J454">
            <v>45413</v>
          </cell>
          <cell r="K454">
            <v>45415</v>
          </cell>
          <cell r="L454" t="str">
            <v>5.1.02.01.01.00
24</v>
          </cell>
          <cell r="M454" t="str">
            <v>06.05.</v>
          </cell>
          <cell r="N454" t="str">
            <v>06.05.08.</v>
          </cell>
          <cell r="O454" t="str">
            <v>Ballpoint Standard AE7</v>
          </cell>
          <cell r="P454" t="str">
            <v>Ballpoint Standard AE7</v>
          </cell>
          <cell r="Q454" t="str">
            <v>Alat Tulis Kantor (ATK)</v>
          </cell>
          <cell r="R454" t="str">
            <v>Ballpoint Standard Ae7 (Ukuran: 0.5 Mm Warna: Hitam 1 , Lebar Produk 6 Cm, Tinggi Produk 4 Cm)</v>
          </cell>
          <cell r="S454">
            <v>2</v>
          </cell>
          <cell r="T454" t="str">
            <v>lusin</v>
          </cell>
          <cell r="U454">
            <v>20000</v>
          </cell>
          <cell r="V454">
            <v>40000</v>
          </cell>
          <cell r="W454" t="str">
            <v>UD. JOSUA</v>
          </cell>
          <cell r="X454" t="str">
            <v>Gestiwan Zebua</v>
          </cell>
          <cell r="Y454" t="str">
            <v>082166506229</v>
          </cell>
          <cell r="Z454" t="str">
            <v>Jl. Pasir Putih Pasar Telukdalam, Telukdalam Kab. Nias Selatan</v>
          </cell>
          <cell r="AG454">
            <v>5</v>
          </cell>
        </row>
        <row r="455">
          <cell r="A455">
            <v>453</v>
          </cell>
          <cell r="B455" t="str">
            <v>139</v>
          </cell>
          <cell r="C455" t="str">
            <v>139</v>
          </cell>
          <cell r="D455" t="str">
            <v>BPU83</v>
          </cell>
          <cell r="E455">
            <v>454</v>
          </cell>
          <cell r="F455" t="str">
            <v>139</v>
          </cell>
          <cell r="G455">
            <v>45413</v>
          </cell>
          <cell r="H455">
            <v>45413</v>
          </cell>
          <cell r="I455">
            <v>45413</v>
          </cell>
          <cell r="J455">
            <v>45413</v>
          </cell>
          <cell r="K455">
            <v>45415</v>
          </cell>
          <cell r="L455" t="str">
            <v>5.1.02.01.01.00
24</v>
          </cell>
          <cell r="M455" t="str">
            <v>06.05.</v>
          </cell>
          <cell r="N455" t="str">
            <v>06.05.08.</v>
          </cell>
          <cell r="O455" t="str">
            <v>C. Tinta Printer EPSON Tinta Printer Epson Read</v>
          </cell>
          <cell r="P455" t="str">
            <v>C. Tinta Printer EPSON Tinta Printer Epson Read</v>
          </cell>
          <cell r="Q455" t="str">
            <v>Alat Tulis Kantor (ATK)</v>
          </cell>
          <cell r="R455" t="str">
            <v>Tnta Printer Epson 664 Merah (Length 5.0Cm, Width 5.0Cm, Height 5.0Cm, Weight 5Gr)</v>
          </cell>
          <cell r="S455">
            <v>4</v>
          </cell>
          <cell r="T455" t="str">
            <v>botol</v>
          </cell>
          <cell r="U455">
            <v>110000</v>
          </cell>
          <cell r="V455">
            <v>440000</v>
          </cell>
          <cell r="W455" t="str">
            <v>UD. JOSUA</v>
          </cell>
          <cell r="X455" t="str">
            <v>Gestiwan Zebua</v>
          </cell>
          <cell r="Y455" t="str">
            <v>082166506229</v>
          </cell>
          <cell r="Z455" t="str">
            <v>Jl. Pasir Putih Pasar Telukdalam, Telukdalam Kab. Nias Selatan</v>
          </cell>
          <cell r="AG455">
            <v>5</v>
          </cell>
        </row>
        <row r="456">
          <cell r="A456">
            <v>454</v>
          </cell>
          <cell r="B456" t="str">
            <v>139</v>
          </cell>
          <cell r="C456" t="str">
            <v>139</v>
          </cell>
          <cell r="D456" t="str">
            <v>BPU83</v>
          </cell>
          <cell r="E456">
            <v>455</v>
          </cell>
          <cell r="F456" t="str">
            <v>139</v>
          </cell>
          <cell r="G456">
            <v>45413</v>
          </cell>
          <cell r="H456">
            <v>45413</v>
          </cell>
          <cell r="I456">
            <v>45413</v>
          </cell>
          <cell r="J456">
            <v>45413</v>
          </cell>
          <cell r="K456">
            <v>45415</v>
          </cell>
          <cell r="L456" t="str">
            <v>5.1.02.01.01.00
24</v>
          </cell>
          <cell r="M456" t="str">
            <v>06.05.</v>
          </cell>
          <cell r="N456" t="str">
            <v>06.05.08.</v>
          </cell>
          <cell r="O456" t="str">
            <v>Stofmap Kertas</v>
          </cell>
          <cell r="P456" t="str">
            <v>Stofmap Kertas</v>
          </cell>
          <cell r="Q456" t="str">
            <v>Alat Tulis Kantor (ATK)</v>
          </cell>
          <cell r="R456" t="str">
            <v>Stofmap Kertas (Length 5.0Cm, Width 5.0Cm, Height 5.0Cm, Weight 5Gr)</v>
          </cell>
          <cell r="S456">
            <v>1</v>
          </cell>
          <cell r="T456" t="str">
            <v>pak</v>
          </cell>
          <cell r="U456">
            <v>87500</v>
          </cell>
          <cell r="V456">
            <v>87500</v>
          </cell>
          <cell r="W456" t="str">
            <v>UD. JOSUA</v>
          </cell>
          <cell r="X456" t="str">
            <v>Gestiwan Zebua</v>
          </cell>
          <cell r="Y456" t="str">
            <v>082166506229</v>
          </cell>
          <cell r="Z456" t="str">
            <v>Jl. Pasir Putih Pasar Telukdalam, Telukdalam Kab. Nias Selatan</v>
          </cell>
          <cell r="AG456">
            <v>5</v>
          </cell>
        </row>
        <row r="457">
          <cell r="A457">
            <v>455</v>
          </cell>
          <cell r="B457" t="str">
            <v>139</v>
          </cell>
          <cell r="C457" t="str">
            <v>139</v>
          </cell>
          <cell r="D457" t="str">
            <v>BPU83</v>
          </cell>
          <cell r="E457">
            <v>456</v>
          </cell>
          <cell r="F457" t="str">
            <v>139</v>
          </cell>
          <cell r="G457">
            <v>45413</v>
          </cell>
          <cell r="H457">
            <v>45413</v>
          </cell>
          <cell r="I457">
            <v>45413</v>
          </cell>
          <cell r="J457">
            <v>45413</v>
          </cell>
          <cell r="K457">
            <v>45415</v>
          </cell>
          <cell r="L457" t="str">
            <v>5.1.02.01.01.00
24</v>
          </cell>
          <cell r="M457" t="str">
            <v>06.05.</v>
          </cell>
          <cell r="N457" t="str">
            <v>06.05.08.</v>
          </cell>
          <cell r="O457" t="str">
            <v>lakban hitam-ukuran : lebar 2 inch, panjang 12m, bahan : kain</v>
          </cell>
          <cell r="P457" t="str">
            <v>lakban hitam-ukuran : lebar 2 inch, panjang 12m, bahan : kain</v>
          </cell>
          <cell r="Q457" t="str">
            <v>Alat Tulis Kantor (ATK)</v>
          </cell>
          <cell r="R457" t="str">
            <v>Lakban Hitam (Length 5.0Cm, Width 5.0Cm, Height 5.0Cm, Weight 5Gr)</v>
          </cell>
          <cell r="S457">
            <v>4</v>
          </cell>
          <cell r="T457" t="str">
            <v>buah</v>
          </cell>
          <cell r="U457">
            <v>12500</v>
          </cell>
          <cell r="V457">
            <v>50000</v>
          </cell>
          <cell r="W457" t="str">
            <v>UD. JOSUA</v>
          </cell>
          <cell r="X457" t="str">
            <v>Gestiwan Zebua</v>
          </cell>
          <cell r="Y457" t="str">
            <v>082166506229</v>
          </cell>
          <cell r="Z457" t="str">
            <v>Jl. Pasir Putih Pasar Telukdalam, Telukdalam Kab. Nias Selatan</v>
          </cell>
          <cell r="AG457">
            <v>5</v>
          </cell>
        </row>
        <row r="458">
          <cell r="A458">
            <v>456</v>
          </cell>
          <cell r="B458" t="str">
            <v>139</v>
          </cell>
          <cell r="C458" t="str">
            <v>139</v>
          </cell>
          <cell r="D458" t="str">
            <v>BPU83</v>
          </cell>
          <cell r="E458">
            <v>457</v>
          </cell>
          <cell r="F458" t="str">
            <v>139</v>
          </cell>
          <cell r="G458">
            <v>45413</v>
          </cell>
          <cell r="H458">
            <v>45413</v>
          </cell>
          <cell r="I458">
            <v>45413</v>
          </cell>
          <cell r="J458">
            <v>45413</v>
          </cell>
          <cell r="K458">
            <v>45415</v>
          </cell>
          <cell r="L458" t="str">
            <v>5.1.02.01.01.00
24</v>
          </cell>
          <cell r="M458" t="str">
            <v>06.05.</v>
          </cell>
          <cell r="N458" t="str">
            <v>06.05.08.</v>
          </cell>
          <cell r="O458" t="str">
            <v>Lakban Besar</v>
          </cell>
          <cell r="P458" t="str">
            <v>Lakban Besar</v>
          </cell>
          <cell r="Q458" t="str">
            <v>Alat Tulis Kantor (ATK)</v>
          </cell>
          <cell r="R458" t="str">
            <v xml:space="preserve"> Lakban Hitam besar Kain (Daimaru 2 inch / 48 mm x 12 m)</v>
          </cell>
          <cell r="S458">
            <v>5</v>
          </cell>
          <cell r="T458" t="str">
            <v>buah</v>
          </cell>
          <cell r="U458">
            <v>25000</v>
          </cell>
          <cell r="V458">
            <v>125000</v>
          </cell>
          <cell r="W458" t="str">
            <v>UD. JOSUA</v>
          </cell>
          <cell r="X458" t="str">
            <v>Gestiwan Zebua</v>
          </cell>
          <cell r="Y458" t="str">
            <v>082166506229</v>
          </cell>
          <cell r="Z458" t="str">
            <v>Jl. Pasir Putih Pasar Telukdalam, Telukdalam Kab. Nias Selatan</v>
          </cell>
          <cell r="AG458">
            <v>5</v>
          </cell>
        </row>
        <row r="459">
          <cell r="A459">
            <v>457</v>
          </cell>
          <cell r="B459" t="str">
            <v>139</v>
          </cell>
          <cell r="C459" t="str">
            <v>139</v>
          </cell>
          <cell r="D459" t="str">
            <v>BPU83</v>
          </cell>
          <cell r="E459">
            <v>458</v>
          </cell>
          <cell r="F459" t="str">
            <v>139</v>
          </cell>
          <cell r="G459">
            <v>45413</v>
          </cell>
          <cell r="H459">
            <v>45413</v>
          </cell>
          <cell r="I459">
            <v>45413</v>
          </cell>
          <cell r="J459">
            <v>45413</v>
          </cell>
          <cell r="K459">
            <v>45415</v>
          </cell>
          <cell r="L459" t="str">
            <v>5.1.02.01.01.00
24</v>
          </cell>
          <cell r="M459" t="str">
            <v>06.05.</v>
          </cell>
          <cell r="N459" t="str">
            <v>06.05.08.</v>
          </cell>
          <cell r="O459" t="str">
            <v>Tinta Printer Canon 740 Hitam-740 Hitam</v>
          </cell>
          <cell r="P459" t="str">
            <v>Tinta Printer Canon 740 Hitam-740 Hitam</v>
          </cell>
          <cell r="Q459" t="str">
            <v>Alat Tulis Kantor (ATK)</v>
          </cell>
          <cell r="R459" t="str">
            <v>Tinta Printer Cano Aiflo Hitam (Length 5.0Cm, Width 5.0Cm, Height 5.0Cm, Weight 5Gr)</v>
          </cell>
          <cell r="S459">
            <v>8</v>
          </cell>
          <cell r="T459" t="str">
            <v>botol</v>
          </cell>
          <cell r="U459">
            <v>30000</v>
          </cell>
          <cell r="V459">
            <v>240000</v>
          </cell>
          <cell r="W459" t="str">
            <v>UD. JOSUA</v>
          </cell>
          <cell r="X459" t="str">
            <v>Gestiwan Zebua</v>
          </cell>
          <cell r="Y459" t="str">
            <v>082166506229</v>
          </cell>
          <cell r="Z459" t="str">
            <v>Jl. Pasir Putih Pasar Telukdalam, Telukdalam Kab. Nias Selatan</v>
          </cell>
          <cell r="AG459">
            <v>5</v>
          </cell>
        </row>
        <row r="460">
          <cell r="A460">
            <v>458</v>
          </cell>
          <cell r="B460" t="str">
            <v>139</v>
          </cell>
          <cell r="C460" t="str">
            <v>139</v>
          </cell>
          <cell r="D460" t="str">
            <v>BPU83</v>
          </cell>
          <cell r="E460">
            <v>459</v>
          </cell>
          <cell r="F460" t="str">
            <v>139</v>
          </cell>
          <cell r="G460">
            <v>45413</v>
          </cell>
          <cell r="H460">
            <v>45413</v>
          </cell>
          <cell r="I460">
            <v>45413</v>
          </cell>
          <cell r="J460">
            <v>45413</v>
          </cell>
          <cell r="K460">
            <v>45415</v>
          </cell>
          <cell r="L460" t="str">
            <v>5.1.02.01.01.00
24</v>
          </cell>
          <cell r="M460" t="str">
            <v>06.05.</v>
          </cell>
          <cell r="N460" t="str">
            <v>06.05.08.</v>
          </cell>
          <cell r="O460" t="str">
            <v>Kertas HVS 60 gram Merk : Paper One HVS F4 uk. 8.27"x11.69"</v>
          </cell>
          <cell r="P460" t="str">
            <v>Kertas HVS 60 gram Merk : Paper One HVS F4 uk. 8.27"x11.69"</v>
          </cell>
          <cell r="Q460" t="str">
            <v>Alat Tulis Kantor (ATK)</v>
          </cell>
          <cell r="R460" t="str">
            <v>Kertas Hvs 60Gsm Paper One F4 (Length 33.0Cm, Width 21.0Cm, Height 7.0Cm, Weight 1400Gr)</v>
          </cell>
          <cell r="S460">
            <v>10</v>
          </cell>
          <cell r="T460" t="str">
            <v>rim</v>
          </cell>
          <cell r="U460">
            <v>48500</v>
          </cell>
          <cell r="V460">
            <v>485000</v>
          </cell>
          <cell r="W460" t="str">
            <v>UD. JOSUA</v>
          </cell>
          <cell r="X460" t="str">
            <v>Gestiwan Zebua</v>
          </cell>
          <cell r="Y460" t="str">
            <v>082166506229</v>
          </cell>
          <cell r="Z460" t="str">
            <v>Jl. Pasir Putih Pasar Telukdalam, Telukdalam Kab. Nias Selatan</v>
          </cell>
          <cell r="AG460">
            <v>5</v>
          </cell>
        </row>
        <row r="461">
          <cell r="A461">
            <v>459</v>
          </cell>
          <cell r="B461" t="str">
            <v>139</v>
          </cell>
          <cell r="C461" t="str">
            <v>139</v>
          </cell>
          <cell r="D461" t="str">
            <v>BPU83</v>
          </cell>
          <cell r="E461">
            <v>460</v>
          </cell>
          <cell r="F461" t="str">
            <v>139</v>
          </cell>
          <cell r="G461">
            <v>45413</v>
          </cell>
          <cell r="H461">
            <v>45413</v>
          </cell>
          <cell r="I461">
            <v>45413</v>
          </cell>
          <cell r="J461">
            <v>45413</v>
          </cell>
          <cell r="K461">
            <v>45415</v>
          </cell>
          <cell r="L461" t="str">
            <v>5.1.02.01.01.00
24</v>
          </cell>
          <cell r="M461" t="str">
            <v>06.05.</v>
          </cell>
          <cell r="N461" t="str">
            <v>06.05.08.</v>
          </cell>
          <cell r="O461" t="str">
            <v>Binder Klip Ordner</v>
          </cell>
          <cell r="P461" t="str">
            <v>Binder Klip Ordner</v>
          </cell>
          <cell r="Q461" t="str">
            <v>Alat Tulis Kantor (ATK)</v>
          </cell>
          <cell r="R461" t="str">
            <v>Binder Klip Ordner (Length 5.0Cm, Width 5.0Cm, Height 5.0Cm, Weight 5Gr)</v>
          </cell>
          <cell r="S461">
            <v>6</v>
          </cell>
          <cell r="T461" t="str">
            <v>buah</v>
          </cell>
          <cell r="U461">
            <v>49500</v>
          </cell>
          <cell r="V461">
            <v>297000</v>
          </cell>
          <cell r="W461" t="str">
            <v>UD. JOSUA</v>
          </cell>
          <cell r="X461" t="str">
            <v>Gestiwan Zebua</v>
          </cell>
          <cell r="Y461" t="str">
            <v>082166506229</v>
          </cell>
          <cell r="Z461" t="str">
            <v>Jl. Pasir Putih Pasar Telukdalam, Telukdalam Kab. Nias Selatan</v>
          </cell>
          <cell r="AG461">
            <v>5</v>
          </cell>
        </row>
        <row r="462">
          <cell r="A462">
            <v>460</v>
          </cell>
          <cell r="B462" t="str">
            <v>140</v>
          </cell>
          <cell r="C462" t="str">
            <v>140</v>
          </cell>
          <cell r="D462" t="str">
            <v>BPU84</v>
          </cell>
          <cell r="E462">
            <v>461</v>
          </cell>
          <cell r="F462" t="str">
            <v>140</v>
          </cell>
          <cell r="G462">
            <v>45413</v>
          </cell>
          <cell r="H462">
            <v>45413</v>
          </cell>
          <cell r="I462">
            <v>45413</v>
          </cell>
          <cell r="J462">
            <v>45413</v>
          </cell>
          <cell r="K462">
            <v>45415</v>
          </cell>
          <cell r="L462" t="str">
            <v>5.1.02.01.01.00
30</v>
          </cell>
          <cell r="M462" t="str">
            <v>06.05.</v>
          </cell>
          <cell r="N462" t="str">
            <v>06.05.09.</v>
          </cell>
          <cell r="O462" t="str">
            <v>Handsoap/Pencuci Tangan</v>
          </cell>
          <cell r="P462" t="str">
            <v>Handsoap/Pencuci Tangan</v>
          </cell>
          <cell r="Q462" t="str">
            <v>Alat Kebersihan</v>
          </cell>
          <cell r="R462" t="str">
            <v>Handsoap/Pencuci Tangan (Antibacterial Hand Soap - 250ml, ekstrak aloevera)</v>
          </cell>
          <cell r="S462">
            <v>5</v>
          </cell>
          <cell r="T462" t="str">
            <v>botol</v>
          </cell>
          <cell r="U462">
            <v>67000</v>
          </cell>
          <cell r="V462">
            <v>335000</v>
          </cell>
          <cell r="W462" t="str">
            <v>UD. JOSUA</v>
          </cell>
          <cell r="X462" t="str">
            <v>Gestiwan Zebua</v>
          </cell>
          <cell r="Y462" t="str">
            <v>082166506229</v>
          </cell>
          <cell r="Z462" t="str">
            <v>Jl. Pasir Putih Pasar Telukdalam, Telukdalam Kab. Nias Selatan</v>
          </cell>
          <cell r="AG462">
            <v>5</v>
          </cell>
        </row>
        <row r="463">
          <cell r="A463">
            <v>461</v>
          </cell>
          <cell r="B463" t="str">
            <v>140</v>
          </cell>
          <cell r="C463" t="str">
            <v>140</v>
          </cell>
          <cell r="D463" t="str">
            <v>BPU84</v>
          </cell>
          <cell r="E463">
            <v>462</v>
          </cell>
          <cell r="F463" t="str">
            <v>140</v>
          </cell>
          <cell r="G463">
            <v>45413</v>
          </cell>
          <cell r="H463">
            <v>45413</v>
          </cell>
          <cell r="I463">
            <v>45413</v>
          </cell>
          <cell r="J463">
            <v>45413</v>
          </cell>
          <cell r="K463">
            <v>45415</v>
          </cell>
          <cell r="L463" t="str">
            <v>5.1.02.01.01.00
30</v>
          </cell>
          <cell r="M463" t="str">
            <v>06.05.</v>
          </cell>
          <cell r="N463" t="str">
            <v>06.05.09.</v>
          </cell>
          <cell r="O463" t="str">
            <v>Perlengkapan Kebersihan Pembersih Lantai Super Pel Varian 800ml</v>
          </cell>
          <cell r="P463" t="str">
            <v>Perlengkapan Kebersihan Pembersih Lantai Super Pel Varian 800ml</v>
          </cell>
          <cell r="Q463" t="str">
            <v>Alat Kebersihan</v>
          </cell>
          <cell r="R463" t="str">
            <v>Super Pel 800ml (Dimensi, 22cm x 12cm x 26cm. Berat, 800g.)</v>
          </cell>
          <cell r="S463">
            <v>15</v>
          </cell>
          <cell r="T463" t="str">
            <v>buah</v>
          </cell>
          <cell r="U463">
            <v>13700</v>
          </cell>
          <cell r="V463">
            <v>205500</v>
          </cell>
          <cell r="W463" t="str">
            <v>UD. JOSUA</v>
          </cell>
          <cell r="X463" t="str">
            <v>Gestiwan Zebua</v>
          </cell>
          <cell r="Y463" t="str">
            <v>082166506229</v>
          </cell>
          <cell r="Z463" t="str">
            <v>Jl. Pasir Putih Pasar Telukdalam, Telukdalam Kab. Nias Selatan</v>
          </cell>
          <cell r="AG463">
            <v>5</v>
          </cell>
        </row>
        <row r="464">
          <cell r="A464">
            <v>462</v>
          </cell>
          <cell r="B464" t="str">
            <v>140</v>
          </cell>
          <cell r="C464" t="str">
            <v>140</v>
          </cell>
          <cell r="D464" t="str">
            <v>BPU84</v>
          </cell>
          <cell r="E464">
            <v>463</v>
          </cell>
          <cell r="F464" t="str">
            <v>140</v>
          </cell>
          <cell r="G464">
            <v>45413</v>
          </cell>
          <cell r="H464">
            <v>45413</v>
          </cell>
          <cell r="I464">
            <v>45413</v>
          </cell>
          <cell r="J464">
            <v>45413</v>
          </cell>
          <cell r="K464">
            <v>45415</v>
          </cell>
          <cell r="L464" t="str">
            <v>5.1.02.01.01.00
30</v>
          </cell>
          <cell r="M464" t="str">
            <v>06.05.</v>
          </cell>
          <cell r="N464" t="str">
            <v>06.05.09.</v>
          </cell>
          <cell r="O464" t="str">
            <v>Pengharum Ruangan</v>
          </cell>
          <cell r="P464" t="str">
            <v>Pengharum Ruangan</v>
          </cell>
          <cell r="Q464" t="str">
            <v>Alat Kebersihan</v>
          </cell>
          <cell r="R464" t="str">
            <v>Stella pengharum ruangan sachet (Panjang : 10 cm, Lebar : 7 cm, Tinggi : 10 cm, Berat 10 Gr</v>
          </cell>
          <cell r="S464">
            <v>10</v>
          </cell>
          <cell r="T464" t="str">
            <v>buah</v>
          </cell>
          <cell r="U464">
            <v>12100</v>
          </cell>
          <cell r="V464">
            <v>121000</v>
          </cell>
          <cell r="W464" t="str">
            <v>UD. JOSUA</v>
          </cell>
          <cell r="X464" t="str">
            <v>Gestiwan Zebua</v>
          </cell>
          <cell r="Y464" t="str">
            <v>082166506229</v>
          </cell>
          <cell r="Z464" t="str">
            <v>Jl. Pasir Putih Pasar Telukdalam, Telukdalam Kab. Nias Selatan</v>
          </cell>
          <cell r="AG464">
            <v>5</v>
          </cell>
        </row>
        <row r="465">
          <cell r="A465">
            <v>463</v>
          </cell>
          <cell r="B465" t="str">
            <v>140</v>
          </cell>
          <cell r="C465" t="str">
            <v>140</v>
          </cell>
          <cell r="D465" t="str">
            <v>BPU84</v>
          </cell>
          <cell r="E465">
            <v>464</v>
          </cell>
          <cell r="F465" t="str">
            <v>140</v>
          </cell>
          <cell r="G465">
            <v>45413</v>
          </cell>
          <cell r="H465">
            <v>45413</v>
          </cell>
          <cell r="I465">
            <v>45413</v>
          </cell>
          <cell r="J465">
            <v>45413</v>
          </cell>
          <cell r="K465">
            <v>45415</v>
          </cell>
          <cell r="L465" t="str">
            <v>5.1.02.01.01.00
30</v>
          </cell>
          <cell r="M465" t="str">
            <v>06.05.</v>
          </cell>
          <cell r="N465" t="str">
            <v>06.05.09.</v>
          </cell>
          <cell r="O465" t="str">
            <v>Perlengkapan Kebersihan Pembersih Pakaian Sunlight Refil 800ml</v>
          </cell>
          <cell r="P465" t="str">
            <v>Perlengkapan Kebersihan Pembersih Pakaian Sunlight Refil 800ml</v>
          </cell>
          <cell r="Q465" t="str">
            <v>Alat Kebersihan</v>
          </cell>
          <cell r="R465" t="str">
            <v>Sunlight Refil 800ml (Dimensi, 6cm x 15cm x 22cm. Berat, 800g.)</v>
          </cell>
          <cell r="S465">
            <v>3</v>
          </cell>
          <cell r="T465" t="str">
            <v>buah</v>
          </cell>
          <cell r="U465">
            <v>15000</v>
          </cell>
          <cell r="V465">
            <v>45000</v>
          </cell>
          <cell r="W465" t="str">
            <v>UD. JOSUA</v>
          </cell>
          <cell r="X465" t="str">
            <v>Gestiwan Zebua</v>
          </cell>
          <cell r="Y465" t="str">
            <v>082166506229</v>
          </cell>
          <cell r="Z465" t="str">
            <v>Jl. Pasir Putih Pasar Telukdalam, Telukdalam Kab. Nias Selatan</v>
          </cell>
          <cell r="AG465">
            <v>5</v>
          </cell>
        </row>
        <row r="466">
          <cell r="A466">
            <v>464</v>
          </cell>
          <cell r="B466" t="str">
            <v>140</v>
          </cell>
          <cell r="C466" t="str">
            <v>140</v>
          </cell>
          <cell r="D466" t="str">
            <v>BPU84</v>
          </cell>
          <cell r="E466">
            <v>465</v>
          </cell>
          <cell r="F466" t="str">
            <v>140</v>
          </cell>
          <cell r="G466">
            <v>45413</v>
          </cell>
          <cell r="H466">
            <v>45413</v>
          </cell>
          <cell r="I466">
            <v>45413</v>
          </cell>
          <cell r="J466">
            <v>45413</v>
          </cell>
          <cell r="K466">
            <v>45415</v>
          </cell>
          <cell r="L466" t="str">
            <v>5.1.02.01.01.00
30</v>
          </cell>
          <cell r="M466" t="str">
            <v>06.05.</v>
          </cell>
          <cell r="N466" t="str">
            <v>06.05.09.</v>
          </cell>
          <cell r="O466" t="str">
            <v>vixal 500ml</v>
          </cell>
          <cell r="P466" t="str">
            <v>vixal 500ml</v>
          </cell>
          <cell r="Q466" t="str">
            <v>Alat Kebersihan</v>
          </cell>
          <cell r="R466" t="str">
            <v>Pembersih Lantai (Merk vixal, Kemasan Botol, isi  500ml)</v>
          </cell>
          <cell r="S466">
            <v>10</v>
          </cell>
          <cell r="T466" t="str">
            <v>botol</v>
          </cell>
          <cell r="U466">
            <v>30000</v>
          </cell>
          <cell r="V466">
            <v>300000</v>
          </cell>
          <cell r="W466" t="str">
            <v>UD. JOSUA</v>
          </cell>
          <cell r="X466" t="str">
            <v>Gestiwan Zebua</v>
          </cell>
          <cell r="Y466" t="str">
            <v>082166506229</v>
          </cell>
          <cell r="Z466" t="str">
            <v>Jl. Pasir Putih Pasar Telukdalam, Telukdalam Kab. Nias Selatan</v>
          </cell>
          <cell r="AG466">
            <v>5</v>
          </cell>
        </row>
        <row r="467">
          <cell r="A467">
            <v>465</v>
          </cell>
          <cell r="B467" t="str">
            <v>140</v>
          </cell>
          <cell r="C467" t="str">
            <v>140</v>
          </cell>
          <cell r="D467" t="str">
            <v>BPU84</v>
          </cell>
          <cell r="E467">
            <v>466</v>
          </cell>
          <cell r="F467" t="str">
            <v>140</v>
          </cell>
          <cell r="G467">
            <v>45413</v>
          </cell>
          <cell r="H467">
            <v>45413</v>
          </cell>
          <cell r="I467">
            <v>45413</v>
          </cell>
          <cell r="J467">
            <v>45413</v>
          </cell>
          <cell r="K467">
            <v>45415</v>
          </cell>
          <cell r="L467" t="str">
            <v>5.1.02.01.01.00
30</v>
          </cell>
          <cell r="M467" t="str">
            <v>06.05.</v>
          </cell>
          <cell r="N467" t="str">
            <v>06.05.09.</v>
          </cell>
          <cell r="O467" t="str">
            <v>Spon Cuci</v>
          </cell>
          <cell r="P467" t="str">
            <v>Spon Cuci</v>
          </cell>
          <cell r="Q467" t="str">
            <v>Alat Kebersihan</v>
          </cell>
          <cell r="R467" t="str">
            <v>Spon Cuci (G Spons Busa Cuci Piring Minyak Dua Sisi / Sponge Cuci Piring 2 sisi / Spons Abu Dua sisi Anti Minyak)</v>
          </cell>
          <cell r="S467">
            <v>5</v>
          </cell>
          <cell r="T467" t="str">
            <v>buah</v>
          </cell>
          <cell r="U467">
            <v>12000</v>
          </cell>
          <cell r="V467">
            <v>60000</v>
          </cell>
          <cell r="W467" t="str">
            <v>UD. JOSUA</v>
          </cell>
          <cell r="X467" t="str">
            <v>Gestiwan Zebua</v>
          </cell>
          <cell r="Y467" t="str">
            <v>082166506229</v>
          </cell>
          <cell r="Z467" t="str">
            <v>Jl. Pasir Putih Pasar Telukdalam, Telukdalam Kab. Nias Selatan</v>
          </cell>
          <cell r="AG467">
            <v>5</v>
          </cell>
        </row>
        <row r="468">
          <cell r="A468">
            <v>466</v>
          </cell>
          <cell r="B468" t="str">
            <v>140</v>
          </cell>
          <cell r="C468" t="str">
            <v>140</v>
          </cell>
          <cell r="D468" t="str">
            <v>BPU84</v>
          </cell>
          <cell r="E468">
            <v>467</v>
          </cell>
          <cell r="F468" t="str">
            <v>140</v>
          </cell>
          <cell r="G468">
            <v>45413</v>
          </cell>
          <cell r="H468">
            <v>45413</v>
          </cell>
          <cell r="I468">
            <v>45413</v>
          </cell>
          <cell r="J468">
            <v>45413</v>
          </cell>
          <cell r="K468">
            <v>45415</v>
          </cell>
          <cell r="L468" t="str">
            <v>5.1.02.01.01.00
30</v>
          </cell>
          <cell r="M468" t="str">
            <v>06.05.</v>
          </cell>
          <cell r="N468" t="str">
            <v>06.05.09.</v>
          </cell>
          <cell r="O468" t="str">
            <v>Tisu--</v>
          </cell>
          <cell r="P468" t="str">
            <v>Tisu--</v>
          </cell>
          <cell r="Q468" t="str">
            <v>Alat Kebersihan</v>
          </cell>
          <cell r="R468" t="str">
            <v>Tissue (Merk JOLLY 250 Sheets 2 Ply, Berat Volume = 285 gr)</v>
          </cell>
          <cell r="S468">
            <v>12</v>
          </cell>
          <cell r="T468" t="str">
            <v>buah</v>
          </cell>
          <cell r="U468">
            <v>12500</v>
          </cell>
          <cell r="V468">
            <v>150000</v>
          </cell>
          <cell r="W468" t="str">
            <v>UD. JOSUA</v>
          </cell>
          <cell r="X468" t="str">
            <v>Gestiwan Zebua</v>
          </cell>
          <cell r="Y468" t="str">
            <v>082166506229</v>
          </cell>
          <cell r="Z468" t="str">
            <v>Jl. Pasir Putih Pasar Telukdalam, Telukdalam Kab. Nias Selatan</v>
          </cell>
          <cell r="AG468">
            <v>5</v>
          </cell>
        </row>
        <row r="469">
          <cell r="A469">
            <v>467</v>
          </cell>
          <cell r="B469" t="str">
            <v>140</v>
          </cell>
          <cell r="C469" t="str">
            <v>140</v>
          </cell>
          <cell r="D469" t="str">
            <v>BPU84</v>
          </cell>
          <cell r="E469">
            <v>468</v>
          </cell>
          <cell r="F469" t="str">
            <v>140</v>
          </cell>
          <cell r="G469">
            <v>45413</v>
          </cell>
          <cell r="H469">
            <v>45413</v>
          </cell>
          <cell r="I469">
            <v>45413</v>
          </cell>
          <cell r="J469">
            <v>45413</v>
          </cell>
          <cell r="K469">
            <v>45415</v>
          </cell>
          <cell r="L469" t="str">
            <v>5.1.02.01.01.00
30</v>
          </cell>
          <cell r="M469" t="str">
            <v>06.05.</v>
          </cell>
          <cell r="N469" t="str">
            <v>06.05.09.</v>
          </cell>
          <cell r="O469" t="str">
            <v>Cairan Pembersih Kaca</v>
          </cell>
          <cell r="P469" t="str">
            <v>Cairan Pembersih Kaca</v>
          </cell>
          <cell r="Q469" t="str">
            <v>Alat Kebersihan</v>
          </cell>
          <cell r="R469" t="str">
            <v>Pembersih Kaca (Merk: CLING. Isi: 450ml. Dimensi 25 cm x 13 cm x 13 cm )</v>
          </cell>
          <cell r="S469">
            <v>5</v>
          </cell>
          <cell r="T469" t="str">
            <v>buah</v>
          </cell>
          <cell r="U469">
            <v>12000</v>
          </cell>
          <cell r="V469">
            <v>60000</v>
          </cell>
          <cell r="W469" t="str">
            <v>UD. JOSUA</v>
          </cell>
          <cell r="X469" t="str">
            <v>Gestiwan Zebua</v>
          </cell>
          <cell r="Y469" t="str">
            <v>082166506229</v>
          </cell>
          <cell r="Z469" t="str">
            <v>Jl. Pasir Putih Pasar Telukdalam, Telukdalam Kab. Nias Selatan</v>
          </cell>
          <cell r="AG469">
            <v>5</v>
          </cell>
        </row>
        <row r="470">
          <cell r="A470">
            <v>468</v>
          </cell>
          <cell r="B470" t="str">
            <v>140</v>
          </cell>
          <cell r="C470" t="str">
            <v>140</v>
          </cell>
          <cell r="D470" t="str">
            <v>BPU84</v>
          </cell>
          <cell r="E470">
            <v>469</v>
          </cell>
          <cell r="F470" t="str">
            <v>140</v>
          </cell>
          <cell r="G470">
            <v>45413</v>
          </cell>
          <cell r="H470">
            <v>45413</v>
          </cell>
          <cell r="I470">
            <v>45413</v>
          </cell>
          <cell r="J470">
            <v>45413</v>
          </cell>
          <cell r="K470">
            <v>45415</v>
          </cell>
          <cell r="L470" t="str">
            <v>5.1.02.01.01.00
30</v>
          </cell>
          <cell r="M470" t="str">
            <v>06.05.</v>
          </cell>
          <cell r="N470" t="str">
            <v>06.05.09.</v>
          </cell>
          <cell r="O470" t="str">
            <v>Hand Sanitizer-Unit</v>
          </cell>
          <cell r="P470" t="str">
            <v>Hand Sanitizer-Unit</v>
          </cell>
          <cell r="Q470" t="str">
            <v>Alat Kebersihan</v>
          </cell>
          <cell r="R470" t="str">
            <v>Hand Sanitizer (Merk: SOS. Isi: 300ml</v>
          </cell>
          <cell r="S470">
            <v>5</v>
          </cell>
          <cell r="T470" t="str">
            <v>unit</v>
          </cell>
          <cell r="U470">
            <v>70000</v>
          </cell>
          <cell r="V470">
            <v>350000</v>
          </cell>
          <cell r="W470" t="str">
            <v>UD. JOSUA</v>
          </cell>
          <cell r="X470" t="str">
            <v>Gestiwan Zebua</v>
          </cell>
          <cell r="Y470" t="str">
            <v>082166506229</v>
          </cell>
          <cell r="Z470" t="str">
            <v>Jl. Pasir Putih Pasar Telukdalam, Telukdalam Kab. Nias Selatan</v>
          </cell>
          <cell r="AG470">
            <v>5</v>
          </cell>
        </row>
        <row r="471">
          <cell r="A471">
            <v>469</v>
          </cell>
          <cell r="B471" t="str">
            <v>141</v>
          </cell>
          <cell r="C471" t="str">
            <v>141</v>
          </cell>
          <cell r="D471" t="str">
            <v>BPU85</v>
          </cell>
          <cell r="E471">
            <v>470</v>
          </cell>
          <cell r="F471" t="str">
            <v>141</v>
          </cell>
          <cell r="G471">
            <v>45414</v>
          </cell>
          <cell r="H471">
            <v>45415</v>
          </cell>
          <cell r="I471">
            <v>45415</v>
          </cell>
          <cell r="J471">
            <v>45415</v>
          </cell>
          <cell r="K471">
            <v>45415</v>
          </cell>
          <cell r="L471" t="str">
            <v>5.1.02.01.01.00
55</v>
          </cell>
          <cell r="M471" t="str">
            <v>03.01.</v>
          </cell>
          <cell r="N471" t="str">
            <v>03.01.01.</v>
          </cell>
          <cell r="O471" t="str">
            <v>Satuan Biaya Konsumsi Makanan dan Minuman Fasilitas Pelayanan Urusan Pendidikan Biasa, Kudapan (Snack) - Provinsi Sumatera Utara--</v>
          </cell>
          <cell r="P471" t="str">
            <v>Kue Kotak</v>
          </cell>
          <cell r="Q471" t="str">
            <v>Kudapan</v>
          </cell>
          <cell r="R471" t="str">
            <v>Kue (bahan tepung terigu, gula, telur, mentega; berat 100gr, panjang 15cm, lebar 8 cm)</v>
          </cell>
          <cell r="S471">
            <v>80</v>
          </cell>
          <cell r="T471" t="str">
            <v>kotak</v>
          </cell>
          <cell r="U471">
            <v>15000</v>
          </cell>
          <cell r="V471">
            <v>900000</v>
          </cell>
          <cell r="W471" t="str">
            <v>Rumah Roti Helena</v>
          </cell>
          <cell r="X471" t="str">
            <v>Fudi Supiyanto</v>
          </cell>
          <cell r="Y471" t="str">
            <v>082164895397</v>
          </cell>
          <cell r="Z471" t="str">
            <v>Jl. Jend A. Yani No. 89 Kelurahan Pasar Telukdalam - Nias Selatan</v>
          </cell>
          <cell r="AG471">
            <v>5</v>
          </cell>
        </row>
        <row r="472">
          <cell r="A472">
            <v>470</v>
          </cell>
          <cell r="B472" t="str">
            <v>142</v>
          </cell>
          <cell r="C472" t="str">
            <v>142</v>
          </cell>
          <cell r="D472" t="str">
            <v>BPU86</v>
          </cell>
          <cell r="E472">
            <v>471</v>
          </cell>
          <cell r="F472" t="str">
            <v>142</v>
          </cell>
          <cell r="G472">
            <v>45414</v>
          </cell>
          <cell r="H472">
            <v>45415</v>
          </cell>
          <cell r="I472">
            <v>45415</v>
          </cell>
          <cell r="J472">
            <v>45415</v>
          </cell>
          <cell r="K472">
            <v>45415</v>
          </cell>
          <cell r="L472" t="str">
            <v>5.1.02.01.01.00
55</v>
          </cell>
          <cell r="M472" t="str">
            <v>03.01.</v>
          </cell>
          <cell r="N472" t="str">
            <v>03.01.01.</v>
          </cell>
          <cell r="O472" t="str">
            <v>Satuan Biaya Konsumsi Makanan dan Minuman Fasilitas Pelayanan Urusan Pendidikan Biasa, Makan - Provinsi Sumatera Utara--</v>
          </cell>
          <cell r="P472" t="str">
            <v>Nasi Kotak</v>
          </cell>
          <cell r="Q472" t="str">
            <v>Konsumsi</v>
          </cell>
          <cell r="R472" t="str">
            <v>Nasi putih;Sop daging; Sayur; Berat 1000gr; Dimensi; (PxLxT) 25cmx25cmx10cm</v>
          </cell>
          <cell r="S472">
            <v>80</v>
          </cell>
          <cell r="T472" t="str">
            <v>kotak</v>
          </cell>
          <cell r="U472">
            <v>40000</v>
          </cell>
          <cell r="V472">
            <v>2400000</v>
          </cell>
          <cell r="W472" t="str">
            <v>Resto JFC Esther</v>
          </cell>
          <cell r="X472" t="str">
            <v>Limaati Daeli</v>
          </cell>
          <cell r="Y472" t="str">
            <v>085297578868</v>
          </cell>
          <cell r="Z472" t="str">
            <v>Jl. Saonigeho Km. 5 Telukdalam, Kab. Nias Selatan</v>
          </cell>
          <cell r="AG472">
            <v>5</v>
          </cell>
        </row>
        <row r="473">
          <cell r="A473">
            <v>471</v>
          </cell>
          <cell r="B473" t="str">
            <v>143</v>
          </cell>
          <cell r="C473" t="str">
            <v>143</v>
          </cell>
          <cell r="D473" t="str">
            <v>BPU87</v>
          </cell>
          <cell r="E473">
            <v>472</v>
          </cell>
          <cell r="F473" t="str">
            <v>143</v>
          </cell>
          <cell r="G473">
            <v>45415</v>
          </cell>
          <cell r="H473">
            <v>45416</v>
          </cell>
          <cell r="I473">
            <v>45416</v>
          </cell>
          <cell r="J473">
            <v>45416</v>
          </cell>
          <cell r="K473">
            <v>45416</v>
          </cell>
          <cell r="L473" t="str">
            <v>5.1.02.01.01.00
52</v>
          </cell>
          <cell r="M473" t="str">
            <v>05.05.</v>
          </cell>
          <cell r="N473" t="str">
            <v>05.05.02.</v>
          </cell>
          <cell r="O473" t="str">
            <v>Air Mineral pada pelaksanaan kegiatan bulanan Gerakan Bersih Lingkungan Sekolah</v>
          </cell>
          <cell r="P473" t="str">
            <v>Aqua Cup</v>
          </cell>
          <cell r="Q473" t="str">
            <v>Air Mineral</v>
          </cell>
          <cell r="R473" t="str">
            <v>Aqua Cup (Diameter: 6.3cm. Tinggi: 9.5cm)</v>
          </cell>
          <cell r="S473">
            <v>25</v>
          </cell>
          <cell r="T473" t="str">
            <v>dus</v>
          </cell>
          <cell r="U473">
            <v>50000</v>
          </cell>
          <cell r="V473">
            <v>1250000</v>
          </cell>
          <cell r="W473" t="str">
            <v>Rumah Roti Helena</v>
          </cell>
          <cell r="X473" t="str">
            <v>Fudi Supiyanto</v>
          </cell>
          <cell r="Y473" t="str">
            <v>082164895397</v>
          </cell>
          <cell r="Z473" t="str">
            <v>Jl. Jend A. Yani No. 89 Kelurahan Pasar Telukdalam - Nias Selatan</v>
          </cell>
          <cell r="AG473">
            <v>5</v>
          </cell>
        </row>
        <row r="474">
          <cell r="A474">
            <v>472</v>
          </cell>
          <cell r="B474" t="str">
            <v>144</v>
          </cell>
          <cell r="C474" t="str">
            <v>144</v>
          </cell>
          <cell r="D474" t="str">
            <v>BPU88</v>
          </cell>
          <cell r="E474">
            <v>473</v>
          </cell>
          <cell r="F474" t="str">
            <v>144</v>
          </cell>
          <cell r="G474">
            <v>45417</v>
          </cell>
          <cell r="H474">
            <v>45418</v>
          </cell>
          <cell r="I474">
            <v>45418</v>
          </cell>
          <cell r="J474">
            <v>45418</v>
          </cell>
          <cell r="K474">
            <v>45418</v>
          </cell>
          <cell r="L474" t="str">
            <v>5.1.02.01.01.00
52</v>
          </cell>
          <cell r="M474" t="str">
            <v>03.03.</v>
          </cell>
          <cell r="N474" t="str">
            <v>03.03.19.</v>
          </cell>
          <cell r="O474" t="str">
            <v>Kudapan pada Kegiatan Lomba Olimpiade Sains</v>
          </cell>
          <cell r="P474" t="str">
            <v>Kue Kotak</v>
          </cell>
          <cell r="Q474" t="str">
            <v>Kudapan</v>
          </cell>
          <cell r="R474" t="str">
            <v>Kue (bahan tepung terigu, gula, telur, mentega; berat 100gr, panjang 15cm, lebar 8 cm)</v>
          </cell>
          <cell r="S474">
            <v>200</v>
          </cell>
          <cell r="T474" t="str">
            <v>kotak</v>
          </cell>
          <cell r="U474">
            <v>15000</v>
          </cell>
          <cell r="V474">
            <v>3000000</v>
          </cell>
          <cell r="W474" t="str">
            <v>Rumah Roti Helena</v>
          </cell>
          <cell r="X474" t="str">
            <v>Fudi Supiyanto</v>
          </cell>
          <cell r="Y474" t="str">
            <v>082164895397</v>
          </cell>
          <cell r="Z474" t="str">
            <v>Jl. Jend A. Yani No. 89 Kelurahan Pasar Telukdalam - Nias Selatan</v>
          </cell>
          <cell r="AG474">
            <v>5</v>
          </cell>
        </row>
        <row r="475">
          <cell r="A475">
            <v>473</v>
          </cell>
          <cell r="B475" t="str">
            <v>145</v>
          </cell>
          <cell r="C475" t="str">
            <v>145</v>
          </cell>
          <cell r="D475" t="str">
            <v>BPU89</v>
          </cell>
          <cell r="E475">
            <v>474</v>
          </cell>
          <cell r="F475" t="str">
            <v>145</v>
          </cell>
          <cell r="G475">
            <v>45417</v>
          </cell>
          <cell r="H475">
            <v>45418</v>
          </cell>
          <cell r="I475">
            <v>45418</v>
          </cell>
          <cell r="J475">
            <v>45418</v>
          </cell>
          <cell r="K475">
            <v>45418</v>
          </cell>
          <cell r="L475" t="str">
            <v>5.1.02.01.01.00
26</v>
          </cell>
          <cell r="M475" t="str">
            <v>03.03.</v>
          </cell>
          <cell r="N475" t="str">
            <v>03.03.21.</v>
          </cell>
          <cell r="O475" t="str">
            <v>Spanduk Uk. 1 x 6 meter-</v>
          </cell>
          <cell r="P475" t="str">
            <v>Spanduk Uk. 1 x 6 meter-</v>
          </cell>
          <cell r="Q475" t="str">
            <v>Percetakan</v>
          </cell>
          <cell r="R475" t="str">
            <v>Spanduk (Ukuran 2 X 4 m)</v>
          </cell>
          <cell r="S475">
            <v>2</v>
          </cell>
          <cell r="T475" t="str">
            <v>buah</v>
          </cell>
          <cell r="U475">
            <v>300000</v>
          </cell>
          <cell r="V475">
            <v>600000</v>
          </cell>
          <cell r="W475" t="str">
            <v>UD. Balizato</v>
          </cell>
          <cell r="X475" t="str">
            <v>Pieter Buala P. Loi</v>
          </cell>
          <cell r="Y475" t="str">
            <v>082166506229</v>
          </cell>
          <cell r="Z475" t="str">
            <v>Jl. Pasir Putih Pasar Telukdalam, Telukdalam Kab. Nias Selatan</v>
          </cell>
          <cell r="AG475">
            <v>5</v>
          </cell>
        </row>
        <row r="476">
          <cell r="A476">
            <v>474</v>
          </cell>
          <cell r="B476" t="str">
            <v>146</v>
          </cell>
          <cell r="C476" t="str">
            <v>146</v>
          </cell>
          <cell r="D476" t="str">
            <v>BPU90</v>
          </cell>
          <cell r="E476">
            <v>475</v>
          </cell>
          <cell r="F476" t="str">
            <v>146</v>
          </cell>
          <cell r="G476">
            <v>45431</v>
          </cell>
          <cell r="H476">
            <v>45432</v>
          </cell>
          <cell r="I476">
            <v>45432</v>
          </cell>
          <cell r="J476">
            <v>45432</v>
          </cell>
          <cell r="K476">
            <v>45433</v>
          </cell>
          <cell r="L476" t="str">
            <v>5.1.02.02.01.00
61</v>
          </cell>
          <cell r="M476" t="str">
            <v>06.07.</v>
          </cell>
          <cell r="N476" t="str">
            <v>06.07.01.</v>
          </cell>
          <cell r="O476" t="str">
            <v>Biaya Rekening Listrik--</v>
          </cell>
          <cell r="P476" t="str">
            <v>Biaya Rekening Listrik--</v>
          </cell>
          <cell r="Q476" t="str">
            <v>Jasa PLN</v>
          </cell>
          <cell r="R476" t="str">
            <v>Jasa Listrik 4400 VA</v>
          </cell>
          <cell r="S476">
            <v>1</v>
          </cell>
          <cell r="T476" t="str">
            <v>bulan</v>
          </cell>
          <cell r="U476">
            <v>2000000</v>
          </cell>
          <cell r="V476">
            <v>1613730</v>
          </cell>
          <cell r="W476" t="str">
            <v>PLN</v>
          </cell>
          <cell r="X476" t="str">
            <v>Riama Siahaan</v>
          </cell>
          <cell r="Y476" t="str">
            <v>082370389806</v>
          </cell>
          <cell r="Z476" t="str">
            <v>Desa Fanayama, Kec. Fanayama, Kab. Nias Selatan</v>
          </cell>
          <cell r="AG476">
            <v>5</v>
          </cell>
        </row>
        <row r="477">
          <cell r="A477">
            <v>475</v>
          </cell>
          <cell r="B477" t="str">
            <v>147</v>
          </cell>
          <cell r="C477" t="str">
            <v>147</v>
          </cell>
          <cell r="D477" t="str">
            <v>BPU91</v>
          </cell>
          <cell r="E477">
            <v>476</v>
          </cell>
          <cell r="F477" t="str">
            <v>147</v>
          </cell>
          <cell r="G477">
            <v>45431</v>
          </cell>
          <cell r="H477">
            <v>45432</v>
          </cell>
          <cell r="I477">
            <v>45432</v>
          </cell>
          <cell r="J477">
            <v>45432</v>
          </cell>
          <cell r="K477">
            <v>45433</v>
          </cell>
          <cell r="L477" t="str">
            <v>5.1.02.02.01.00
63</v>
          </cell>
          <cell r="M477" t="str">
            <v>06.07.</v>
          </cell>
          <cell r="N477" t="str">
            <v>06.07.05.</v>
          </cell>
          <cell r="O477" t="str">
            <v>Biaya Langganan Internet--</v>
          </cell>
          <cell r="P477" t="str">
            <v>Biaya Langganan Internet--</v>
          </cell>
          <cell r="Q477" t="str">
            <v>Jasa Internet</v>
          </cell>
          <cell r="R477" t="str">
            <v>Jasa Indihome Unlimited</v>
          </cell>
          <cell r="S477">
            <v>1</v>
          </cell>
          <cell r="T477" t="str">
            <v>bulan</v>
          </cell>
          <cell r="U477">
            <v>1500000</v>
          </cell>
          <cell r="V477">
            <v>1235850</v>
          </cell>
          <cell r="W477" t="str">
            <v>Indihome</v>
          </cell>
          <cell r="X477" t="str">
            <v>Riama Siahaan</v>
          </cell>
          <cell r="Y477" t="str">
            <v>082370389806</v>
          </cell>
          <cell r="Z477" t="str">
            <v>Desa Fanayama, Kec. Fanayama, Kab. Nias Selatan</v>
          </cell>
          <cell r="AG477">
            <v>5</v>
          </cell>
        </row>
        <row r="478">
          <cell r="A478">
            <v>476</v>
          </cell>
          <cell r="B478" t="str">
            <v>148</v>
          </cell>
          <cell r="C478" t="str">
            <v>148</v>
          </cell>
          <cell r="D478" t="str">
            <v>BPU92</v>
          </cell>
          <cell r="E478">
            <v>477</v>
          </cell>
          <cell r="F478" t="str">
            <v>148</v>
          </cell>
          <cell r="G478">
            <v>45436</v>
          </cell>
          <cell r="H478">
            <v>45437</v>
          </cell>
          <cell r="I478">
            <v>45437</v>
          </cell>
          <cell r="J478">
            <v>45437</v>
          </cell>
          <cell r="K478">
            <v>45437</v>
          </cell>
          <cell r="L478" t="str">
            <v>5.1.02.01.01.00
26</v>
          </cell>
          <cell r="M478" t="str">
            <v>06.05.</v>
          </cell>
          <cell r="N478" t="str">
            <v>06.05.08.</v>
          </cell>
          <cell r="O478" t="str">
            <v>Foto Copy Filio dan Kuarto</v>
          </cell>
          <cell r="P478" t="str">
            <v>Foto Copy Filio dan Kuarto</v>
          </cell>
          <cell r="Q478" t="str">
            <v>Penggandaan</v>
          </cell>
          <cell r="R478" t="str">
            <v>Fotocopy ukuran A4/F4</v>
          </cell>
          <cell r="S478">
            <v>4739</v>
          </cell>
          <cell r="T478" t="str">
            <v>lembar</v>
          </cell>
          <cell r="U478">
            <v>350</v>
          </cell>
          <cell r="V478">
            <v>5337500</v>
          </cell>
          <cell r="W478" t="str">
            <v>UD. JOSUA</v>
          </cell>
          <cell r="X478" t="str">
            <v>Gestiwan Zebua</v>
          </cell>
          <cell r="Y478" t="str">
            <v>082166506229</v>
          </cell>
          <cell r="Z478" t="str">
            <v>Jl. Pasir Putih Pasar Telukdalam, Telukdalam Kab. Nias Selatan</v>
          </cell>
          <cell r="AG478">
            <v>5</v>
          </cell>
        </row>
        <row r="479">
          <cell r="A479">
            <v>477</v>
          </cell>
          <cell r="B479" t="str">
            <v>149</v>
          </cell>
          <cell r="C479" t="str">
            <v>149</v>
          </cell>
          <cell r="D479" t="str">
            <v>BPU93</v>
          </cell>
          <cell r="E479">
            <v>478</v>
          </cell>
          <cell r="F479" t="str">
            <v>149</v>
          </cell>
          <cell r="G479">
            <v>45437</v>
          </cell>
          <cell r="H479">
            <v>45439</v>
          </cell>
          <cell r="I479">
            <v>45439</v>
          </cell>
          <cell r="J479">
            <v>45439</v>
          </cell>
          <cell r="K479">
            <v>45439</v>
          </cell>
          <cell r="L479" t="str">
            <v>5.1.02.01.01.00
52</v>
          </cell>
          <cell r="M479" t="str">
            <v>08.04.</v>
          </cell>
          <cell r="N479" t="str">
            <v>08.04.05.</v>
          </cell>
          <cell r="O479" t="str">
            <v>Konsumsi pada kegiatan penyusunan soal penilaian sumatif Kelas X, XI, XII</v>
          </cell>
          <cell r="P479" t="str">
            <v>Nasi Kotak</v>
          </cell>
          <cell r="Q479" t="str">
            <v>Konsumsi</v>
          </cell>
          <cell r="R479" t="str">
            <v>Nasi putih;Sop daging; Sayur; Berat 1000gr; Dimensi; (PxLxT) 25cmx25cmx10cm</v>
          </cell>
          <cell r="S479">
            <v>120</v>
          </cell>
          <cell r="T479" t="str">
            <v>kotak</v>
          </cell>
          <cell r="U479">
            <v>40000</v>
          </cell>
          <cell r="V479">
            <v>4800000</v>
          </cell>
          <cell r="W479" t="str">
            <v>Resto JFC Esther</v>
          </cell>
          <cell r="X479" t="str">
            <v>Limaati Daeli</v>
          </cell>
          <cell r="Y479" t="str">
            <v>085297578868</v>
          </cell>
          <cell r="Z479" t="str">
            <v>Jl. Saonigeho Km. 5 Telukdalam, Kab. Nias Selatan</v>
          </cell>
          <cell r="AG479">
            <v>5</v>
          </cell>
        </row>
        <row r="480">
          <cell r="A480">
            <v>478</v>
          </cell>
          <cell r="B480" t="str">
            <v>150</v>
          </cell>
          <cell r="C480" t="str">
            <v>150</v>
          </cell>
          <cell r="D480" t="str">
            <v>BPU94</v>
          </cell>
          <cell r="E480">
            <v>479</v>
          </cell>
          <cell r="F480" t="str">
            <v>150</v>
          </cell>
          <cell r="G480">
            <v>45437</v>
          </cell>
          <cell r="H480">
            <v>45439</v>
          </cell>
          <cell r="I480">
            <v>45439</v>
          </cell>
          <cell r="J480">
            <v>45439</v>
          </cell>
          <cell r="K480">
            <v>45439</v>
          </cell>
          <cell r="L480" t="str">
            <v>5.1.02.01.01.00
52</v>
          </cell>
          <cell r="M480" t="str">
            <v>08.04.</v>
          </cell>
          <cell r="N480" t="str">
            <v>08.04.05.</v>
          </cell>
          <cell r="O480" t="str">
            <v>Kudapan pada kegiatan penyusunan soal penilaian sumatif Kelas X, XI, XII</v>
          </cell>
          <cell r="P480" t="str">
            <v>Kue Kotak</v>
          </cell>
          <cell r="Q480" t="str">
            <v>Kudapan</v>
          </cell>
          <cell r="R480" t="str">
            <v>Kue (bahan tepung terigu, gula, telur, mentega; berat 100gr, panjang 15cm, lebar 8 cm)</v>
          </cell>
          <cell r="S480">
            <v>120</v>
          </cell>
          <cell r="T480" t="str">
            <v>kotak</v>
          </cell>
          <cell r="U480">
            <v>15000</v>
          </cell>
          <cell r="V480">
            <v>1800000</v>
          </cell>
          <cell r="W480" t="str">
            <v>Rumah Roti Helena</v>
          </cell>
          <cell r="X480" t="str">
            <v>Fudi Supiyanto</v>
          </cell>
          <cell r="Y480" t="str">
            <v>082164895397</v>
          </cell>
          <cell r="Z480" t="str">
            <v>Jl. Jend A. Yani No. 89 Kelurahan Pasar Telukdalam - Nias Selatan</v>
          </cell>
          <cell r="AG480">
            <v>5</v>
          </cell>
        </row>
        <row r="481">
          <cell r="A481">
            <v>479</v>
          </cell>
          <cell r="B481" t="str">
            <v>151</v>
          </cell>
          <cell r="C481" t="str">
            <v>151</v>
          </cell>
          <cell r="D481" t="str">
            <v>BPU95</v>
          </cell>
          <cell r="E481">
            <v>480</v>
          </cell>
          <cell r="F481" t="str">
            <v>151</v>
          </cell>
          <cell r="G481">
            <v>44999</v>
          </cell>
          <cell r="H481">
            <v>45440</v>
          </cell>
          <cell r="I481">
            <v>45440</v>
          </cell>
          <cell r="J481">
            <v>45440</v>
          </cell>
          <cell r="K481">
            <v>45440</v>
          </cell>
          <cell r="L481" t="str">
            <v>5.1.02.01.01.00
55</v>
          </cell>
          <cell r="M481" t="str">
            <v>08.04.</v>
          </cell>
          <cell r="N481" t="str">
            <v>08.04.07.</v>
          </cell>
          <cell r="O481" t="str">
            <v>Satuan Biaya Konsumsi Makanan dan Minuman Fasilitas Pelayanan Urusan Pendidikan Biasa, Kudapan (Snack) - Provinsi Sumatera Utara--</v>
          </cell>
          <cell r="P481" t="str">
            <v>Kue Kotak</v>
          </cell>
          <cell r="Q481" t="str">
            <v>Kudapan</v>
          </cell>
          <cell r="R481" t="str">
            <v>Kue (bahan tepung terigu, gula, telur, mentega; berat 100gr, panjang 15cm, lebar 8 cm)</v>
          </cell>
          <cell r="S481">
            <v>80</v>
          </cell>
          <cell r="T481" t="str">
            <v>kotak</v>
          </cell>
          <cell r="U481">
            <v>15000</v>
          </cell>
          <cell r="V481">
            <v>2625000</v>
          </cell>
          <cell r="W481" t="str">
            <v>Rumah Roti Helena</v>
          </cell>
          <cell r="X481" t="str">
            <v>Fudi Supiyanto</v>
          </cell>
          <cell r="Y481" t="str">
            <v>082164895397</v>
          </cell>
          <cell r="Z481" t="str">
            <v>Jl. Jend A. Yani No. 89 Kelurahan Pasar Telukdalam - Nias Selatan</v>
          </cell>
          <cell r="AG481">
            <v>5</v>
          </cell>
        </row>
        <row r="482">
          <cell r="A482">
            <v>480</v>
          </cell>
          <cell r="B482" t="str">
            <v>152</v>
          </cell>
          <cell r="C482" t="str">
            <v>152</v>
          </cell>
          <cell r="D482" t="str">
            <v>BPU96</v>
          </cell>
          <cell r="E482">
            <v>481</v>
          </cell>
          <cell r="F482" t="str">
            <v>152</v>
          </cell>
          <cell r="G482">
            <v>45439</v>
          </cell>
          <cell r="H482">
            <v>45440</v>
          </cell>
          <cell r="I482">
            <v>45440</v>
          </cell>
          <cell r="J482">
            <v>45440</v>
          </cell>
          <cell r="K482">
            <v>45440</v>
          </cell>
          <cell r="L482" t="str">
            <v>5.1.02.01.01.00
55</v>
          </cell>
          <cell r="M482" t="str">
            <v>08.04.</v>
          </cell>
          <cell r="N482" t="str">
            <v>08.04.07.</v>
          </cell>
          <cell r="O482" t="str">
            <v>Satuan Biaya Konsumsi Makanan dan Minuman Fasilitas Pelayanan Urusan Pendidikan Biasa, Makan - Provinsi Sumatera Utara--</v>
          </cell>
          <cell r="P482" t="str">
            <v>Nasi Kotak</v>
          </cell>
          <cell r="Q482" t="str">
            <v>Konsumsi</v>
          </cell>
          <cell r="R482" t="str">
            <v>Nasi putih;Sop daging; Sayur; Berat 1000gr; Dimensi; (PxLxT) 25cmx25cmx10cm</v>
          </cell>
          <cell r="S482">
            <v>80</v>
          </cell>
          <cell r="T482" t="str">
            <v>kotak</v>
          </cell>
          <cell r="U482">
            <v>40000</v>
          </cell>
          <cell r="V482">
            <v>2400000</v>
          </cell>
          <cell r="W482" t="str">
            <v>Resto JFC Esther</v>
          </cell>
          <cell r="X482" t="str">
            <v>Limaati Daeli</v>
          </cell>
          <cell r="Y482" t="str">
            <v>085297578868</v>
          </cell>
          <cell r="Z482" t="str">
            <v>Jl. Saonigeho Km. 5 Telukdalam, Kab. Nias Selatan</v>
          </cell>
          <cell r="AG482">
            <v>5</v>
          </cell>
        </row>
        <row r="483">
          <cell r="A483">
            <v>481</v>
          </cell>
          <cell r="B483" t="str">
            <v>153</v>
          </cell>
          <cell r="C483" t="str">
            <v>153</v>
          </cell>
          <cell r="D483" t="str">
            <v>BPU97</v>
          </cell>
          <cell r="E483">
            <v>482</v>
          </cell>
          <cell r="F483" t="str">
            <v>153</v>
          </cell>
          <cell r="G483">
            <v>45440</v>
          </cell>
          <cell r="H483">
            <v>45441</v>
          </cell>
          <cell r="I483">
            <v>45441</v>
          </cell>
          <cell r="J483">
            <v>45441</v>
          </cell>
          <cell r="K483">
            <v>45441</v>
          </cell>
          <cell r="L483" t="str">
            <v>5.1.02.02.01.00
27</v>
          </cell>
          <cell r="M483" t="str">
            <v>06.05.</v>
          </cell>
          <cell r="N483" t="str">
            <v>06.05.03.</v>
          </cell>
          <cell r="O483" t="str">
            <v>Belanja Jasa Tenaga Operator Komputer--</v>
          </cell>
          <cell r="P483" t="str">
            <v>Belanja Jasa Tenaga Operator Komputer--</v>
          </cell>
          <cell r="Q483" t="str">
            <v>Jasa Tenaga Operator</v>
          </cell>
          <cell r="R483" t="str">
            <v xml:space="preserve"> Biaya Jasa Operator Sekolah</v>
          </cell>
          <cell r="S483">
            <v>1</v>
          </cell>
          <cell r="T483" t="str">
            <v>bulan</v>
          </cell>
          <cell r="U483">
            <v>1000000</v>
          </cell>
          <cell r="V483">
            <v>1000000</v>
          </cell>
          <cell r="W483" t="str">
            <v>Riama Siahaan</v>
          </cell>
          <cell r="X483" t="str">
            <v>Riama Siahaan</v>
          </cell>
          <cell r="Y483" t="str">
            <v>082370389806</v>
          </cell>
          <cell r="Z483" t="str">
            <v>Desa Fanayama, Kec. Fanayama, Kab. Nias Selatan</v>
          </cell>
          <cell r="AG483">
            <v>5</v>
          </cell>
        </row>
        <row r="484">
          <cell r="A484">
            <v>482</v>
          </cell>
          <cell r="B484" t="str">
            <v>154</v>
          </cell>
          <cell r="C484" t="str">
            <v>154</v>
          </cell>
          <cell r="D484" t="str">
            <v>BNU63</v>
          </cell>
          <cell r="E484">
            <v>483</v>
          </cell>
          <cell r="F484" t="str">
            <v>154</v>
          </cell>
          <cell r="G484">
            <v>45440</v>
          </cell>
          <cell r="H484">
            <v>45441</v>
          </cell>
          <cell r="I484">
            <v>45441</v>
          </cell>
          <cell r="J484">
            <v>45441</v>
          </cell>
          <cell r="K484">
            <v>45441</v>
          </cell>
          <cell r="L484" t="str">
            <v>5.1.02.02.01.00
13</v>
          </cell>
          <cell r="M484" t="str">
            <v>07.12.</v>
          </cell>
          <cell r="N484" t="str">
            <v>07.12.01.</v>
          </cell>
          <cell r="O484" t="str">
            <v>Selatieli Nehe</v>
          </cell>
          <cell r="P484" t="str">
            <v>Selatieli Nehe</v>
          </cell>
          <cell r="Q484" t="str">
            <v>Jasa Tenaga Pengajar</v>
          </cell>
          <cell r="R484" t="str">
            <v>Honor Guru Tidak Tetap Sekolah (GTTS)</v>
          </cell>
          <cell r="S484">
            <v>33</v>
          </cell>
          <cell r="T484" t="str">
            <v>jpl</v>
          </cell>
          <cell r="U484">
            <v>75000</v>
          </cell>
          <cell r="V484">
            <v>2475000</v>
          </cell>
          <cell r="W484" t="str">
            <v>GTTS dan PTTS</v>
          </cell>
          <cell r="X484">
            <v>0</v>
          </cell>
          <cell r="AG484">
            <v>5</v>
          </cell>
        </row>
        <row r="485">
          <cell r="A485">
            <v>483</v>
          </cell>
          <cell r="B485" t="str">
            <v>155</v>
          </cell>
          <cell r="C485" t="str">
            <v>155</v>
          </cell>
          <cell r="D485" t="str">
            <v>BNU64</v>
          </cell>
          <cell r="E485">
            <v>484</v>
          </cell>
          <cell r="F485" t="str">
            <v>155</v>
          </cell>
          <cell r="G485">
            <v>45440</v>
          </cell>
          <cell r="H485">
            <v>45441</v>
          </cell>
          <cell r="I485">
            <v>45441</v>
          </cell>
          <cell r="J485">
            <v>45441</v>
          </cell>
          <cell r="K485">
            <v>45441</v>
          </cell>
          <cell r="L485" t="str">
            <v>5.1.02.02.01.00
13</v>
          </cell>
          <cell r="M485" t="str">
            <v>07.12.</v>
          </cell>
          <cell r="N485" t="str">
            <v>07.12.01.</v>
          </cell>
          <cell r="O485" t="str">
            <v>Arifin Metodi Bate'e</v>
          </cell>
          <cell r="P485" t="str">
            <v>Arifin Metodi Bate'e</v>
          </cell>
          <cell r="Q485" t="str">
            <v>Jasa Tenaga Pengajar</v>
          </cell>
          <cell r="R485" t="str">
            <v>Honor Guru Tidak Tetap Sekolah (GTTS)</v>
          </cell>
          <cell r="S485">
            <v>34</v>
          </cell>
          <cell r="T485" t="str">
            <v>jpl</v>
          </cell>
          <cell r="U485">
            <v>75000</v>
          </cell>
          <cell r="V485">
            <v>2550000</v>
          </cell>
          <cell r="W485" t="str">
            <v>GTTS dan PTTS</v>
          </cell>
          <cell r="X485">
            <v>0</v>
          </cell>
          <cell r="AG485">
            <v>5</v>
          </cell>
        </row>
        <row r="486">
          <cell r="A486">
            <v>484</v>
          </cell>
          <cell r="B486" t="str">
            <v>156</v>
          </cell>
          <cell r="C486" t="str">
            <v>156</v>
          </cell>
          <cell r="D486" t="str">
            <v>BNU65</v>
          </cell>
          <cell r="E486">
            <v>485</v>
          </cell>
          <cell r="F486" t="str">
            <v>156</v>
          </cell>
          <cell r="G486">
            <v>45440</v>
          </cell>
          <cell r="H486">
            <v>45441</v>
          </cell>
          <cell r="I486">
            <v>45441</v>
          </cell>
          <cell r="J486">
            <v>45441</v>
          </cell>
          <cell r="K486">
            <v>45441</v>
          </cell>
          <cell r="L486" t="str">
            <v>5.1.02.02.01.00
13</v>
          </cell>
          <cell r="M486" t="str">
            <v>07.12.</v>
          </cell>
          <cell r="N486" t="str">
            <v>07.12.01.</v>
          </cell>
          <cell r="O486" t="str">
            <v>Ferdiwati Wau</v>
          </cell>
          <cell r="P486" t="str">
            <v>Ferdiwati Wau</v>
          </cell>
          <cell r="Q486" t="str">
            <v>Jasa Tenaga Pengajar</v>
          </cell>
          <cell r="R486" t="str">
            <v>Honor Guru Tidak Tetap Sekolah (GTTS)</v>
          </cell>
          <cell r="S486">
            <v>30</v>
          </cell>
          <cell r="T486" t="str">
            <v>jpl</v>
          </cell>
          <cell r="U486">
            <v>75000</v>
          </cell>
          <cell r="V486">
            <v>2250000</v>
          </cell>
          <cell r="W486" t="str">
            <v>GTTS dan PTTS</v>
          </cell>
          <cell r="X486">
            <v>0</v>
          </cell>
          <cell r="AG486">
            <v>5</v>
          </cell>
        </row>
        <row r="487">
          <cell r="A487">
            <v>485</v>
          </cell>
          <cell r="B487" t="str">
            <v>157</v>
          </cell>
          <cell r="C487" t="str">
            <v>157</v>
          </cell>
          <cell r="D487" t="str">
            <v>BNU66</v>
          </cell>
          <cell r="E487">
            <v>486</v>
          </cell>
          <cell r="F487" t="str">
            <v>157</v>
          </cell>
          <cell r="G487">
            <v>45440</v>
          </cell>
          <cell r="H487">
            <v>45441</v>
          </cell>
          <cell r="I487">
            <v>45441</v>
          </cell>
          <cell r="J487">
            <v>45441</v>
          </cell>
          <cell r="K487">
            <v>45441</v>
          </cell>
          <cell r="L487" t="str">
            <v>5.1.02.02.01.00
13</v>
          </cell>
          <cell r="M487" t="str">
            <v>07.12.</v>
          </cell>
          <cell r="N487" t="str">
            <v>07.12.01.</v>
          </cell>
          <cell r="O487" t="str">
            <v>Noni Alfanita Sarumaha, S.Pd</v>
          </cell>
          <cell r="P487" t="str">
            <v>Noni Alfanita Sarumaha, S.Pd</v>
          </cell>
          <cell r="Q487" t="str">
            <v>Jasa Tenaga Pengajar</v>
          </cell>
          <cell r="R487" t="str">
            <v>Honor Guru Tidak Tetap Sekolah (GTTS)</v>
          </cell>
          <cell r="S487">
            <v>33</v>
          </cell>
          <cell r="T487" t="str">
            <v>jpl</v>
          </cell>
          <cell r="U487">
            <v>75000</v>
          </cell>
          <cell r="V487">
            <v>2475000</v>
          </cell>
          <cell r="W487" t="str">
            <v>GTTS dan PTTS</v>
          </cell>
          <cell r="X487">
            <v>0</v>
          </cell>
          <cell r="AG487">
            <v>5</v>
          </cell>
        </row>
        <row r="488">
          <cell r="A488">
            <v>486</v>
          </cell>
          <cell r="B488" t="str">
            <v>158</v>
          </cell>
          <cell r="C488" t="str">
            <v>158</v>
          </cell>
          <cell r="D488" t="str">
            <v>BNU67</v>
          </cell>
          <cell r="E488">
            <v>487</v>
          </cell>
          <cell r="F488" t="str">
            <v>158</v>
          </cell>
          <cell r="G488">
            <v>45440</v>
          </cell>
          <cell r="H488">
            <v>45441</v>
          </cell>
          <cell r="I488">
            <v>45441</v>
          </cell>
          <cell r="J488">
            <v>45441</v>
          </cell>
          <cell r="K488">
            <v>45441</v>
          </cell>
          <cell r="L488" t="str">
            <v>5.1.02.02.01.00
13</v>
          </cell>
          <cell r="M488" t="str">
            <v>07.12.</v>
          </cell>
          <cell r="N488" t="str">
            <v>07.12.01.</v>
          </cell>
          <cell r="O488" t="str">
            <v>EMILA HAFO</v>
          </cell>
          <cell r="P488" t="str">
            <v>EMILA HAFO</v>
          </cell>
          <cell r="Q488" t="str">
            <v>Jasa Tenaga Pengajar</v>
          </cell>
          <cell r="R488" t="str">
            <v>Honor Guru Tidak Tetap Sekolah (GTTS)</v>
          </cell>
          <cell r="S488">
            <v>28</v>
          </cell>
          <cell r="T488" t="str">
            <v>jpl</v>
          </cell>
          <cell r="U488">
            <v>75000</v>
          </cell>
          <cell r="V488">
            <v>2100000</v>
          </cell>
          <cell r="W488" t="str">
            <v>GTTS dan PTTS</v>
          </cell>
          <cell r="X488">
            <v>0</v>
          </cell>
          <cell r="AG488">
            <v>5</v>
          </cell>
        </row>
        <row r="489">
          <cell r="A489">
            <v>487</v>
          </cell>
          <cell r="B489" t="str">
            <v>159</v>
          </cell>
          <cell r="C489" t="str">
            <v>159</v>
          </cell>
          <cell r="D489" t="str">
            <v>BNU68</v>
          </cell>
          <cell r="E489">
            <v>488</v>
          </cell>
          <cell r="F489" t="str">
            <v>159</v>
          </cell>
          <cell r="G489">
            <v>45440</v>
          </cell>
          <cell r="H489">
            <v>45441</v>
          </cell>
          <cell r="I489">
            <v>45441</v>
          </cell>
          <cell r="J489">
            <v>45441</v>
          </cell>
          <cell r="K489">
            <v>45441</v>
          </cell>
          <cell r="L489" t="str">
            <v>5.1.02.02.01.00
13</v>
          </cell>
          <cell r="M489" t="str">
            <v>07.12.</v>
          </cell>
          <cell r="N489" t="str">
            <v>07.12.01.</v>
          </cell>
          <cell r="O489" t="str">
            <v>Asep Nurhidayat</v>
          </cell>
          <cell r="P489" t="str">
            <v>Asep Nurhidayat</v>
          </cell>
          <cell r="Q489" t="str">
            <v>Jasa Tenaga Pengajar</v>
          </cell>
          <cell r="R489" t="str">
            <v>Honor Guru Tidak Tetap Sekolah (GTTS)</v>
          </cell>
          <cell r="S489">
            <v>33</v>
          </cell>
          <cell r="T489" t="str">
            <v>jpl</v>
          </cell>
          <cell r="U489">
            <v>75000</v>
          </cell>
          <cell r="V489">
            <v>2475000</v>
          </cell>
          <cell r="W489" t="str">
            <v>GTTS dan PTTS</v>
          </cell>
          <cell r="X489">
            <v>0</v>
          </cell>
          <cell r="AG489">
            <v>5</v>
          </cell>
        </row>
        <row r="490">
          <cell r="A490">
            <v>488</v>
          </cell>
          <cell r="B490" t="str">
            <v>160</v>
          </cell>
          <cell r="C490" t="str">
            <v>160</v>
          </cell>
          <cell r="D490" t="str">
            <v>BNU69</v>
          </cell>
          <cell r="E490">
            <v>489</v>
          </cell>
          <cell r="F490" t="str">
            <v>160</v>
          </cell>
          <cell r="G490">
            <v>45440</v>
          </cell>
          <cell r="H490">
            <v>45441</v>
          </cell>
          <cell r="I490">
            <v>45441</v>
          </cell>
          <cell r="J490">
            <v>45441</v>
          </cell>
          <cell r="K490">
            <v>45441</v>
          </cell>
          <cell r="L490" t="str">
            <v>5.1.02.02.01.00
26</v>
          </cell>
          <cell r="M490" t="str">
            <v>07.12.</v>
          </cell>
          <cell r="N490" t="str">
            <v>07.12.02.</v>
          </cell>
          <cell r="O490" t="str">
            <v>Estera Nehe</v>
          </cell>
          <cell r="P490" t="str">
            <v>Estera Nehe</v>
          </cell>
          <cell r="Q490" t="str">
            <v>Jasa Tenaga TU</v>
          </cell>
          <cell r="R490" t="str">
            <v>Honor Pegawai Tidak Tetap Sekolah (PTTS)</v>
          </cell>
          <cell r="S490">
            <v>1</v>
          </cell>
          <cell r="T490" t="str">
            <v>bulan</v>
          </cell>
          <cell r="U490">
            <v>2000000</v>
          </cell>
          <cell r="V490">
            <v>2000000</v>
          </cell>
          <cell r="W490" t="str">
            <v>GTTS dan PTTS</v>
          </cell>
          <cell r="X490">
            <v>0</v>
          </cell>
          <cell r="AG490">
            <v>5</v>
          </cell>
        </row>
        <row r="491">
          <cell r="A491">
            <v>489</v>
          </cell>
          <cell r="B491" t="str">
            <v>161</v>
          </cell>
          <cell r="C491" t="str">
            <v>161</v>
          </cell>
          <cell r="D491" t="str">
            <v>BNU70</v>
          </cell>
          <cell r="E491">
            <v>490</v>
          </cell>
          <cell r="F491" t="str">
            <v>161</v>
          </cell>
          <cell r="G491">
            <v>45440</v>
          </cell>
          <cell r="H491">
            <v>45441</v>
          </cell>
          <cell r="I491">
            <v>45441</v>
          </cell>
          <cell r="J491">
            <v>45441</v>
          </cell>
          <cell r="K491">
            <v>45441</v>
          </cell>
          <cell r="L491" t="str">
            <v>5.1.02.02.01.00
26</v>
          </cell>
          <cell r="M491" t="str">
            <v>07.12.</v>
          </cell>
          <cell r="N491" t="str">
            <v>07.12.02.</v>
          </cell>
          <cell r="O491" t="str">
            <v>Hatieli Buulolo</v>
          </cell>
          <cell r="P491" t="str">
            <v>Hatieli Buulolo</v>
          </cell>
          <cell r="Q491" t="str">
            <v>Jasa Tenaga TU</v>
          </cell>
          <cell r="R491" t="str">
            <v>Honor Pegawai Tidak Tetap Sekolah (PTTS)</v>
          </cell>
          <cell r="S491">
            <v>1</v>
          </cell>
          <cell r="T491" t="str">
            <v>bulan</v>
          </cell>
          <cell r="U491">
            <v>2000000</v>
          </cell>
          <cell r="V491">
            <v>2000000</v>
          </cell>
          <cell r="W491" t="str">
            <v>GTTS dan PTTS</v>
          </cell>
          <cell r="X491">
            <v>0</v>
          </cell>
          <cell r="AG491">
            <v>5</v>
          </cell>
        </row>
        <row r="492">
          <cell r="A492">
            <v>490</v>
          </cell>
          <cell r="B492" t="str">
            <v>162</v>
          </cell>
          <cell r="C492" t="str">
            <v>162</v>
          </cell>
          <cell r="D492" t="str">
            <v>BNU71</v>
          </cell>
          <cell r="E492">
            <v>491</v>
          </cell>
          <cell r="F492" t="str">
            <v>162</v>
          </cell>
          <cell r="G492">
            <v>45440</v>
          </cell>
          <cell r="H492">
            <v>45441</v>
          </cell>
          <cell r="I492">
            <v>45441</v>
          </cell>
          <cell r="J492">
            <v>45441</v>
          </cell>
          <cell r="K492">
            <v>45441</v>
          </cell>
          <cell r="L492" t="str">
            <v>5.1.02.02.01.00
26</v>
          </cell>
          <cell r="M492" t="str">
            <v>07.12.</v>
          </cell>
          <cell r="N492" t="str">
            <v>07.12.02.</v>
          </cell>
          <cell r="O492" t="str">
            <v>David J. Sitinjak</v>
          </cell>
          <cell r="P492" t="str">
            <v>David J. Sitinjak</v>
          </cell>
          <cell r="Q492" t="str">
            <v>Jasa Tenaga TU</v>
          </cell>
          <cell r="R492" t="str">
            <v>Honor Pegawai Tidak Tetap Sekolah (PTTS)</v>
          </cell>
          <cell r="S492">
            <v>1</v>
          </cell>
          <cell r="T492" t="str">
            <v>bulan</v>
          </cell>
          <cell r="U492">
            <v>2000000</v>
          </cell>
          <cell r="V492">
            <v>2000000</v>
          </cell>
          <cell r="W492" t="str">
            <v>GTTS dan PTTS</v>
          </cell>
          <cell r="X492">
            <v>0</v>
          </cell>
          <cell r="AG492">
            <v>5</v>
          </cell>
        </row>
        <row r="493">
          <cell r="A493">
            <v>491</v>
          </cell>
          <cell r="B493" t="str">
            <v>163</v>
          </cell>
          <cell r="C493" t="str">
            <v>163</v>
          </cell>
          <cell r="D493" t="str">
            <v>BNU72</v>
          </cell>
          <cell r="E493">
            <v>492</v>
          </cell>
          <cell r="F493" t="str">
            <v>163</v>
          </cell>
          <cell r="G493">
            <v>45440</v>
          </cell>
          <cell r="H493">
            <v>45441</v>
          </cell>
          <cell r="I493">
            <v>45441</v>
          </cell>
          <cell r="J493">
            <v>45441</v>
          </cell>
          <cell r="K493">
            <v>45441</v>
          </cell>
          <cell r="L493" t="str">
            <v>5.1.02.02.01.00
26</v>
          </cell>
          <cell r="M493" t="str">
            <v>07.12.</v>
          </cell>
          <cell r="N493" t="str">
            <v>07.12.02.</v>
          </cell>
          <cell r="O493" t="str">
            <v>Siona Ziraluo</v>
          </cell>
          <cell r="P493" t="str">
            <v>Siona Ziraluo</v>
          </cell>
          <cell r="Q493" t="str">
            <v>Jasa Tenaga TU</v>
          </cell>
          <cell r="R493" t="str">
            <v>Honor Pegawai Tidak Tetap Sekolah (PTTS)</v>
          </cell>
          <cell r="S493">
            <v>1</v>
          </cell>
          <cell r="T493" t="str">
            <v>bulan</v>
          </cell>
          <cell r="U493">
            <v>2000000</v>
          </cell>
          <cell r="V493">
            <v>2000000</v>
          </cell>
          <cell r="W493" t="str">
            <v>GTTS dan PTTS</v>
          </cell>
          <cell r="X493">
            <v>0</v>
          </cell>
          <cell r="AG493">
            <v>5</v>
          </cell>
        </row>
        <row r="494">
          <cell r="A494">
            <v>492</v>
          </cell>
          <cell r="B494" t="str">
            <v>164</v>
          </cell>
          <cell r="C494" t="str">
            <v>164</v>
          </cell>
          <cell r="D494" t="str">
            <v>BNU73</v>
          </cell>
          <cell r="E494">
            <v>493</v>
          </cell>
          <cell r="F494" t="str">
            <v>164</v>
          </cell>
          <cell r="G494">
            <v>45440</v>
          </cell>
          <cell r="H494">
            <v>45441</v>
          </cell>
          <cell r="I494">
            <v>45441</v>
          </cell>
          <cell r="J494">
            <v>45441</v>
          </cell>
          <cell r="K494">
            <v>45441</v>
          </cell>
          <cell r="L494" t="str">
            <v>5.1.02.02.01.00
26</v>
          </cell>
          <cell r="M494" t="str">
            <v>07.12.</v>
          </cell>
          <cell r="N494" t="str">
            <v>07.12.02.</v>
          </cell>
          <cell r="O494" t="str">
            <v>Merdina Ziraluo</v>
          </cell>
          <cell r="P494" t="str">
            <v>Merdina Ziraluo</v>
          </cell>
          <cell r="Q494" t="str">
            <v>Jasa Tenaga TU</v>
          </cell>
          <cell r="R494" t="str">
            <v>Honor Pegawai Tidak Tetap Sekolah (PTTS)</v>
          </cell>
          <cell r="S494">
            <v>1</v>
          </cell>
          <cell r="T494" t="str">
            <v>bulan</v>
          </cell>
          <cell r="U494">
            <v>2000000</v>
          </cell>
          <cell r="V494">
            <v>2000000</v>
          </cell>
          <cell r="W494" t="str">
            <v>GTTS dan PTTS</v>
          </cell>
          <cell r="X494">
            <v>0</v>
          </cell>
          <cell r="AG494">
            <v>5</v>
          </cell>
        </row>
        <row r="495">
          <cell r="A495">
            <v>493</v>
          </cell>
          <cell r="B495" t="str">
            <v>165</v>
          </cell>
          <cell r="C495" t="str">
            <v>165</v>
          </cell>
          <cell r="D495" t="str">
            <v>BNU74</v>
          </cell>
          <cell r="E495">
            <v>494</v>
          </cell>
          <cell r="F495" t="str">
            <v>165</v>
          </cell>
          <cell r="G495">
            <v>45440</v>
          </cell>
          <cell r="H495">
            <v>45441</v>
          </cell>
          <cell r="I495">
            <v>45441</v>
          </cell>
          <cell r="J495">
            <v>45441</v>
          </cell>
          <cell r="K495">
            <v>45441</v>
          </cell>
          <cell r="L495" t="str">
            <v>5.1.02.02.01.00
30</v>
          </cell>
          <cell r="M495" t="str">
            <v>07.12.</v>
          </cell>
          <cell r="N495" t="str">
            <v>07.12.04.</v>
          </cell>
          <cell r="O495" t="str">
            <v>Fransiskus Lombu</v>
          </cell>
          <cell r="P495" t="str">
            <v>Fransiskus Lombu</v>
          </cell>
          <cell r="Q495" t="str">
            <v>Jasa Tenaga Kebersihan</v>
          </cell>
          <cell r="R495" t="str">
            <v>Honorarius Pegawai Kebersihan Sekolah</v>
          </cell>
          <cell r="S495">
            <v>1</v>
          </cell>
          <cell r="T495" t="str">
            <v>bulan</v>
          </cell>
          <cell r="U495">
            <v>1000000</v>
          </cell>
          <cell r="V495">
            <v>1000000</v>
          </cell>
          <cell r="W495" t="str">
            <v>Pegawai Kebersihan</v>
          </cell>
          <cell r="X495">
            <v>0</v>
          </cell>
          <cell r="AG495">
            <v>5</v>
          </cell>
        </row>
        <row r="496">
          <cell r="A496">
            <v>494</v>
          </cell>
          <cell r="B496" t="str">
            <v>166</v>
          </cell>
          <cell r="C496" t="str">
            <v>166</v>
          </cell>
          <cell r="D496" t="str">
            <v>BPU98</v>
          </cell>
          <cell r="E496">
            <v>495</v>
          </cell>
          <cell r="F496" t="str">
            <v>166</v>
          </cell>
          <cell r="G496">
            <v>45415</v>
          </cell>
          <cell r="H496">
            <v>45416</v>
          </cell>
          <cell r="I496">
            <v>45000</v>
          </cell>
          <cell r="J496">
            <v>45000</v>
          </cell>
          <cell r="K496">
            <v>45442</v>
          </cell>
          <cell r="L496" t="str">
            <v>5.2.02.05.02.00
01</v>
          </cell>
          <cell r="M496" t="str">
            <v>05.08.</v>
          </cell>
          <cell r="N496" t="str">
            <v>05.08.05.</v>
          </cell>
          <cell r="O496" t="str">
            <v>lemari-lemari penyimpanan alat</v>
          </cell>
          <cell r="P496" t="str">
            <v>lemari-lemari penyimpanan alat</v>
          </cell>
          <cell r="Q496" t="str">
            <v>Sarana Prsasrana</v>
          </cell>
          <cell r="S496">
            <v>1</v>
          </cell>
          <cell r="T496" t="str">
            <v>unit</v>
          </cell>
          <cell r="U496">
            <v>8100000</v>
          </cell>
          <cell r="V496">
            <v>8100000</v>
          </cell>
          <cell r="W496" t="str">
            <v>CV. Marsatu Jaya Badiri</v>
          </cell>
          <cell r="X496" t="str">
            <v>Marusaha Simanjuntak</v>
          </cell>
          <cell r="Y496" t="str">
            <v>085277086701</v>
          </cell>
          <cell r="Z496" t="str">
            <v>Jl. Oswald Siahaan No. 6A. Aek Tolang Pandan</v>
          </cell>
          <cell r="AG496">
            <v>5</v>
          </cell>
        </row>
        <row r="497">
          <cell r="A497">
            <v>495</v>
          </cell>
          <cell r="B497" t="str">
            <v>167</v>
          </cell>
          <cell r="C497" t="str">
            <v>167</v>
          </cell>
          <cell r="D497" t="str">
            <v>BPU99</v>
          </cell>
          <cell r="E497">
            <v>496</v>
          </cell>
          <cell r="F497" t="str">
            <v>167</v>
          </cell>
          <cell r="G497">
            <v>45415</v>
          </cell>
          <cell r="H497">
            <v>45416</v>
          </cell>
          <cell r="I497">
            <v>45071</v>
          </cell>
          <cell r="J497">
            <v>45071</v>
          </cell>
          <cell r="K497">
            <v>45442</v>
          </cell>
          <cell r="L497" t="str">
            <v>5.2.02.10.02.00
05</v>
          </cell>
          <cell r="M497" t="str">
            <v>05.08.</v>
          </cell>
          <cell r="N497" t="str">
            <v>05.08.02.</v>
          </cell>
          <cell r="O497" t="str">
            <v>Papan Visual</v>
          </cell>
          <cell r="P497" t="str">
            <v>Papan Visual</v>
          </cell>
          <cell r="Q497" t="str">
            <v>Sarana Prsasrana</v>
          </cell>
          <cell r="R497" t="str">
            <v>Papan Visual (Ukuran 180 x 100 Cm)</v>
          </cell>
          <cell r="S497">
            <v>3</v>
          </cell>
          <cell r="T497" t="str">
            <v>kotak</v>
          </cell>
          <cell r="U497">
            <v>9000000</v>
          </cell>
          <cell r="V497">
            <v>27000000</v>
          </cell>
          <cell r="W497" t="str">
            <v>CV. Goriyaku Wiratrade</v>
          </cell>
          <cell r="X497" t="str">
            <v>Wirawan Bazikho</v>
          </cell>
          <cell r="Y497" t="str">
            <v>082166714290</v>
          </cell>
          <cell r="Z497" t="str">
            <v>Jl. Pasir Putih Pasar Telukdalam, Telukdalam Kab. Nias Selatan</v>
          </cell>
          <cell r="AG497">
            <v>5</v>
          </cell>
        </row>
        <row r="498">
          <cell r="A498">
            <v>496</v>
          </cell>
          <cell r="B498" t="str">
            <v>168</v>
          </cell>
          <cell r="C498" t="str">
            <v>168</v>
          </cell>
          <cell r="D498" t="str">
            <v>BPU100</v>
          </cell>
          <cell r="E498">
            <v>497</v>
          </cell>
          <cell r="F498" t="str">
            <v>168</v>
          </cell>
          <cell r="G498">
            <v>45441</v>
          </cell>
          <cell r="H498">
            <v>45442</v>
          </cell>
          <cell r="I498">
            <v>45442</v>
          </cell>
          <cell r="J498">
            <v>45442</v>
          </cell>
          <cell r="K498">
            <v>45443</v>
          </cell>
          <cell r="L498" t="str">
            <v>5.1.02.01.01.00
52</v>
          </cell>
          <cell r="M498" t="str">
            <v>06.05.</v>
          </cell>
          <cell r="N498" t="str">
            <v>06.05.02.</v>
          </cell>
          <cell r="O498" t="str">
            <v>Kudapan Rapat Rutin Bulanan</v>
          </cell>
          <cell r="P498" t="str">
            <v>Kue Kotak</v>
          </cell>
          <cell r="Q498" t="str">
            <v>Kudapan</v>
          </cell>
          <cell r="R498" t="str">
            <v>Kue (bahan tepung terigu, gula, telur, mentega; berat 100gr, panjang 15cm, lebar 8 cm)</v>
          </cell>
          <cell r="S498">
            <v>60</v>
          </cell>
          <cell r="T498" t="str">
            <v>buah</v>
          </cell>
          <cell r="U498">
            <v>15000</v>
          </cell>
          <cell r="V498">
            <v>900000</v>
          </cell>
          <cell r="W498" t="str">
            <v>Rumah Roti Helena</v>
          </cell>
          <cell r="X498" t="str">
            <v>Fudi Supiyanto</v>
          </cell>
          <cell r="Y498" t="str">
            <v>082164895397</v>
          </cell>
          <cell r="Z498" t="str">
            <v>Jl. Jend A. Yani No. 89 Kelurahan Pasar Telukdalam - Nias Selatan</v>
          </cell>
          <cell r="AG498">
            <v>5</v>
          </cell>
        </row>
        <row r="499">
          <cell r="C499" t="str">
            <v>169</v>
          </cell>
        </row>
        <row r="500">
          <cell r="C500" t="str">
            <v>170</v>
          </cell>
        </row>
        <row r="501">
          <cell r="C501" t="str">
            <v>170</v>
          </cell>
        </row>
        <row r="502">
          <cell r="C502" t="str">
            <v>170</v>
          </cell>
        </row>
        <row r="503">
          <cell r="C503" t="str">
            <v>170</v>
          </cell>
        </row>
        <row r="504">
          <cell r="C504" t="str">
            <v>170</v>
          </cell>
        </row>
        <row r="505">
          <cell r="C505" t="str">
            <v>170</v>
          </cell>
        </row>
        <row r="506">
          <cell r="C506" t="str">
            <v>170</v>
          </cell>
        </row>
        <row r="507">
          <cell r="C507" t="str">
            <v>170</v>
          </cell>
        </row>
        <row r="508">
          <cell r="C508" t="str">
            <v>170</v>
          </cell>
        </row>
        <row r="509">
          <cell r="C509" t="str">
            <v>170</v>
          </cell>
        </row>
        <row r="510">
          <cell r="C510" t="str">
            <v>170</v>
          </cell>
        </row>
        <row r="511">
          <cell r="C511" t="str">
            <v>170</v>
          </cell>
        </row>
        <row r="512">
          <cell r="C512" t="str">
            <v>170</v>
          </cell>
        </row>
        <row r="513">
          <cell r="C513" t="str">
            <v>170</v>
          </cell>
        </row>
        <row r="514">
          <cell r="C514" t="str">
            <v>170</v>
          </cell>
        </row>
        <row r="515">
          <cell r="C515" t="str">
            <v>170</v>
          </cell>
        </row>
        <row r="516">
          <cell r="C516" t="str">
            <v>170</v>
          </cell>
        </row>
        <row r="517">
          <cell r="C517" t="str">
            <v>170</v>
          </cell>
        </row>
        <row r="518">
          <cell r="C518" t="str">
            <v>170</v>
          </cell>
        </row>
        <row r="519">
          <cell r="C519" t="str">
            <v>170</v>
          </cell>
        </row>
        <row r="520">
          <cell r="C520" t="str">
            <v>170</v>
          </cell>
        </row>
        <row r="521">
          <cell r="C521" t="str">
            <v>170</v>
          </cell>
        </row>
        <row r="522">
          <cell r="C522" t="str">
            <v>170</v>
          </cell>
        </row>
        <row r="523">
          <cell r="C523" t="str">
            <v>170</v>
          </cell>
        </row>
        <row r="524">
          <cell r="C524" t="str">
            <v>170</v>
          </cell>
        </row>
        <row r="525">
          <cell r="C525" t="str">
            <v>170</v>
          </cell>
        </row>
        <row r="526">
          <cell r="C526" t="str">
            <v>170</v>
          </cell>
        </row>
        <row r="527">
          <cell r="C527" t="str">
            <v>170</v>
          </cell>
        </row>
        <row r="528">
          <cell r="C528" t="str">
            <v>170</v>
          </cell>
        </row>
        <row r="529">
          <cell r="C529" t="str">
            <v>170</v>
          </cell>
        </row>
        <row r="530">
          <cell r="C530" t="str">
            <v>170</v>
          </cell>
        </row>
        <row r="531">
          <cell r="C531" t="str">
            <v>170</v>
          </cell>
        </row>
        <row r="532">
          <cell r="C532" t="str">
            <v>170</v>
          </cell>
        </row>
        <row r="533">
          <cell r="C533" t="str">
            <v>170</v>
          </cell>
        </row>
        <row r="534">
          <cell r="C534" t="str">
            <v>170</v>
          </cell>
        </row>
        <row r="535">
          <cell r="C535" t="str">
            <v>170</v>
          </cell>
        </row>
        <row r="536">
          <cell r="C536" t="str">
            <v>170</v>
          </cell>
        </row>
        <row r="537">
          <cell r="C537" t="str">
            <v>170</v>
          </cell>
        </row>
        <row r="538">
          <cell r="C538" t="str">
            <v>170</v>
          </cell>
        </row>
        <row r="539">
          <cell r="C539" t="str">
            <v>170</v>
          </cell>
        </row>
        <row r="540">
          <cell r="C540" t="str">
            <v>170</v>
          </cell>
        </row>
        <row r="541">
          <cell r="C541" t="str">
            <v>170</v>
          </cell>
        </row>
        <row r="542">
          <cell r="C542" t="str">
            <v>170</v>
          </cell>
        </row>
        <row r="543">
          <cell r="C543" t="str">
            <v>170</v>
          </cell>
        </row>
        <row r="544">
          <cell r="C544" t="str">
            <v>170</v>
          </cell>
        </row>
        <row r="545">
          <cell r="C545" t="str">
            <v>170</v>
          </cell>
        </row>
        <row r="546">
          <cell r="C546" t="str">
            <v>170</v>
          </cell>
        </row>
        <row r="547">
          <cell r="C547" t="str">
            <v>170</v>
          </cell>
        </row>
        <row r="548">
          <cell r="C548" t="str">
            <v>170</v>
          </cell>
        </row>
        <row r="549">
          <cell r="C549" t="str">
            <v>170</v>
          </cell>
        </row>
        <row r="550">
          <cell r="C550" t="str">
            <v>170</v>
          </cell>
        </row>
        <row r="551">
          <cell r="C551" t="str">
            <v>170</v>
          </cell>
        </row>
        <row r="552">
          <cell r="C552" t="str">
            <v>171</v>
          </cell>
        </row>
        <row r="553">
          <cell r="C553" t="str">
            <v>171</v>
          </cell>
        </row>
        <row r="554">
          <cell r="C554" t="str">
            <v>171</v>
          </cell>
        </row>
        <row r="555">
          <cell r="C555" t="str">
            <v>171</v>
          </cell>
        </row>
        <row r="556">
          <cell r="C556" t="str">
            <v>171</v>
          </cell>
        </row>
        <row r="557">
          <cell r="C557" t="str">
            <v>171</v>
          </cell>
        </row>
        <row r="558">
          <cell r="C558" t="str">
            <v>171</v>
          </cell>
        </row>
        <row r="559">
          <cell r="C559" t="str">
            <v>171</v>
          </cell>
        </row>
        <row r="560">
          <cell r="C560" t="str">
            <v>171</v>
          </cell>
        </row>
        <row r="561">
          <cell r="C561" t="str">
            <v>172</v>
          </cell>
        </row>
        <row r="562">
          <cell r="C562" t="str">
            <v>173</v>
          </cell>
        </row>
        <row r="563">
          <cell r="C563" t="str">
            <v>174</v>
          </cell>
        </row>
        <row r="564">
          <cell r="C564" t="str">
            <v>175</v>
          </cell>
        </row>
        <row r="565">
          <cell r="C565" t="str">
            <v>176</v>
          </cell>
        </row>
        <row r="566">
          <cell r="C566" t="str">
            <v>177</v>
          </cell>
        </row>
        <row r="567">
          <cell r="C567" t="str">
            <v>178</v>
          </cell>
        </row>
        <row r="568">
          <cell r="C568" t="str">
            <v>179</v>
          </cell>
        </row>
        <row r="569">
          <cell r="C569" t="str">
            <v>180</v>
          </cell>
        </row>
        <row r="570">
          <cell r="C570" t="str">
            <v>181</v>
          </cell>
        </row>
        <row r="571">
          <cell r="C571" t="str">
            <v>182</v>
          </cell>
        </row>
        <row r="572">
          <cell r="C572" t="str">
            <v>183</v>
          </cell>
        </row>
        <row r="573">
          <cell r="C573" t="str">
            <v>184</v>
          </cell>
        </row>
        <row r="574">
          <cell r="C574" t="str">
            <v>185</v>
          </cell>
        </row>
        <row r="575">
          <cell r="C575" t="str">
            <v>186</v>
          </cell>
        </row>
        <row r="576">
          <cell r="C576" t="str">
            <v>187</v>
          </cell>
        </row>
        <row r="577">
          <cell r="C577" t="str">
            <v>188</v>
          </cell>
        </row>
        <row r="578">
          <cell r="C578" t="str">
            <v>189</v>
          </cell>
        </row>
        <row r="579">
          <cell r="C579" t="str">
            <v>190</v>
          </cell>
        </row>
        <row r="580">
          <cell r="C580" t="str">
            <v>191</v>
          </cell>
        </row>
        <row r="581">
          <cell r="C581" t="str">
            <v>192</v>
          </cell>
        </row>
        <row r="582">
          <cell r="C582" t="str">
            <v>193</v>
          </cell>
        </row>
        <row r="583">
          <cell r="C583" t="str">
            <v>194</v>
          </cell>
        </row>
        <row r="584">
          <cell r="C584" t="str">
            <v>195</v>
          </cell>
        </row>
        <row r="585">
          <cell r="C585" t="str">
            <v>196</v>
          </cell>
        </row>
        <row r="586">
          <cell r="C586" t="str">
            <v>197</v>
          </cell>
        </row>
        <row r="587">
          <cell r="C587" t="str">
            <v>198</v>
          </cell>
        </row>
        <row r="588">
          <cell r="C588" t="str">
            <v>199</v>
          </cell>
        </row>
        <row r="589">
          <cell r="C589" t="str">
            <v>200</v>
          </cell>
        </row>
        <row r="590">
          <cell r="C590" t="str">
            <v>201</v>
          </cell>
        </row>
        <row r="591">
          <cell r="C591" t="str">
            <v>202</v>
          </cell>
        </row>
        <row r="592">
          <cell r="C592" t="str">
            <v>203</v>
          </cell>
        </row>
        <row r="593">
          <cell r="C593" t="str">
            <v>203</v>
          </cell>
        </row>
        <row r="594">
          <cell r="C594" t="str">
            <v>204</v>
          </cell>
        </row>
        <row r="595">
          <cell r="C595" t="str">
            <v>205</v>
          </cell>
        </row>
        <row r="596">
          <cell r="C596" t="str">
            <v>206</v>
          </cell>
        </row>
        <row r="597">
          <cell r="C597" t="str">
            <v>207</v>
          </cell>
        </row>
        <row r="598">
          <cell r="C598" t="str">
            <v>207</v>
          </cell>
        </row>
        <row r="599">
          <cell r="C599" t="str">
            <v>207</v>
          </cell>
        </row>
        <row r="600">
          <cell r="C600" t="str">
            <v>207</v>
          </cell>
        </row>
        <row r="601">
          <cell r="C601" t="str">
            <v>207</v>
          </cell>
        </row>
        <row r="602">
          <cell r="C602" t="str">
            <v>207</v>
          </cell>
        </row>
        <row r="603">
          <cell r="C603" t="str">
            <v>207</v>
          </cell>
        </row>
        <row r="604">
          <cell r="C604" t="str">
            <v>207</v>
          </cell>
        </row>
        <row r="605">
          <cell r="C605" t="str">
            <v>207</v>
          </cell>
        </row>
        <row r="606">
          <cell r="C606" t="str">
            <v>207</v>
          </cell>
        </row>
        <row r="607">
          <cell r="C607" t="str">
            <v>207</v>
          </cell>
        </row>
        <row r="608">
          <cell r="C608" t="str">
            <v>207</v>
          </cell>
        </row>
        <row r="609">
          <cell r="C609" t="str">
            <v>207</v>
          </cell>
        </row>
        <row r="610">
          <cell r="C610" t="str">
            <v>207</v>
          </cell>
        </row>
        <row r="611">
          <cell r="C611" t="str">
            <v>207</v>
          </cell>
        </row>
        <row r="612">
          <cell r="C612" t="str">
            <v>207</v>
          </cell>
        </row>
        <row r="613">
          <cell r="C613" t="str">
            <v>207</v>
          </cell>
        </row>
        <row r="614">
          <cell r="C614" t="str">
            <v>207</v>
          </cell>
        </row>
        <row r="615">
          <cell r="C615" t="str">
            <v>207</v>
          </cell>
        </row>
        <row r="616">
          <cell r="C616" t="str">
            <v>207</v>
          </cell>
        </row>
        <row r="617">
          <cell r="C617" t="str">
            <v>207</v>
          </cell>
        </row>
        <row r="618">
          <cell r="C618" t="str">
            <v>207</v>
          </cell>
        </row>
        <row r="619">
          <cell r="C619" t="str">
            <v>207</v>
          </cell>
        </row>
        <row r="620">
          <cell r="C620" t="str">
            <v>207</v>
          </cell>
        </row>
        <row r="621">
          <cell r="C621" t="str">
            <v>207</v>
          </cell>
        </row>
        <row r="622">
          <cell r="C622" t="str">
            <v>207</v>
          </cell>
        </row>
        <row r="623">
          <cell r="C623" t="str">
            <v>207</v>
          </cell>
        </row>
        <row r="624">
          <cell r="C624" t="str">
            <v>207</v>
          </cell>
        </row>
        <row r="625">
          <cell r="C625" t="str">
            <v>207</v>
          </cell>
        </row>
        <row r="626">
          <cell r="C626" t="str">
            <v>207</v>
          </cell>
        </row>
        <row r="627">
          <cell r="C627" t="str">
            <v>207</v>
          </cell>
        </row>
        <row r="628">
          <cell r="C628" t="str">
            <v>207</v>
          </cell>
        </row>
        <row r="629">
          <cell r="C629" t="str">
            <v>207</v>
          </cell>
        </row>
        <row r="630">
          <cell r="C630" t="str">
            <v>207</v>
          </cell>
        </row>
        <row r="631">
          <cell r="C631" t="str">
            <v>207</v>
          </cell>
        </row>
        <row r="632">
          <cell r="C632" t="str">
            <v>207</v>
          </cell>
        </row>
        <row r="633">
          <cell r="C633" t="str">
            <v>207</v>
          </cell>
        </row>
        <row r="634">
          <cell r="C634" t="str">
            <v>207</v>
          </cell>
        </row>
        <row r="635">
          <cell r="C635" t="str">
            <v>207</v>
          </cell>
        </row>
        <row r="636">
          <cell r="C636" t="str">
            <v>207</v>
          </cell>
        </row>
        <row r="637">
          <cell r="C637" t="str">
            <v>207</v>
          </cell>
        </row>
        <row r="638">
          <cell r="C638" t="str">
            <v>207</v>
          </cell>
        </row>
        <row r="639">
          <cell r="C639" t="str">
            <v>207</v>
          </cell>
        </row>
        <row r="640">
          <cell r="C640" t="str">
            <v>207</v>
          </cell>
        </row>
        <row r="641">
          <cell r="C641" t="str">
            <v>207</v>
          </cell>
        </row>
        <row r="642">
          <cell r="C642" t="str">
            <v>208</v>
          </cell>
        </row>
        <row r="643">
          <cell r="C643" t="str">
            <v>208</v>
          </cell>
        </row>
        <row r="644">
          <cell r="C644" t="str">
            <v>208</v>
          </cell>
        </row>
        <row r="645">
          <cell r="C645" t="str">
            <v>208</v>
          </cell>
        </row>
        <row r="646">
          <cell r="C646" t="str">
            <v>208</v>
          </cell>
        </row>
        <row r="647">
          <cell r="C647" t="str">
            <v>208</v>
          </cell>
        </row>
        <row r="648">
          <cell r="C648" t="str">
            <v>209</v>
          </cell>
        </row>
        <row r="649">
          <cell r="C649" t="str">
            <v>210</v>
          </cell>
        </row>
        <row r="650">
          <cell r="C650" t="str">
            <v>211</v>
          </cell>
        </row>
        <row r="651">
          <cell r="C651" t="str">
            <v>212</v>
          </cell>
        </row>
        <row r="652">
          <cell r="C652" t="str">
            <v>212</v>
          </cell>
        </row>
        <row r="653">
          <cell r="C653" t="str">
            <v>212</v>
          </cell>
        </row>
        <row r="654">
          <cell r="C654" t="str">
            <v>212</v>
          </cell>
        </row>
        <row r="655">
          <cell r="C655" t="str">
            <v>212</v>
          </cell>
        </row>
        <row r="656">
          <cell r="C656" t="str">
            <v>213</v>
          </cell>
        </row>
        <row r="657">
          <cell r="C657" t="str">
            <v>214</v>
          </cell>
        </row>
        <row r="658">
          <cell r="C658" t="str">
            <v>215</v>
          </cell>
        </row>
        <row r="659">
          <cell r="C659" t="str">
            <v>215</v>
          </cell>
        </row>
        <row r="660">
          <cell r="C660" t="str">
            <v>215</v>
          </cell>
        </row>
        <row r="661">
          <cell r="C661" t="str">
            <v>215</v>
          </cell>
        </row>
        <row r="662">
          <cell r="C662" t="str">
            <v>215</v>
          </cell>
        </row>
        <row r="663">
          <cell r="C663" t="str">
            <v>215</v>
          </cell>
        </row>
        <row r="664">
          <cell r="C664" t="str">
            <v>215</v>
          </cell>
        </row>
        <row r="665">
          <cell r="C665" t="str">
            <v>215</v>
          </cell>
        </row>
        <row r="666">
          <cell r="C666" t="str">
            <v>215</v>
          </cell>
        </row>
        <row r="667">
          <cell r="C667" t="str">
            <v>215</v>
          </cell>
        </row>
        <row r="668">
          <cell r="C668" t="str">
            <v>215</v>
          </cell>
        </row>
        <row r="669">
          <cell r="C669" t="str">
            <v>215</v>
          </cell>
        </row>
        <row r="670">
          <cell r="C670" t="str">
            <v>215</v>
          </cell>
        </row>
        <row r="671">
          <cell r="C671" t="str">
            <v>215</v>
          </cell>
        </row>
        <row r="672">
          <cell r="C672" t="str">
            <v>215</v>
          </cell>
        </row>
        <row r="673">
          <cell r="C673" t="str">
            <v>215</v>
          </cell>
        </row>
        <row r="674">
          <cell r="C674" t="str">
            <v>215</v>
          </cell>
        </row>
        <row r="675">
          <cell r="C675" t="str">
            <v>215</v>
          </cell>
        </row>
        <row r="676">
          <cell r="C676" t="str">
            <v>215</v>
          </cell>
        </row>
        <row r="677">
          <cell r="C677" t="str">
            <v>215</v>
          </cell>
        </row>
        <row r="678">
          <cell r="C678" t="str">
            <v>215</v>
          </cell>
        </row>
        <row r="679">
          <cell r="C679" t="str">
            <v>215</v>
          </cell>
        </row>
        <row r="680">
          <cell r="C680" t="str">
            <v>215</v>
          </cell>
        </row>
        <row r="681">
          <cell r="C681" t="str">
            <v>215</v>
          </cell>
        </row>
        <row r="682">
          <cell r="C682" t="str">
            <v>215</v>
          </cell>
        </row>
        <row r="683">
          <cell r="C683" t="str">
            <v>215</v>
          </cell>
        </row>
        <row r="684">
          <cell r="C684" t="str">
            <v>215</v>
          </cell>
        </row>
        <row r="685">
          <cell r="C685" t="str">
            <v>215</v>
          </cell>
        </row>
        <row r="686">
          <cell r="C686" t="str">
            <v>215</v>
          </cell>
        </row>
        <row r="687">
          <cell r="C687" t="str">
            <v>216</v>
          </cell>
        </row>
        <row r="688">
          <cell r="C688" t="str">
            <v>217</v>
          </cell>
        </row>
        <row r="689">
          <cell r="C689" t="str">
            <v>218</v>
          </cell>
        </row>
        <row r="690">
          <cell r="C690" t="str">
            <v>219</v>
          </cell>
        </row>
        <row r="691">
          <cell r="C691" t="str">
            <v>220</v>
          </cell>
        </row>
        <row r="692">
          <cell r="C692" t="str">
            <v>221</v>
          </cell>
        </row>
        <row r="693">
          <cell r="C693" t="str">
            <v>221</v>
          </cell>
        </row>
        <row r="694">
          <cell r="C694" t="str">
            <v>221</v>
          </cell>
        </row>
        <row r="695">
          <cell r="C695" t="str">
            <v>221</v>
          </cell>
        </row>
        <row r="696">
          <cell r="C696" t="str">
            <v>221</v>
          </cell>
        </row>
        <row r="697">
          <cell r="C697" t="str">
            <v>221</v>
          </cell>
        </row>
        <row r="698">
          <cell r="C698" t="str">
            <v>221</v>
          </cell>
        </row>
        <row r="699">
          <cell r="C699" t="str">
            <v>221</v>
          </cell>
        </row>
        <row r="700">
          <cell r="C700" t="str">
            <v>221</v>
          </cell>
        </row>
        <row r="701">
          <cell r="C701" t="str">
            <v>221</v>
          </cell>
        </row>
        <row r="702">
          <cell r="C702" t="str">
            <v>221</v>
          </cell>
        </row>
        <row r="703">
          <cell r="C703" t="str">
            <v>221</v>
          </cell>
        </row>
        <row r="704">
          <cell r="C704" t="str">
            <v>221</v>
          </cell>
        </row>
        <row r="705">
          <cell r="C705" t="str">
            <v>221</v>
          </cell>
        </row>
        <row r="706">
          <cell r="C706" t="str">
            <v>221</v>
          </cell>
        </row>
        <row r="707">
          <cell r="C707" t="str">
            <v>221</v>
          </cell>
        </row>
        <row r="708">
          <cell r="C708" t="str">
            <v>221</v>
          </cell>
        </row>
        <row r="709">
          <cell r="C709" t="str">
            <v>221</v>
          </cell>
        </row>
        <row r="710">
          <cell r="C710" t="str">
            <v>221</v>
          </cell>
        </row>
        <row r="711">
          <cell r="C711" t="str">
            <v>221</v>
          </cell>
        </row>
        <row r="712">
          <cell r="C712" t="str">
            <v>221</v>
          </cell>
        </row>
        <row r="713">
          <cell r="C713" t="str">
            <v>221</v>
          </cell>
        </row>
        <row r="714">
          <cell r="C714" t="str">
            <v>221</v>
          </cell>
        </row>
        <row r="715">
          <cell r="C715" t="str">
            <v>221</v>
          </cell>
        </row>
        <row r="716">
          <cell r="C716" t="str">
            <v>221</v>
          </cell>
        </row>
        <row r="717">
          <cell r="C717" t="str">
            <v>221</v>
          </cell>
        </row>
        <row r="718">
          <cell r="C718" t="str">
            <v>221</v>
          </cell>
        </row>
        <row r="719">
          <cell r="C719" t="str">
            <v>221</v>
          </cell>
        </row>
        <row r="720">
          <cell r="C720" t="str">
            <v>221</v>
          </cell>
        </row>
        <row r="721">
          <cell r="C721" t="str">
            <v>221</v>
          </cell>
        </row>
        <row r="722">
          <cell r="C722" t="str">
            <v>221</v>
          </cell>
        </row>
        <row r="723">
          <cell r="C723" t="str">
            <v>221</v>
          </cell>
        </row>
        <row r="724">
          <cell r="C724" t="str">
            <v>221</v>
          </cell>
        </row>
        <row r="725">
          <cell r="C725" t="str">
            <v>221</v>
          </cell>
        </row>
        <row r="726">
          <cell r="C726" t="str">
            <v>221</v>
          </cell>
        </row>
        <row r="727">
          <cell r="C727" t="str">
            <v>221</v>
          </cell>
        </row>
        <row r="728">
          <cell r="C728" t="str">
            <v>221</v>
          </cell>
        </row>
        <row r="729">
          <cell r="C729" t="str">
            <v>221</v>
          </cell>
        </row>
        <row r="730">
          <cell r="C730" t="str">
            <v>221</v>
          </cell>
        </row>
        <row r="731">
          <cell r="C731" t="str">
            <v>221</v>
          </cell>
        </row>
        <row r="732">
          <cell r="C732" t="str">
            <v>221</v>
          </cell>
        </row>
        <row r="733">
          <cell r="C733" t="str">
            <v>221</v>
          </cell>
        </row>
        <row r="734">
          <cell r="C734" t="str">
            <v>221</v>
          </cell>
        </row>
        <row r="735">
          <cell r="C735" t="str">
            <v>221</v>
          </cell>
        </row>
        <row r="736">
          <cell r="C736" t="str">
            <v>221</v>
          </cell>
        </row>
        <row r="737">
          <cell r="C737" t="str">
            <v>221</v>
          </cell>
        </row>
        <row r="738">
          <cell r="C738" t="str">
            <v>221</v>
          </cell>
        </row>
        <row r="739">
          <cell r="C739" t="str">
            <v>221</v>
          </cell>
        </row>
        <row r="740">
          <cell r="C740" t="str">
            <v>221</v>
          </cell>
        </row>
        <row r="741">
          <cell r="C741" t="str">
            <v>221</v>
          </cell>
        </row>
        <row r="742">
          <cell r="C742" t="str">
            <v>221</v>
          </cell>
        </row>
        <row r="743">
          <cell r="C743" t="str">
            <v>221</v>
          </cell>
        </row>
        <row r="744">
          <cell r="C744" t="str">
            <v>221</v>
          </cell>
        </row>
        <row r="745">
          <cell r="C745" t="str">
            <v>221</v>
          </cell>
        </row>
        <row r="746">
          <cell r="C746" t="str">
            <v>221</v>
          </cell>
        </row>
        <row r="747">
          <cell r="C747" t="str">
            <v>221</v>
          </cell>
        </row>
        <row r="748">
          <cell r="C748" t="str">
            <v>221</v>
          </cell>
        </row>
        <row r="749">
          <cell r="C749" t="str">
            <v>221</v>
          </cell>
        </row>
        <row r="750">
          <cell r="C750" t="str">
            <v>221</v>
          </cell>
        </row>
        <row r="751">
          <cell r="C751" t="str">
            <v>221</v>
          </cell>
        </row>
        <row r="752">
          <cell r="C752" t="str">
            <v>221</v>
          </cell>
        </row>
        <row r="753">
          <cell r="C753" t="str">
            <v>222</v>
          </cell>
        </row>
        <row r="754">
          <cell r="C754" t="str">
            <v>223</v>
          </cell>
        </row>
        <row r="755">
          <cell r="C755" t="str">
            <v>224</v>
          </cell>
        </row>
        <row r="756">
          <cell r="C756" t="str">
            <v>225</v>
          </cell>
        </row>
        <row r="757">
          <cell r="C757" t="str">
            <v>226</v>
          </cell>
        </row>
        <row r="758">
          <cell r="C758" t="str">
            <v>227</v>
          </cell>
        </row>
        <row r="759">
          <cell r="C759" t="str">
            <v>228</v>
          </cell>
        </row>
        <row r="760">
          <cell r="C760" t="str">
            <v>229</v>
          </cell>
        </row>
        <row r="761">
          <cell r="C761" t="str">
            <v>230</v>
          </cell>
        </row>
        <row r="762">
          <cell r="C762" t="str">
            <v>231</v>
          </cell>
        </row>
        <row r="763">
          <cell r="C763" t="str">
            <v>232</v>
          </cell>
        </row>
        <row r="764">
          <cell r="C764" t="str">
            <v>233</v>
          </cell>
        </row>
        <row r="765">
          <cell r="C765" t="str">
            <v>234</v>
          </cell>
        </row>
        <row r="766">
          <cell r="C766" t="str">
            <v>234</v>
          </cell>
        </row>
        <row r="767">
          <cell r="C767" t="str">
            <v>234</v>
          </cell>
        </row>
        <row r="768">
          <cell r="C768" t="str">
            <v>235</v>
          </cell>
        </row>
        <row r="769">
          <cell r="C769" t="str">
            <v>236</v>
          </cell>
        </row>
        <row r="770">
          <cell r="C770" t="str">
            <v>236</v>
          </cell>
        </row>
        <row r="771">
          <cell r="C771" t="str">
            <v>236</v>
          </cell>
        </row>
        <row r="772">
          <cell r="C772" t="str">
            <v>236</v>
          </cell>
        </row>
        <row r="773">
          <cell r="C773" t="str">
            <v>236</v>
          </cell>
        </row>
        <row r="774">
          <cell r="C774" t="str">
            <v>236</v>
          </cell>
        </row>
        <row r="775">
          <cell r="C775" t="str">
            <v>236</v>
          </cell>
        </row>
        <row r="776">
          <cell r="C776" t="str">
            <v>236</v>
          </cell>
        </row>
        <row r="777">
          <cell r="C777" t="str">
            <v>237</v>
          </cell>
        </row>
        <row r="778">
          <cell r="C778" t="str">
            <v>237</v>
          </cell>
        </row>
        <row r="779">
          <cell r="C779" t="str">
            <v>237</v>
          </cell>
        </row>
        <row r="780">
          <cell r="C780" t="str">
            <v>237</v>
          </cell>
        </row>
        <row r="781">
          <cell r="C781" t="str">
            <v>237</v>
          </cell>
        </row>
        <row r="782">
          <cell r="C782" t="str">
            <v>237</v>
          </cell>
        </row>
        <row r="783">
          <cell r="C783" t="str">
            <v>237</v>
          </cell>
        </row>
        <row r="784">
          <cell r="C784" t="str">
            <v>238</v>
          </cell>
        </row>
        <row r="785">
          <cell r="C785" t="str">
            <v>238</v>
          </cell>
        </row>
        <row r="786">
          <cell r="C786" t="str">
            <v>238</v>
          </cell>
        </row>
        <row r="787">
          <cell r="C787" t="str">
            <v>238</v>
          </cell>
        </row>
        <row r="788">
          <cell r="C788" t="str">
            <v>238</v>
          </cell>
        </row>
        <row r="789">
          <cell r="C789" t="str">
            <v>238</v>
          </cell>
        </row>
        <row r="790">
          <cell r="C790" t="str">
            <v>238</v>
          </cell>
        </row>
        <row r="791">
          <cell r="C791" t="str">
            <v>238</v>
          </cell>
        </row>
        <row r="792">
          <cell r="C792" t="str">
            <v>238</v>
          </cell>
        </row>
        <row r="793">
          <cell r="C793" t="str">
            <v>238</v>
          </cell>
        </row>
        <row r="794">
          <cell r="C794" t="str">
            <v>238</v>
          </cell>
        </row>
        <row r="795">
          <cell r="C795" t="str">
            <v>238</v>
          </cell>
        </row>
        <row r="796">
          <cell r="C796" t="str">
            <v>238</v>
          </cell>
        </row>
        <row r="797">
          <cell r="C797" t="str">
            <v>238</v>
          </cell>
        </row>
        <row r="798">
          <cell r="C798" t="str">
            <v>238</v>
          </cell>
        </row>
        <row r="799">
          <cell r="C799" t="str">
            <v>238</v>
          </cell>
        </row>
        <row r="800">
          <cell r="C800" t="str">
            <v>238</v>
          </cell>
        </row>
        <row r="801">
          <cell r="C801" t="str">
            <v>238</v>
          </cell>
        </row>
        <row r="802">
          <cell r="C802" t="str">
            <v>238</v>
          </cell>
        </row>
        <row r="803">
          <cell r="C803" t="str">
            <v>238</v>
          </cell>
        </row>
        <row r="804">
          <cell r="C804" t="str">
            <v>238</v>
          </cell>
        </row>
        <row r="805">
          <cell r="C805" t="str">
            <v>238</v>
          </cell>
        </row>
        <row r="806">
          <cell r="C806" t="str">
            <v>239</v>
          </cell>
        </row>
        <row r="807">
          <cell r="C807" t="str">
            <v>240</v>
          </cell>
        </row>
        <row r="808">
          <cell r="C808" t="str">
            <v>241</v>
          </cell>
        </row>
        <row r="809">
          <cell r="C809" t="str">
            <v>242</v>
          </cell>
        </row>
        <row r="810">
          <cell r="C810" t="str">
            <v>243</v>
          </cell>
        </row>
        <row r="811">
          <cell r="C811" t="str">
            <v>243</v>
          </cell>
        </row>
        <row r="812">
          <cell r="C812" t="str">
            <v>243</v>
          </cell>
        </row>
        <row r="813">
          <cell r="C813" t="str">
            <v>243</v>
          </cell>
        </row>
        <row r="814">
          <cell r="C814" t="str">
            <v>243</v>
          </cell>
        </row>
        <row r="815">
          <cell r="C815" t="str">
            <v>243</v>
          </cell>
        </row>
        <row r="816">
          <cell r="C816" t="str">
            <v>243</v>
          </cell>
        </row>
        <row r="817">
          <cell r="C817" t="str">
            <v>243</v>
          </cell>
        </row>
        <row r="818">
          <cell r="C818" t="str">
            <v>243</v>
          </cell>
        </row>
        <row r="819">
          <cell r="C819" t="str">
            <v>243</v>
          </cell>
        </row>
        <row r="820">
          <cell r="C820" t="str">
            <v>243</v>
          </cell>
        </row>
        <row r="821">
          <cell r="C821" t="str">
            <v>243</v>
          </cell>
        </row>
        <row r="822">
          <cell r="C822" t="str">
            <v>243</v>
          </cell>
        </row>
        <row r="823">
          <cell r="C823" t="str">
            <v>243</v>
          </cell>
        </row>
        <row r="824">
          <cell r="C824" t="str">
            <v>243</v>
          </cell>
        </row>
        <row r="825">
          <cell r="C825" t="str">
            <v>243</v>
          </cell>
        </row>
        <row r="826">
          <cell r="C826" t="str">
            <v>243</v>
          </cell>
        </row>
        <row r="827">
          <cell r="C827" t="str">
            <v>243</v>
          </cell>
        </row>
        <row r="828">
          <cell r="C828" t="str">
            <v>243</v>
          </cell>
        </row>
        <row r="829">
          <cell r="C829" t="str">
            <v>243</v>
          </cell>
        </row>
        <row r="830">
          <cell r="C830" t="str">
            <v>243</v>
          </cell>
        </row>
        <row r="831">
          <cell r="C831" t="str">
            <v>243</v>
          </cell>
        </row>
        <row r="832">
          <cell r="C832" t="str">
            <v>243</v>
          </cell>
        </row>
        <row r="833">
          <cell r="C833" t="str">
            <v>243</v>
          </cell>
        </row>
        <row r="834">
          <cell r="C834" t="str">
            <v>243</v>
          </cell>
        </row>
        <row r="835">
          <cell r="C835" t="str">
            <v>243</v>
          </cell>
        </row>
        <row r="836">
          <cell r="C836" t="str">
            <v>243</v>
          </cell>
        </row>
        <row r="837">
          <cell r="C837" t="str">
            <v>243</v>
          </cell>
        </row>
        <row r="838">
          <cell r="C838" t="str">
            <v>243</v>
          </cell>
        </row>
        <row r="839">
          <cell r="C839" t="str">
            <v>243</v>
          </cell>
        </row>
        <row r="840">
          <cell r="C840" t="str">
            <v>243</v>
          </cell>
        </row>
        <row r="841">
          <cell r="C841" t="str">
            <v>243</v>
          </cell>
        </row>
        <row r="842">
          <cell r="C842" t="str">
            <v>243</v>
          </cell>
        </row>
        <row r="843">
          <cell r="C843" t="str">
            <v>243</v>
          </cell>
        </row>
        <row r="844">
          <cell r="C844" t="str">
            <v>243</v>
          </cell>
        </row>
        <row r="845">
          <cell r="C845" t="str">
            <v>243</v>
          </cell>
        </row>
        <row r="846">
          <cell r="C846" t="str">
            <v>243</v>
          </cell>
        </row>
        <row r="847">
          <cell r="C847" t="str">
            <v>243</v>
          </cell>
        </row>
        <row r="848">
          <cell r="C848" t="str">
            <v>243</v>
          </cell>
        </row>
        <row r="849">
          <cell r="C849" t="str">
            <v>243</v>
          </cell>
        </row>
        <row r="850">
          <cell r="C850" t="str">
            <v>243</v>
          </cell>
        </row>
        <row r="851">
          <cell r="C851" t="str">
            <v>243</v>
          </cell>
        </row>
        <row r="852">
          <cell r="C852" t="str">
            <v>243</v>
          </cell>
        </row>
        <row r="853">
          <cell r="C853" t="str">
            <v>243</v>
          </cell>
        </row>
        <row r="854">
          <cell r="C854" t="str">
            <v>243</v>
          </cell>
        </row>
        <row r="855">
          <cell r="C855" t="str">
            <v>243</v>
          </cell>
        </row>
        <row r="856">
          <cell r="C856" t="str">
            <v>243</v>
          </cell>
        </row>
        <row r="857">
          <cell r="C857" t="str">
            <v>243</v>
          </cell>
        </row>
        <row r="858">
          <cell r="C858" t="str">
            <v>243</v>
          </cell>
        </row>
        <row r="859">
          <cell r="C859" t="str">
            <v>243</v>
          </cell>
        </row>
        <row r="860">
          <cell r="C860" t="str">
            <v>243</v>
          </cell>
        </row>
        <row r="861">
          <cell r="C861" t="str">
            <v>243</v>
          </cell>
        </row>
        <row r="862">
          <cell r="C862" t="str">
            <v>243</v>
          </cell>
        </row>
        <row r="863">
          <cell r="C863" t="str">
            <v>243</v>
          </cell>
        </row>
        <row r="864">
          <cell r="C864" t="str">
            <v>243</v>
          </cell>
        </row>
        <row r="865">
          <cell r="C865" t="str">
            <v>243</v>
          </cell>
        </row>
        <row r="866">
          <cell r="C866" t="str">
            <v>243</v>
          </cell>
        </row>
        <row r="867">
          <cell r="C867" t="str">
            <v>243</v>
          </cell>
        </row>
        <row r="868">
          <cell r="C868" t="str">
            <v>243</v>
          </cell>
        </row>
        <row r="869">
          <cell r="C869" t="str">
            <v>243</v>
          </cell>
        </row>
        <row r="870">
          <cell r="C870" t="str">
            <v>243</v>
          </cell>
        </row>
        <row r="871">
          <cell r="C871" t="str">
            <v>243</v>
          </cell>
        </row>
        <row r="872">
          <cell r="C872" t="str">
            <v>243</v>
          </cell>
        </row>
        <row r="873">
          <cell r="C873" t="str">
            <v>243</v>
          </cell>
        </row>
        <row r="874">
          <cell r="C874" t="str">
            <v>244</v>
          </cell>
        </row>
        <row r="875">
          <cell r="C875" t="str">
            <v>245</v>
          </cell>
        </row>
        <row r="876">
          <cell r="C876" t="str">
            <v>246</v>
          </cell>
        </row>
        <row r="877">
          <cell r="C877" t="str">
            <v>247</v>
          </cell>
        </row>
        <row r="878">
          <cell r="C878" t="str">
            <v>248</v>
          </cell>
        </row>
        <row r="879">
          <cell r="C879" t="str">
            <v>249</v>
          </cell>
        </row>
        <row r="880">
          <cell r="C880" t="str">
            <v>250</v>
          </cell>
        </row>
        <row r="881">
          <cell r="C881" t="str">
            <v>251</v>
          </cell>
        </row>
        <row r="882">
          <cell r="C882" t="str">
            <v>251</v>
          </cell>
        </row>
        <row r="883">
          <cell r="C883" t="str">
            <v>251</v>
          </cell>
        </row>
        <row r="884">
          <cell r="C884" t="str">
            <v>251</v>
          </cell>
        </row>
        <row r="885">
          <cell r="C885" t="str">
            <v>252</v>
          </cell>
        </row>
        <row r="886">
          <cell r="C886" t="str">
            <v>253</v>
          </cell>
        </row>
        <row r="887">
          <cell r="C887" t="str">
            <v>254</v>
          </cell>
        </row>
        <row r="888">
          <cell r="C888" t="str">
            <v>255</v>
          </cell>
        </row>
        <row r="889">
          <cell r="C889" t="str">
            <v>256</v>
          </cell>
        </row>
        <row r="890">
          <cell r="C890" t="str">
            <v>257</v>
          </cell>
        </row>
        <row r="891">
          <cell r="C891" t="str">
            <v>258</v>
          </cell>
        </row>
        <row r="892">
          <cell r="C892" t="str">
            <v>259</v>
          </cell>
        </row>
        <row r="893">
          <cell r="C893" t="str">
            <v>260</v>
          </cell>
        </row>
        <row r="894">
          <cell r="C894" t="str">
            <v>261</v>
          </cell>
        </row>
        <row r="895">
          <cell r="C895" t="str">
            <v>262</v>
          </cell>
        </row>
        <row r="896">
          <cell r="C896" t="str">
            <v>263</v>
          </cell>
        </row>
        <row r="897">
          <cell r="C897" t="str">
            <v>264</v>
          </cell>
        </row>
        <row r="898">
          <cell r="C898" t="str">
            <v>265</v>
          </cell>
        </row>
        <row r="899">
          <cell r="C899" t="str">
            <v>266</v>
          </cell>
        </row>
        <row r="900">
          <cell r="C900" t="str">
            <v>267</v>
          </cell>
        </row>
        <row r="901">
          <cell r="C901" t="str">
            <v>268</v>
          </cell>
        </row>
        <row r="902">
          <cell r="C902" t="str">
            <v>269</v>
          </cell>
        </row>
        <row r="903">
          <cell r="C903" t="str">
            <v>270</v>
          </cell>
        </row>
        <row r="904">
          <cell r="C904" t="str">
            <v>271</v>
          </cell>
        </row>
        <row r="905">
          <cell r="C905" t="str">
            <v>272</v>
          </cell>
        </row>
        <row r="906">
          <cell r="C906" t="str">
            <v>273</v>
          </cell>
        </row>
        <row r="907">
          <cell r="C907" t="str">
            <v>274</v>
          </cell>
        </row>
        <row r="908">
          <cell r="C908" t="str">
            <v>275</v>
          </cell>
        </row>
        <row r="909">
          <cell r="C909" t="str">
            <v>276</v>
          </cell>
        </row>
        <row r="910">
          <cell r="C910" t="str">
            <v>277</v>
          </cell>
        </row>
        <row r="911">
          <cell r="C911" t="str">
            <v>278</v>
          </cell>
        </row>
        <row r="912">
          <cell r="C912" t="str">
            <v>279</v>
          </cell>
        </row>
        <row r="913">
          <cell r="C913" t="str">
            <v>280</v>
          </cell>
        </row>
        <row r="914">
          <cell r="C914" t="str">
            <v>281</v>
          </cell>
        </row>
        <row r="915">
          <cell r="C915" t="str">
            <v>282</v>
          </cell>
        </row>
        <row r="916">
          <cell r="C916" t="str">
            <v>283</v>
          </cell>
        </row>
        <row r="917">
          <cell r="C917" t="str">
            <v>284</v>
          </cell>
        </row>
        <row r="918">
          <cell r="C918" t="str">
            <v>285</v>
          </cell>
        </row>
        <row r="919">
          <cell r="C919" t="str">
            <v>286</v>
          </cell>
        </row>
        <row r="920">
          <cell r="C920" t="str">
            <v>287</v>
          </cell>
        </row>
        <row r="921">
          <cell r="C921" t="str">
            <v>288</v>
          </cell>
        </row>
        <row r="922">
          <cell r="C922" t="str">
            <v>289</v>
          </cell>
        </row>
        <row r="923">
          <cell r="C923" t="str">
            <v>290</v>
          </cell>
        </row>
        <row r="924">
          <cell r="C924" t="str">
            <v>291</v>
          </cell>
        </row>
        <row r="925">
          <cell r="C925" t="str">
            <v>292</v>
          </cell>
        </row>
        <row r="926">
          <cell r="C926" t="str">
            <v>293</v>
          </cell>
        </row>
        <row r="927">
          <cell r="C927" t="str">
            <v>294</v>
          </cell>
        </row>
        <row r="928">
          <cell r="C928" t="str">
            <v>295</v>
          </cell>
        </row>
        <row r="929">
          <cell r="C929" t="str">
            <v>296</v>
          </cell>
        </row>
        <row r="930">
          <cell r="C930" t="str">
            <v>297</v>
          </cell>
        </row>
        <row r="931">
          <cell r="C931" t="str">
            <v>298</v>
          </cell>
        </row>
        <row r="932">
          <cell r="C932" t="str">
            <v>298</v>
          </cell>
        </row>
        <row r="933">
          <cell r="C933" t="str">
            <v>298</v>
          </cell>
        </row>
        <row r="934">
          <cell r="C934" t="str">
            <v>298</v>
          </cell>
        </row>
        <row r="935">
          <cell r="C935" t="str">
            <v>298</v>
          </cell>
        </row>
        <row r="936">
          <cell r="C936" t="str">
            <v>298</v>
          </cell>
        </row>
        <row r="937">
          <cell r="C937" t="str">
            <v>298</v>
          </cell>
        </row>
        <row r="938">
          <cell r="C938" t="str">
            <v>298</v>
          </cell>
        </row>
        <row r="939">
          <cell r="C939" t="str">
            <v>298</v>
          </cell>
        </row>
        <row r="940">
          <cell r="C940" t="str">
            <v>299</v>
          </cell>
        </row>
        <row r="941">
          <cell r="C941" t="str">
            <v>300</v>
          </cell>
        </row>
        <row r="942">
          <cell r="C942" t="str">
            <v>300</v>
          </cell>
        </row>
        <row r="943">
          <cell r="C943" t="str">
            <v>300</v>
          </cell>
        </row>
        <row r="944">
          <cell r="C944" t="str">
            <v>300</v>
          </cell>
        </row>
        <row r="945">
          <cell r="C945" t="str">
            <v>300</v>
          </cell>
        </row>
        <row r="946">
          <cell r="C946" t="str">
            <v>300</v>
          </cell>
        </row>
        <row r="947">
          <cell r="C947" t="str">
            <v>300</v>
          </cell>
        </row>
        <row r="948">
          <cell r="C948" t="str">
            <v>300</v>
          </cell>
        </row>
        <row r="949">
          <cell r="C949" t="str">
            <v>300</v>
          </cell>
        </row>
        <row r="950">
          <cell r="C950" t="str">
            <v>300</v>
          </cell>
        </row>
        <row r="951">
          <cell r="C951" t="str">
            <v>300</v>
          </cell>
        </row>
        <row r="952">
          <cell r="C952" t="str">
            <v>300</v>
          </cell>
        </row>
        <row r="953">
          <cell r="C953" t="str">
            <v>300</v>
          </cell>
        </row>
        <row r="954">
          <cell r="C954" t="str">
            <v>300</v>
          </cell>
        </row>
        <row r="955">
          <cell r="C955" t="str">
            <v>300</v>
          </cell>
        </row>
        <row r="956">
          <cell r="C956" t="str">
            <v>300</v>
          </cell>
        </row>
        <row r="957">
          <cell r="C957" t="str">
            <v>300</v>
          </cell>
        </row>
        <row r="958">
          <cell r="C958" t="str">
            <v>300</v>
          </cell>
        </row>
        <row r="959">
          <cell r="C959" t="str">
            <v>300</v>
          </cell>
        </row>
        <row r="960">
          <cell r="C960" t="str">
            <v>300</v>
          </cell>
        </row>
        <row r="961">
          <cell r="C961" t="str">
            <v>300</v>
          </cell>
        </row>
        <row r="962">
          <cell r="C962" t="str">
            <v>300</v>
          </cell>
        </row>
        <row r="963">
          <cell r="C963" t="str">
            <v>300</v>
          </cell>
        </row>
        <row r="964">
          <cell r="C964" t="str">
            <v>300</v>
          </cell>
        </row>
        <row r="965">
          <cell r="C965" t="str">
            <v>300</v>
          </cell>
        </row>
        <row r="966">
          <cell r="C966" t="str">
            <v>300</v>
          </cell>
        </row>
        <row r="967">
          <cell r="C967" t="str">
            <v>300</v>
          </cell>
        </row>
        <row r="968">
          <cell r="C968" t="str">
            <v>300</v>
          </cell>
        </row>
        <row r="969">
          <cell r="C969" t="str">
            <v>300</v>
          </cell>
        </row>
        <row r="970">
          <cell r="C970" t="str">
            <v>300</v>
          </cell>
        </row>
        <row r="971">
          <cell r="C971" t="str">
            <v>300</v>
          </cell>
        </row>
        <row r="972">
          <cell r="C972" t="str">
            <v>300</v>
          </cell>
        </row>
        <row r="973">
          <cell r="C973" t="str">
            <v>300</v>
          </cell>
        </row>
        <row r="974">
          <cell r="C974" t="str">
            <v>300</v>
          </cell>
        </row>
        <row r="975">
          <cell r="C975" t="str">
            <v>300</v>
          </cell>
        </row>
        <row r="976">
          <cell r="C976" t="str">
            <v>300</v>
          </cell>
        </row>
        <row r="977">
          <cell r="C977" t="str">
            <v>300</v>
          </cell>
        </row>
        <row r="978">
          <cell r="C978" t="str">
            <v>300</v>
          </cell>
        </row>
        <row r="979">
          <cell r="C979" t="str">
            <v>300</v>
          </cell>
        </row>
        <row r="980">
          <cell r="C980" t="str">
            <v>300</v>
          </cell>
        </row>
        <row r="981">
          <cell r="C981" t="str">
            <v>300</v>
          </cell>
        </row>
        <row r="982">
          <cell r="C982" t="str">
            <v>300</v>
          </cell>
        </row>
        <row r="983">
          <cell r="C983" t="str">
            <v>300</v>
          </cell>
        </row>
        <row r="984">
          <cell r="C984" t="str">
            <v>300</v>
          </cell>
        </row>
        <row r="985">
          <cell r="C985" t="str">
            <v>300</v>
          </cell>
        </row>
        <row r="986">
          <cell r="C986" t="str">
            <v>300</v>
          </cell>
        </row>
        <row r="987">
          <cell r="C987" t="str">
            <v>300</v>
          </cell>
        </row>
        <row r="988">
          <cell r="C988" t="str">
            <v>300</v>
          </cell>
        </row>
        <row r="989">
          <cell r="C989" t="str">
            <v>300</v>
          </cell>
        </row>
        <row r="990">
          <cell r="C990" t="str">
            <v>300</v>
          </cell>
        </row>
        <row r="991">
          <cell r="C991" t="str">
            <v>300</v>
          </cell>
        </row>
        <row r="992">
          <cell r="C992" t="str">
            <v>300</v>
          </cell>
        </row>
        <row r="993">
          <cell r="C993" t="str">
            <v>301</v>
          </cell>
        </row>
        <row r="994">
          <cell r="C994" t="str">
            <v>302</v>
          </cell>
        </row>
        <row r="995">
          <cell r="C995" t="str">
            <v>303</v>
          </cell>
        </row>
        <row r="996">
          <cell r="C996" t="str">
            <v>304</v>
          </cell>
        </row>
        <row r="997">
          <cell r="C997" t="str">
            <v>305</v>
          </cell>
        </row>
        <row r="998">
          <cell r="C998" t="str">
            <v>306</v>
          </cell>
        </row>
        <row r="999">
          <cell r="C999" t="str">
            <v>307</v>
          </cell>
        </row>
        <row r="1000">
          <cell r="C1000" t="str">
            <v>308</v>
          </cell>
        </row>
        <row r="1001">
          <cell r="C1001" t="str">
            <v>309</v>
          </cell>
        </row>
        <row r="1002">
          <cell r="C1002" t="str">
            <v>310</v>
          </cell>
        </row>
        <row r="1003">
          <cell r="C1003" t="str">
            <v>311</v>
          </cell>
        </row>
        <row r="1004">
          <cell r="C1004" t="str">
            <v>312</v>
          </cell>
        </row>
        <row r="1005">
          <cell r="C1005" t="str">
            <v>313</v>
          </cell>
        </row>
        <row r="1006">
          <cell r="C1006" t="str">
            <v>314</v>
          </cell>
        </row>
        <row r="1007">
          <cell r="C1007" t="str">
            <v>315</v>
          </cell>
        </row>
        <row r="1008">
          <cell r="C1008" t="str">
            <v>316</v>
          </cell>
        </row>
        <row r="1009">
          <cell r="C1009" t="str">
            <v>317</v>
          </cell>
        </row>
        <row r="1010">
          <cell r="C1010" t="str">
            <v>318</v>
          </cell>
        </row>
        <row r="1011">
          <cell r="C1011" t="str">
            <v>319</v>
          </cell>
        </row>
        <row r="1012">
          <cell r="C1012" t="str">
            <v>320</v>
          </cell>
        </row>
        <row r="1013">
          <cell r="C1013" t="str">
            <v>321</v>
          </cell>
        </row>
        <row r="1014">
          <cell r="C1014" t="str">
            <v>322</v>
          </cell>
        </row>
        <row r="1015">
          <cell r="C1015" t="str">
            <v>323</v>
          </cell>
        </row>
        <row r="1016">
          <cell r="C1016" t="str">
            <v>324</v>
          </cell>
        </row>
        <row r="1017">
          <cell r="C1017" t="str">
            <v>325</v>
          </cell>
        </row>
        <row r="1018">
          <cell r="C1018" t="str">
            <v>326</v>
          </cell>
        </row>
        <row r="1019">
          <cell r="C1019" t="str">
            <v>327</v>
          </cell>
        </row>
        <row r="1020">
          <cell r="C1020" t="str">
            <v>327</v>
          </cell>
        </row>
        <row r="1021">
          <cell r="C1021" t="str">
            <v>327</v>
          </cell>
        </row>
        <row r="1022">
          <cell r="C1022" t="str">
            <v>327</v>
          </cell>
        </row>
        <row r="1023">
          <cell r="C1023" t="str">
            <v>327</v>
          </cell>
        </row>
        <row r="1024">
          <cell r="C1024" t="str">
            <v>327</v>
          </cell>
        </row>
        <row r="1025">
          <cell r="C1025" t="str">
            <v>327</v>
          </cell>
        </row>
        <row r="1026">
          <cell r="C1026" t="str">
            <v>327</v>
          </cell>
        </row>
        <row r="1027">
          <cell r="C1027" t="str">
            <v>327</v>
          </cell>
        </row>
        <row r="1028">
          <cell r="C1028" t="str">
            <v>327</v>
          </cell>
        </row>
        <row r="1029">
          <cell r="C1029" t="str">
            <v>327</v>
          </cell>
        </row>
        <row r="1030">
          <cell r="C1030" t="str">
            <v>327</v>
          </cell>
        </row>
        <row r="1031">
          <cell r="C1031" t="str">
            <v>327</v>
          </cell>
        </row>
        <row r="1032">
          <cell r="C1032" t="str">
            <v>327</v>
          </cell>
        </row>
        <row r="1033">
          <cell r="C1033" t="str">
            <v>327</v>
          </cell>
        </row>
        <row r="1034">
          <cell r="C1034" t="str">
            <v>327</v>
          </cell>
        </row>
        <row r="1035">
          <cell r="C1035" t="str">
            <v>327</v>
          </cell>
        </row>
        <row r="1036">
          <cell r="C1036" t="str">
            <v>327</v>
          </cell>
        </row>
        <row r="1037">
          <cell r="C1037" t="str">
            <v>327</v>
          </cell>
        </row>
        <row r="1038">
          <cell r="C1038" t="str">
            <v>327</v>
          </cell>
        </row>
        <row r="1039">
          <cell r="C1039" t="str">
            <v>327</v>
          </cell>
        </row>
        <row r="1040">
          <cell r="C1040" t="str">
            <v>327</v>
          </cell>
        </row>
        <row r="1041">
          <cell r="C1041" t="str">
            <v>327</v>
          </cell>
        </row>
        <row r="1042">
          <cell r="C1042" t="str">
            <v>327</v>
          </cell>
        </row>
        <row r="1043">
          <cell r="C1043" t="str">
            <v>327</v>
          </cell>
        </row>
        <row r="1044">
          <cell r="C1044" t="str">
            <v>327</v>
          </cell>
        </row>
        <row r="1045">
          <cell r="C1045" t="str">
            <v>327</v>
          </cell>
        </row>
        <row r="1046">
          <cell r="C1046" t="str">
            <v>327</v>
          </cell>
        </row>
        <row r="1047">
          <cell r="C1047" t="str">
            <v>327</v>
          </cell>
        </row>
        <row r="1048">
          <cell r="C1048" t="str">
            <v>327</v>
          </cell>
        </row>
        <row r="1049">
          <cell r="C1049" t="str">
            <v>327</v>
          </cell>
        </row>
        <row r="1050">
          <cell r="C1050" t="str">
            <v>327</v>
          </cell>
        </row>
        <row r="1051">
          <cell r="C1051" t="str">
            <v>327</v>
          </cell>
        </row>
        <row r="1052">
          <cell r="C1052" t="str">
            <v>327</v>
          </cell>
        </row>
        <row r="1053">
          <cell r="C1053" t="str">
            <v>327</v>
          </cell>
        </row>
        <row r="1054">
          <cell r="C1054" t="str">
            <v>327</v>
          </cell>
        </row>
        <row r="1055">
          <cell r="C1055" t="str">
            <v>327</v>
          </cell>
        </row>
        <row r="1056">
          <cell r="C1056" t="str">
            <v>327</v>
          </cell>
        </row>
        <row r="1057">
          <cell r="C1057" t="str">
            <v>327</v>
          </cell>
        </row>
        <row r="1058">
          <cell r="C1058" t="str">
            <v>327</v>
          </cell>
        </row>
        <row r="1059">
          <cell r="C1059" t="str">
            <v>327</v>
          </cell>
        </row>
        <row r="1060">
          <cell r="C1060" t="str">
            <v>327</v>
          </cell>
        </row>
        <row r="1061">
          <cell r="C1061" t="str">
            <v>327</v>
          </cell>
        </row>
        <row r="1062">
          <cell r="C1062" t="str">
            <v>327</v>
          </cell>
        </row>
        <row r="1063">
          <cell r="C1063" t="str">
            <v>327</v>
          </cell>
        </row>
        <row r="1064">
          <cell r="C1064" t="str">
            <v>327</v>
          </cell>
        </row>
        <row r="1065">
          <cell r="C1065" t="str">
            <v>327</v>
          </cell>
        </row>
        <row r="1066">
          <cell r="C1066" t="str">
            <v>327</v>
          </cell>
        </row>
        <row r="1067">
          <cell r="C1067" t="str">
            <v>327</v>
          </cell>
        </row>
        <row r="1068">
          <cell r="C1068" t="str">
            <v>327</v>
          </cell>
        </row>
        <row r="1069">
          <cell r="C1069" t="str">
            <v>327</v>
          </cell>
        </row>
        <row r="1070">
          <cell r="C1070" t="str">
            <v>328</v>
          </cell>
        </row>
        <row r="1071">
          <cell r="C1071" t="str">
            <v>328</v>
          </cell>
        </row>
        <row r="1072">
          <cell r="C1072" t="str">
            <v>328</v>
          </cell>
        </row>
        <row r="1073">
          <cell r="C1073" t="str">
            <v>328</v>
          </cell>
        </row>
        <row r="1074">
          <cell r="C1074" t="str">
            <v>328</v>
          </cell>
        </row>
        <row r="1075">
          <cell r="C1075" t="str">
            <v>328</v>
          </cell>
        </row>
        <row r="1076">
          <cell r="C1076" t="str">
            <v>328</v>
          </cell>
        </row>
        <row r="1077">
          <cell r="C1077" t="str">
            <v>328</v>
          </cell>
        </row>
        <row r="1078">
          <cell r="C1078" t="str">
            <v>328</v>
          </cell>
        </row>
        <row r="1079">
          <cell r="C1079" t="str">
            <v>329</v>
          </cell>
        </row>
        <row r="1080">
          <cell r="C1080" t="str">
            <v>330</v>
          </cell>
        </row>
        <row r="1081">
          <cell r="C1081" t="str">
            <v>331</v>
          </cell>
        </row>
        <row r="1082">
          <cell r="C1082" t="str">
            <v>332</v>
          </cell>
        </row>
        <row r="1083">
          <cell r="C1083" t="str">
            <v>333</v>
          </cell>
        </row>
        <row r="1084">
          <cell r="C1084" t="str">
            <v>334</v>
          </cell>
        </row>
        <row r="1085">
          <cell r="C1085" t="str">
            <v>335</v>
          </cell>
        </row>
        <row r="1086">
          <cell r="C1086" t="str">
            <v>336</v>
          </cell>
        </row>
        <row r="1087">
          <cell r="C1087" t="str">
            <v>337</v>
          </cell>
        </row>
        <row r="1088">
          <cell r="C1088" t="str">
            <v>338</v>
          </cell>
        </row>
        <row r="1089">
          <cell r="C1089" t="str">
            <v>339</v>
          </cell>
        </row>
        <row r="1090">
          <cell r="C1090" t="str">
            <v>340</v>
          </cell>
        </row>
        <row r="1091">
          <cell r="C1091" t="str">
            <v>341</v>
          </cell>
        </row>
        <row r="1092">
          <cell r="C1092" t="str">
            <v>342</v>
          </cell>
        </row>
        <row r="1093">
          <cell r="C1093" t="str">
            <v>343</v>
          </cell>
        </row>
        <row r="1094">
          <cell r="C1094" t="str">
            <v>344</v>
          </cell>
        </row>
        <row r="1095">
          <cell r="C1095" t="str">
            <v>345</v>
          </cell>
        </row>
        <row r="1096">
          <cell r="C1096" t="str">
            <v>346</v>
          </cell>
        </row>
        <row r="1097">
          <cell r="C1097" t="str">
            <v>347</v>
          </cell>
        </row>
        <row r="1098">
          <cell r="C1098" t="str">
            <v>348</v>
          </cell>
        </row>
        <row r="1099">
          <cell r="C1099" t="str">
            <v>349</v>
          </cell>
        </row>
        <row r="1100">
          <cell r="C1100" t="str">
            <v>350</v>
          </cell>
        </row>
        <row r="1101">
          <cell r="C1101" t="str">
            <v>351</v>
          </cell>
        </row>
        <row r="1102">
          <cell r="C1102" t="str">
            <v>352</v>
          </cell>
        </row>
        <row r="1103">
          <cell r="C1103" t="str">
            <v>353</v>
          </cell>
        </row>
        <row r="1104">
          <cell r="C1104" t="str">
            <v>354</v>
          </cell>
        </row>
        <row r="1105">
          <cell r="C1105" t="str">
            <v>355</v>
          </cell>
        </row>
        <row r="1106">
          <cell r="C1106" t="str">
            <v>356</v>
          </cell>
        </row>
        <row r="1107">
          <cell r="C1107" t="str">
            <v>357</v>
          </cell>
        </row>
        <row r="1108">
          <cell r="C1108" t="str">
            <v>358</v>
          </cell>
        </row>
        <row r="1109">
          <cell r="C1109" t="str">
            <v>358</v>
          </cell>
        </row>
        <row r="1110">
          <cell r="C1110" t="str">
            <v>358</v>
          </cell>
        </row>
        <row r="1111">
          <cell r="C1111" t="str">
            <v>358</v>
          </cell>
        </row>
        <row r="1112">
          <cell r="C1112" t="str">
            <v>358</v>
          </cell>
        </row>
        <row r="1113">
          <cell r="C1113" t="str">
            <v>358</v>
          </cell>
        </row>
        <row r="1114">
          <cell r="C1114" t="str">
            <v>358</v>
          </cell>
        </row>
        <row r="1115">
          <cell r="C1115" t="str">
            <v>358</v>
          </cell>
        </row>
        <row r="1116">
          <cell r="C1116" t="str">
            <v>358</v>
          </cell>
        </row>
        <row r="1117">
          <cell r="C1117" t="str">
            <v>358</v>
          </cell>
        </row>
        <row r="1118">
          <cell r="C1118" t="str">
            <v>358</v>
          </cell>
        </row>
        <row r="1119">
          <cell r="C1119" t="str">
            <v>358</v>
          </cell>
        </row>
        <row r="1120">
          <cell r="C1120" t="str">
            <v>358</v>
          </cell>
        </row>
        <row r="1121">
          <cell r="C1121" t="str">
            <v>358</v>
          </cell>
        </row>
        <row r="1122">
          <cell r="C1122" t="str">
            <v>358</v>
          </cell>
        </row>
        <row r="1123">
          <cell r="C1123" t="str">
            <v>358</v>
          </cell>
        </row>
        <row r="1124">
          <cell r="C1124" t="str">
            <v>358</v>
          </cell>
        </row>
        <row r="1125">
          <cell r="C1125" t="str">
            <v>358</v>
          </cell>
        </row>
        <row r="1126">
          <cell r="C1126" t="str">
            <v>358</v>
          </cell>
        </row>
        <row r="1127">
          <cell r="C1127" t="str">
            <v>358</v>
          </cell>
        </row>
        <row r="1128">
          <cell r="C1128" t="str">
            <v>358</v>
          </cell>
        </row>
        <row r="1129">
          <cell r="C1129" t="str">
            <v>358</v>
          </cell>
        </row>
        <row r="1130">
          <cell r="C1130" t="str">
            <v>358</v>
          </cell>
        </row>
        <row r="1131">
          <cell r="C1131" t="str">
            <v>358</v>
          </cell>
        </row>
        <row r="1132">
          <cell r="C1132" t="str">
            <v>358</v>
          </cell>
        </row>
        <row r="1133">
          <cell r="C1133" t="str">
            <v>358</v>
          </cell>
        </row>
        <row r="1134">
          <cell r="C1134" t="str">
            <v>358</v>
          </cell>
        </row>
        <row r="1135">
          <cell r="C1135" t="str">
            <v>358</v>
          </cell>
        </row>
        <row r="1136">
          <cell r="C1136" t="str">
            <v>358</v>
          </cell>
        </row>
        <row r="1137">
          <cell r="C1137" t="str">
            <v>358</v>
          </cell>
        </row>
        <row r="1138">
          <cell r="C1138" t="str">
            <v>358</v>
          </cell>
        </row>
        <row r="1139">
          <cell r="C1139" t="str">
            <v>358</v>
          </cell>
        </row>
        <row r="1140">
          <cell r="C1140" t="str">
            <v>358</v>
          </cell>
        </row>
        <row r="1141">
          <cell r="C1141" t="str">
            <v>358</v>
          </cell>
        </row>
        <row r="1142">
          <cell r="C1142" t="str">
            <v>358</v>
          </cell>
        </row>
        <row r="1143">
          <cell r="C1143" t="str">
            <v>358</v>
          </cell>
        </row>
        <row r="1144">
          <cell r="C1144" t="str">
            <v>358</v>
          </cell>
        </row>
        <row r="1145">
          <cell r="C1145" t="str">
            <v>358</v>
          </cell>
        </row>
        <row r="1146">
          <cell r="C1146" t="str">
            <v>358</v>
          </cell>
        </row>
        <row r="1147">
          <cell r="C1147" t="str">
            <v>358</v>
          </cell>
        </row>
        <row r="1148">
          <cell r="C1148" t="str">
            <v>358</v>
          </cell>
        </row>
        <row r="1149">
          <cell r="C1149" t="str">
            <v>358</v>
          </cell>
        </row>
        <row r="1150">
          <cell r="C1150" t="str">
            <v>358</v>
          </cell>
        </row>
        <row r="1151">
          <cell r="C1151" t="str">
            <v>358</v>
          </cell>
        </row>
        <row r="1152">
          <cell r="C1152" t="str">
            <v>358</v>
          </cell>
        </row>
        <row r="1153">
          <cell r="C1153" t="str">
            <v>358</v>
          </cell>
        </row>
        <row r="1154">
          <cell r="C1154" t="str">
            <v>358</v>
          </cell>
        </row>
        <row r="1155">
          <cell r="C1155" t="str">
            <v>358</v>
          </cell>
        </row>
        <row r="1156">
          <cell r="C1156" t="str">
            <v>358</v>
          </cell>
        </row>
        <row r="1157">
          <cell r="C1157" t="str">
            <v>358</v>
          </cell>
        </row>
        <row r="1158">
          <cell r="C1158" t="str">
            <v>359</v>
          </cell>
        </row>
        <row r="1159">
          <cell r="C1159" t="str">
            <v>359</v>
          </cell>
        </row>
        <row r="1160">
          <cell r="C1160" t="str">
            <v>359</v>
          </cell>
        </row>
        <row r="1161">
          <cell r="C1161" t="str">
            <v>359</v>
          </cell>
        </row>
        <row r="1162">
          <cell r="C1162" t="str">
            <v>359</v>
          </cell>
        </row>
        <row r="1163">
          <cell r="C1163" t="str">
            <v>359</v>
          </cell>
        </row>
        <row r="1164">
          <cell r="C1164" t="str">
            <v>359</v>
          </cell>
        </row>
        <row r="1165">
          <cell r="C1165" t="str">
            <v>359</v>
          </cell>
        </row>
        <row r="1166">
          <cell r="C1166" t="str">
            <v>359</v>
          </cell>
        </row>
        <row r="1167">
          <cell r="C1167" t="str">
            <v>360</v>
          </cell>
        </row>
        <row r="1168">
          <cell r="C1168" t="str">
            <v>361</v>
          </cell>
        </row>
        <row r="1169">
          <cell r="C1169" t="str">
            <v>362</v>
          </cell>
        </row>
        <row r="1170">
          <cell r="C1170" t="str">
            <v>363</v>
          </cell>
        </row>
        <row r="1171">
          <cell r="C1171" t="str">
            <v>364</v>
          </cell>
        </row>
        <row r="1172">
          <cell r="C1172" t="str">
            <v>365</v>
          </cell>
        </row>
        <row r="1173">
          <cell r="C1173" t="str">
            <v>366</v>
          </cell>
        </row>
        <row r="1174">
          <cell r="C1174" t="str">
            <v>367</v>
          </cell>
        </row>
        <row r="1175">
          <cell r="C1175" t="str">
            <v>368</v>
          </cell>
        </row>
        <row r="1176">
          <cell r="C1176" t="str">
            <v>369</v>
          </cell>
        </row>
        <row r="1177">
          <cell r="C1177" t="str">
            <v>370</v>
          </cell>
        </row>
        <row r="1178">
          <cell r="C1178" t="str">
            <v>370</v>
          </cell>
        </row>
        <row r="1179">
          <cell r="C1179" t="str">
            <v>371</v>
          </cell>
        </row>
        <row r="1180">
          <cell r="C1180" t="str">
            <v>372</v>
          </cell>
        </row>
        <row r="1181">
          <cell r="C1181" t="str">
            <v>373</v>
          </cell>
        </row>
        <row r="1182">
          <cell r="C1182" t="str">
            <v>374</v>
          </cell>
        </row>
        <row r="1183">
          <cell r="C1183" t="str">
            <v>375</v>
          </cell>
        </row>
        <row r="1184">
          <cell r="C1184" t="str">
            <v>376</v>
          </cell>
        </row>
        <row r="1185">
          <cell r="C1185" t="str">
            <v>377</v>
          </cell>
        </row>
        <row r="1186">
          <cell r="C1186" t="str">
            <v>378</v>
          </cell>
        </row>
        <row r="1187">
          <cell r="C1187" t="str">
            <v>379</v>
          </cell>
        </row>
        <row r="1188">
          <cell r="C1188" t="str">
            <v>380</v>
          </cell>
        </row>
        <row r="1189">
          <cell r="C1189" t="str">
            <v>381</v>
          </cell>
        </row>
        <row r="1190">
          <cell r="C1190" t="str">
            <v>382</v>
          </cell>
        </row>
        <row r="1191">
          <cell r="C1191" t="str">
            <v>383</v>
          </cell>
        </row>
        <row r="1192">
          <cell r="C1192" t="str">
            <v>384</v>
          </cell>
        </row>
        <row r="1193">
          <cell r="C1193" t="str">
            <v>385</v>
          </cell>
        </row>
        <row r="1194">
          <cell r="C1194" t="str">
            <v>386</v>
          </cell>
        </row>
        <row r="1195">
          <cell r="C1195" t="str">
            <v>387</v>
          </cell>
        </row>
        <row r="1196">
          <cell r="C1196" t="str">
            <v>388</v>
          </cell>
        </row>
        <row r="1197">
          <cell r="C1197" t="str">
            <v>389</v>
          </cell>
        </row>
        <row r="1198">
          <cell r="C1198" t="str">
            <v>390</v>
          </cell>
        </row>
        <row r="1199">
          <cell r="C1199" t="str">
            <v>391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C3" t="str">
            <v>5.1.02.01.01.0052</v>
          </cell>
          <cell r="D3" t="str">
            <v>05.05.02.</v>
          </cell>
          <cell r="E3">
            <v>45661</v>
          </cell>
          <cell r="F3" t="str">
            <v>06/01/2025</v>
          </cell>
          <cell r="G3" t="str">
            <v>01</v>
          </cell>
          <cell r="H3" t="str">
            <v>06/01/2025</v>
          </cell>
          <cell r="J3" t="str">
            <v>23/01/2025</v>
          </cell>
          <cell r="K3" t="str">
            <v>BPU01</v>
          </cell>
          <cell r="L3" t="str">
            <v>Air Mineral pada pelaksanaan kegiatan bulanan Gerakan Bersih Lingkungan Sekolah</v>
          </cell>
          <cell r="M3" t="str">
            <v>Aqua Cup</v>
          </cell>
          <cell r="N3">
            <v>25</v>
          </cell>
          <cell r="O3" t="str">
            <v>dus</v>
          </cell>
          <cell r="P3">
            <v>50000</v>
          </cell>
          <cell r="Q3">
            <v>1250000</v>
          </cell>
          <cell r="T3" t="str">
            <v>Rumah Roti Helena</v>
          </cell>
          <cell r="V3" t="str">
            <v>Fudi Supiyanto</v>
          </cell>
          <cell r="W3" t="str">
            <v>082164895397</v>
          </cell>
          <cell r="X3" t="str">
            <v>Jln Ahmad Yani No.89 Kel. Pasar Telukdalam, Nias Selatan</v>
          </cell>
        </row>
        <row r="4">
          <cell r="C4" t="str">
            <v>5.1.02.01.01.0012</v>
          </cell>
          <cell r="D4" t="str">
            <v>05. 08. 01.</v>
          </cell>
          <cell r="E4">
            <v>45661</v>
          </cell>
          <cell r="F4" t="str">
            <v>06/01/2025</v>
          </cell>
          <cell r="G4" t="str">
            <v>02</v>
          </cell>
          <cell r="H4" t="str">
            <v>07/01/2025</v>
          </cell>
          <cell r="J4" t="str">
            <v>23/01/2025</v>
          </cell>
          <cell r="K4" t="str">
            <v>BPU02</v>
          </cell>
          <cell r="L4" t="str">
            <v>Perbaikan dan Pengaspalan Jalan Sekolah</v>
          </cell>
          <cell r="M4" t="str">
            <v>Bayar Jasa Perbaikan</v>
          </cell>
          <cell r="N4">
            <v>1</v>
          </cell>
          <cell r="O4" t="str">
            <v>kegiatan</v>
          </cell>
          <cell r="P4">
            <v>37080000</v>
          </cell>
          <cell r="Q4">
            <v>37080000</v>
          </cell>
          <cell r="T4" t="str">
            <v>CV. GORIYAKU WIRATRADE</v>
          </cell>
          <cell r="V4" t="str">
            <v>Wirawan Bazikho</v>
          </cell>
          <cell r="W4" t="str">
            <v>082166714290</v>
          </cell>
          <cell r="X4" t="str">
            <v>Jl. Diponegoro No. 87, Kel Pasar Telukdalam - Nias Selatan</v>
          </cell>
        </row>
        <row r="5">
          <cell r="C5" t="str">
            <v>5.1.02.01.01.0031</v>
          </cell>
          <cell r="D5" t="str">
            <v>05. 08. 10.</v>
          </cell>
          <cell r="E5">
            <v>45661</v>
          </cell>
          <cell r="F5" t="str">
            <v>06/01/2025</v>
          </cell>
          <cell r="G5" t="str">
            <v>03</v>
          </cell>
          <cell r="H5" t="str">
            <v>06/01/2025</v>
          </cell>
          <cell r="J5" t="str">
            <v>23/01/2025</v>
          </cell>
          <cell r="K5" t="str">
            <v>BPU03</v>
          </cell>
          <cell r="L5" t="str">
            <v>bola lampu hannock-45 watt</v>
          </cell>
          <cell r="M5" t="str">
            <v>Bola Lampu</v>
          </cell>
          <cell r="N5">
            <v>23</v>
          </cell>
          <cell r="O5" t="str">
            <v>buah</v>
          </cell>
          <cell r="P5">
            <v>77800</v>
          </cell>
          <cell r="Q5">
            <v>1789400</v>
          </cell>
          <cell r="T5" t="str">
            <v>CV. GORIYAKU WIRATRADE</v>
          </cell>
          <cell r="V5" t="str">
            <v>Wirawan Bazikho</v>
          </cell>
          <cell r="W5" t="str">
            <v>082166714290</v>
          </cell>
          <cell r="X5" t="str">
            <v>Jl. Diponegoro No. 87, Kel Pasar Telukdalam - Nias Selatan</v>
          </cell>
        </row>
        <row r="6">
          <cell r="C6" t="str">
            <v>5.1.02.01.01.0024</v>
          </cell>
          <cell r="D6" t="str">
            <v>06. 05. 08.</v>
          </cell>
          <cell r="E6">
            <v>45661</v>
          </cell>
          <cell r="F6" t="str">
            <v>06/01/2025</v>
          </cell>
          <cell r="G6" t="str">
            <v>04</v>
          </cell>
          <cell r="H6" t="str">
            <v>06/01/2025</v>
          </cell>
          <cell r="J6" t="str">
            <v>23/01/2025</v>
          </cell>
          <cell r="K6" t="str">
            <v>BPU04</v>
          </cell>
          <cell r="L6" t="str">
            <v>Plastik Mika</v>
          </cell>
          <cell r="M6" t="str">
            <v>Plastik Mika</v>
          </cell>
          <cell r="N6">
            <v>5</v>
          </cell>
          <cell r="O6" t="str">
            <v>bungkus</v>
          </cell>
          <cell r="P6">
            <v>60000</v>
          </cell>
          <cell r="Q6">
            <v>300000</v>
          </cell>
          <cell r="T6" t="str">
            <v>UD. JOSUA</v>
          </cell>
          <cell r="V6" t="str">
            <v>Gestiwan Bazikho</v>
          </cell>
          <cell r="W6" t="str">
            <v>081375309828</v>
          </cell>
          <cell r="X6" t="str">
            <v>Jl. Diponegoro Kel. Pasar Telukdalam - Nias Selatan</v>
          </cell>
        </row>
        <row r="7">
          <cell r="C7" t="str">
            <v>5.1.02.01.01.0024</v>
          </cell>
          <cell r="D7" t="str">
            <v>06. 05. 08.</v>
          </cell>
          <cell r="E7">
            <v>45661</v>
          </cell>
          <cell r="F7" t="str">
            <v>06/01/2025</v>
          </cell>
          <cell r="G7" t="str">
            <v>04</v>
          </cell>
          <cell r="H7" t="str">
            <v>06/01/2025</v>
          </cell>
          <cell r="J7" t="str">
            <v>23/01/2025</v>
          </cell>
          <cell r="K7" t="str">
            <v>BPU04</v>
          </cell>
          <cell r="L7" t="str">
            <v>Kertas Warna Blank Folio, Ukuran : 8,5 x 14",  70 gram</v>
          </cell>
          <cell r="M7" t="str">
            <v>Kertas Warna Blank Folio, Ukuran : 8,5 x 14",  70 gram</v>
          </cell>
          <cell r="N7">
            <v>2</v>
          </cell>
          <cell r="O7" t="str">
            <v>rim</v>
          </cell>
          <cell r="P7">
            <v>90000</v>
          </cell>
          <cell r="Q7">
            <v>180000</v>
          </cell>
          <cell r="T7" t="str">
            <v>UD. JOSUA</v>
          </cell>
          <cell r="V7" t="str">
            <v>Gestiwan Bazikho</v>
          </cell>
          <cell r="W7" t="str">
            <v>081375309828</v>
          </cell>
          <cell r="X7" t="str">
            <v>Jl. Diponegoro Kel. Pasar Telukdalam - Nias Selatan</v>
          </cell>
        </row>
        <row r="8">
          <cell r="C8" t="str">
            <v>5.1.02.01.01.0024</v>
          </cell>
          <cell r="D8" t="str">
            <v>06. 05. 08.</v>
          </cell>
          <cell r="E8">
            <v>45661</v>
          </cell>
          <cell r="F8" t="str">
            <v>06/01/2025</v>
          </cell>
          <cell r="G8" t="str">
            <v>04</v>
          </cell>
          <cell r="H8" t="str">
            <v>06/01/2025</v>
          </cell>
          <cell r="J8" t="str">
            <v>23/01/2025</v>
          </cell>
          <cell r="K8" t="str">
            <v>BPU04</v>
          </cell>
          <cell r="L8" t="str">
            <v>Kertas Lain-Lain Kertas Buffalo</v>
          </cell>
          <cell r="M8" t="str">
            <v>Kertas Lain-Lain Kertas Buffalo</v>
          </cell>
          <cell r="N8">
            <v>5</v>
          </cell>
          <cell r="O8" t="str">
            <v>bungkus</v>
          </cell>
          <cell r="P8">
            <v>31000</v>
          </cell>
          <cell r="Q8">
            <v>155000</v>
          </cell>
          <cell r="T8" t="str">
            <v>UD. JOSUA</v>
          </cell>
          <cell r="V8" t="str">
            <v>Gestiwan Bazikho</v>
          </cell>
          <cell r="W8" t="str">
            <v>081375309828</v>
          </cell>
          <cell r="X8" t="str">
            <v>Jl. Diponegoro Kel. Pasar Telukdalam - Nias Selatan</v>
          </cell>
        </row>
        <row r="9">
          <cell r="C9" t="str">
            <v>5.1.02.01.01.0024</v>
          </cell>
          <cell r="D9" t="str">
            <v>06. 05. 08.</v>
          </cell>
          <cell r="E9">
            <v>45661</v>
          </cell>
          <cell r="F9" t="str">
            <v>06/01/2025</v>
          </cell>
          <cell r="G9" t="str">
            <v>04</v>
          </cell>
          <cell r="H9" t="str">
            <v>06/01/2025</v>
          </cell>
          <cell r="J9" t="str">
            <v>23/01/2025</v>
          </cell>
          <cell r="K9" t="str">
            <v>BPU04</v>
          </cell>
          <cell r="L9" t="str">
            <v>Kertas Post-It Warna Warni  Sign Here</v>
          </cell>
          <cell r="M9" t="str">
            <v>Kertas Post-It Warna Warni  Sign Here</v>
          </cell>
          <cell r="N9">
            <v>5</v>
          </cell>
          <cell r="O9" t="str">
            <v>buah</v>
          </cell>
          <cell r="P9">
            <v>22800</v>
          </cell>
          <cell r="Q9">
            <v>114000</v>
          </cell>
          <cell r="T9" t="str">
            <v>UD. JOSUA</v>
          </cell>
          <cell r="V9" t="str">
            <v>Gestiwan Bazikho</v>
          </cell>
          <cell r="W9" t="str">
            <v>081375309828</v>
          </cell>
          <cell r="X9" t="str">
            <v>Jl. Diponegoro Kel. Pasar Telukdalam - Nias Selatan</v>
          </cell>
        </row>
        <row r="10">
          <cell r="C10" t="str">
            <v>5.1.02.01.01.0024</v>
          </cell>
          <cell r="D10" t="str">
            <v>06. 05. 08.</v>
          </cell>
          <cell r="E10">
            <v>45661</v>
          </cell>
          <cell r="F10" t="str">
            <v>06/01/2025</v>
          </cell>
          <cell r="G10" t="str">
            <v>04</v>
          </cell>
          <cell r="H10" t="str">
            <v>06/01/2025</v>
          </cell>
          <cell r="J10" t="str">
            <v>23/01/2025</v>
          </cell>
          <cell r="K10" t="str">
            <v>BPU04</v>
          </cell>
          <cell r="L10" t="str">
            <v>Kertas HVS 60 gram Merk : Paper One HVS F4 uk. 8.27"x11.69"</v>
          </cell>
          <cell r="M10" t="str">
            <v>Kertas HVS 60 gram Merk : Paper One HVS F4 uk. 8.27"x11.69"</v>
          </cell>
          <cell r="N10">
            <v>10</v>
          </cell>
          <cell r="O10" t="str">
            <v>rim</v>
          </cell>
          <cell r="P10">
            <v>48500</v>
          </cell>
          <cell r="Q10">
            <v>485000</v>
          </cell>
          <cell r="T10" t="str">
            <v>UD. JOSUA</v>
          </cell>
          <cell r="V10" t="str">
            <v>Gestiwan Bazikho</v>
          </cell>
          <cell r="W10" t="str">
            <v>081375309828</v>
          </cell>
          <cell r="X10" t="str">
            <v>Jl. Diponegoro Kel. Pasar Telukdalam - Nias Selatan</v>
          </cell>
        </row>
        <row r="11">
          <cell r="C11" t="str">
            <v>5.1.02.01.01.0024</v>
          </cell>
          <cell r="D11" t="str">
            <v>06. 05. 08.</v>
          </cell>
          <cell r="E11">
            <v>45661</v>
          </cell>
          <cell r="F11" t="str">
            <v>06/01/2025</v>
          </cell>
          <cell r="G11" t="str">
            <v>04</v>
          </cell>
          <cell r="H11" t="str">
            <v>06/01/2025</v>
          </cell>
          <cell r="J11" t="str">
            <v>23/01/2025</v>
          </cell>
          <cell r="K11" t="str">
            <v>BPU04</v>
          </cell>
          <cell r="L11" t="str">
            <v>Kertas HVS 80 gram Merk : Paper One A4, Ukuran : 8,27" x 11,69", Isi : 500 lembar</v>
          </cell>
          <cell r="M11" t="str">
            <v>Kertas HVS 80 gram Merk : Paper One A4, Ukuran : 8,27" x 11,69", Isi : 500 lembar</v>
          </cell>
          <cell r="N11">
            <v>40</v>
          </cell>
          <cell r="O11" t="str">
            <v>rim</v>
          </cell>
          <cell r="P11">
            <v>50000</v>
          </cell>
          <cell r="Q11">
            <v>2000000</v>
          </cell>
          <cell r="T11" t="str">
            <v>UD. JOSUA</v>
          </cell>
          <cell r="V11" t="str">
            <v>Gestiwan Bazikho</v>
          </cell>
          <cell r="W11" t="str">
            <v>081375309828</v>
          </cell>
          <cell r="X11" t="str">
            <v>Jl. Diponegoro Kel. Pasar Telukdalam - Nias Selatan</v>
          </cell>
        </row>
        <row r="12">
          <cell r="C12" t="str">
            <v>5.1.02.01.01.0024</v>
          </cell>
          <cell r="D12" t="str">
            <v>06. 05. 08.</v>
          </cell>
          <cell r="E12">
            <v>45661</v>
          </cell>
          <cell r="F12" t="str">
            <v>06/01/2025</v>
          </cell>
          <cell r="G12" t="str">
            <v>04</v>
          </cell>
          <cell r="H12" t="str">
            <v>06/01/2025</v>
          </cell>
          <cell r="J12" t="str">
            <v>23/01/2025</v>
          </cell>
          <cell r="K12" t="str">
            <v>BPU04</v>
          </cell>
          <cell r="L12" t="str">
            <v>Kertas StensiI</v>
          </cell>
          <cell r="M12" t="str">
            <v>Kertas StensiI</v>
          </cell>
          <cell r="N12">
            <v>10</v>
          </cell>
          <cell r="O12" t="str">
            <v>bungkus</v>
          </cell>
          <cell r="P12">
            <v>50000</v>
          </cell>
          <cell r="Q12">
            <v>500000</v>
          </cell>
          <cell r="T12" t="str">
            <v>UD. JOSUA</v>
          </cell>
          <cell r="V12" t="str">
            <v>Gestiwan Bazikho</v>
          </cell>
          <cell r="W12" t="str">
            <v>081375309828</v>
          </cell>
          <cell r="X12" t="str">
            <v>Jl. Diponegoro Kel. Pasar Telukdalam - Nias Selatan</v>
          </cell>
        </row>
        <row r="13">
          <cell r="C13" t="str">
            <v>5.1.02.01.01.0024</v>
          </cell>
          <cell r="D13" t="str">
            <v>06. 05. 08.</v>
          </cell>
          <cell r="E13">
            <v>45661</v>
          </cell>
          <cell r="F13" t="str">
            <v>06/01/2025</v>
          </cell>
          <cell r="G13" t="str">
            <v>04</v>
          </cell>
          <cell r="H13" t="str">
            <v>06/01/2025</v>
          </cell>
          <cell r="J13" t="str">
            <v>23/01/2025</v>
          </cell>
          <cell r="K13" t="str">
            <v>BPU04</v>
          </cell>
          <cell r="L13" t="str">
            <v>Kertas Label</v>
          </cell>
          <cell r="M13" t="str">
            <v>Kertas Label</v>
          </cell>
          <cell r="N13">
            <v>5</v>
          </cell>
          <cell r="O13" t="str">
            <v>lembar</v>
          </cell>
          <cell r="P13">
            <v>25000</v>
          </cell>
          <cell r="Q13">
            <v>125000</v>
          </cell>
          <cell r="T13" t="str">
            <v>UD. JOSUA</v>
          </cell>
          <cell r="V13" t="str">
            <v>Gestiwan Bazikho</v>
          </cell>
          <cell r="W13" t="str">
            <v>081375309828</v>
          </cell>
          <cell r="X13" t="str">
            <v>Jl. Diponegoro Kel. Pasar Telukdalam - Nias Selatan</v>
          </cell>
        </row>
        <row r="14">
          <cell r="C14" t="str">
            <v>5.1.02.01.01.0024</v>
          </cell>
          <cell r="D14" t="str">
            <v>06. 05. 08.</v>
          </cell>
          <cell r="E14">
            <v>45661</v>
          </cell>
          <cell r="F14" t="str">
            <v>06/01/2025</v>
          </cell>
          <cell r="G14" t="str">
            <v>04</v>
          </cell>
          <cell r="H14" t="str">
            <v>06/01/2025</v>
          </cell>
          <cell r="J14" t="str">
            <v>23/01/2025</v>
          </cell>
          <cell r="K14" t="str">
            <v>BPU04</v>
          </cell>
          <cell r="L14" t="str">
            <v>Amplop Coklat Merk : GSU Ukuran : 1/2 folio, bergaris</v>
          </cell>
          <cell r="M14" t="str">
            <v>Amplop Coklat Merk : GSU Ukuran : 1/2 folio, bergaris</v>
          </cell>
          <cell r="N14">
            <v>1</v>
          </cell>
          <cell r="O14" t="str">
            <v>bungkus</v>
          </cell>
          <cell r="P14">
            <v>45000</v>
          </cell>
          <cell r="Q14">
            <v>45000</v>
          </cell>
          <cell r="T14" t="str">
            <v>UD. JOSUA</v>
          </cell>
          <cell r="V14" t="str">
            <v>Gestiwan Bazikho</v>
          </cell>
          <cell r="W14" t="str">
            <v>081375309828</v>
          </cell>
          <cell r="X14" t="str">
            <v>Jl. Diponegoro Kel. Pasar Telukdalam - Nias Selatan</v>
          </cell>
        </row>
        <row r="15">
          <cell r="C15" t="str">
            <v>5.1.02.01.01.0024</v>
          </cell>
          <cell r="D15" t="str">
            <v>06. 05. 08.</v>
          </cell>
          <cell r="E15">
            <v>45661</v>
          </cell>
          <cell r="F15" t="str">
            <v>06/01/2025</v>
          </cell>
          <cell r="G15" t="str">
            <v>04</v>
          </cell>
          <cell r="H15" t="str">
            <v>06/01/2025</v>
          </cell>
          <cell r="J15" t="str">
            <v>23/01/2025</v>
          </cell>
          <cell r="K15" t="str">
            <v>BPU04</v>
          </cell>
          <cell r="L15" t="str">
            <v>Amplop Coklat Merk : Garda Ukuran Cabinet</v>
          </cell>
          <cell r="M15" t="str">
            <v>Amplop Coklat Merk : Garda Ukuran Cabinet</v>
          </cell>
          <cell r="N15">
            <v>3</v>
          </cell>
          <cell r="O15" t="str">
            <v>bungkus</v>
          </cell>
          <cell r="P15">
            <v>23000</v>
          </cell>
          <cell r="Q15">
            <v>69000</v>
          </cell>
          <cell r="T15" t="str">
            <v>UD. JOSUA</v>
          </cell>
          <cell r="V15" t="str">
            <v>Gestiwan Bazikho</v>
          </cell>
          <cell r="W15" t="str">
            <v>081375309828</v>
          </cell>
          <cell r="X15" t="str">
            <v>Jl. Diponegoro Kel. Pasar Telukdalam - Nias Selatan</v>
          </cell>
        </row>
        <row r="16">
          <cell r="C16" t="str">
            <v>5.1.02.01.01.0024</v>
          </cell>
          <cell r="D16" t="str">
            <v>06. 05. 08.</v>
          </cell>
          <cell r="E16">
            <v>45661</v>
          </cell>
          <cell r="F16" t="str">
            <v>06/01/2025</v>
          </cell>
          <cell r="G16" t="str">
            <v>04</v>
          </cell>
          <cell r="H16" t="str">
            <v>06/01/2025</v>
          </cell>
          <cell r="J16" t="str">
            <v>23/01/2025</v>
          </cell>
          <cell r="K16" t="str">
            <v>BPU04</v>
          </cell>
          <cell r="L16" t="str">
            <v>Amplop Coklat Merk : GSU Ukuran Folio polos</v>
          </cell>
          <cell r="M16" t="str">
            <v>Amplop Coklat Merk : GSU Ukuran Folio polos</v>
          </cell>
          <cell r="N16">
            <v>2</v>
          </cell>
          <cell r="O16" t="str">
            <v>bungkus</v>
          </cell>
          <cell r="P16">
            <v>60000</v>
          </cell>
          <cell r="Q16">
            <v>120000</v>
          </cell>
          <cell r="T16" t="str">
            <v>UD. JOSUA</v>
          </cell>
          <cell r="V16" t="str">
            <v>Gestiwan Bazikho</v>
          </cell>
          <cell r="W16" t="str">
            <v>081375309828</v>
          </cell>
          <cell r="X16" t="str">
            <v>Jl. Diponegoro Kel. Pasar Telukdalam - Nias Selatan</v>
          </cell>
        </row>
        <row r="17">
          <cell r="C17" t="str">
            <v>5.1.02.01.01.0024</v>
          </cell>
          <cell r="D17" t="str">
            <v>06. 05. 08.</v>
          </cell>
          <cell r="E17">
            <v>45661</v>
          </cell>
          <cell r="F17" t="str">
            <v>06/01/2025</v>
          </cell>
          <cell r="G17" t="str">
            <v>04</v>
          </cell>
          <cell r="H17" t="str">
            <v>06/01/2025</v>
          </cell>
          <cell r="J17" t="str">
            <v>23/01/2025</v>
          </cell>
          <cell r="K17" t="str">
            <v>BPU04</v>
          </cell>
          <cell r="L17" t="str">
            <v>Amplop Panjang Putih Polos Merk : Jaya Ukuran : 11 x 23 cm</v>
          </cell>
          <cell r="M17" t="str">
            <v>Amplop Panjang Putih Polos Merk : Jaya Ukuran : 11 x 23 cm</v>
          </cell>
          <cell r="N17">
            <v>1</v>
          </cell>
          <cell r="O17" t="str">
            <v>kotak</v>
          </cell>
          <cell r="P17">
            <v>48000</v>
          </cell>
          <cell r="Q17">
            <v>48000</v>
          </cell>
          <cell r="T17" t="str">
            <v>UD. JOSUA</v>
          </cell>
          <cell r="V17" t="str">
            <v>Gestiwan Bazikho</v>
          </cell>
          <cell r="W17" t="str">
            <v>081375309828</v>
          </cell>
          <cell r="X17" t="str">
            <v>Jl. Diponegoro Kel. Pasar Telukdalam - Nias Selatan</v>
          </cell>
        </row>
        <row r="18">
          <cell r="C18" t="str">
            <v>5.1.02.01.01.0024</v>
          </cell>
          <cell r="D18" t="str">
            <v>06. 05. 08.</v>
          </cell>
          <cell r="E18">
            <v>45661</v>
          </cell>
          <cell r="F18" t="str">
            <v>06/01/2025</v>
          </cell>
          <cell r="G18" t="str">
            <v>04</v>
          </cell>
          <cell r="H18" t="str">
            <v>06/01/2025</v>
          </cell>
          <cell r="J18" t="str">
            <v>23/01/2025</v>
          </cell>
          <cell r="K18" t="str">
            <v>BPU04</v>
          </cell>
          <cell r="L18" t="str">
            <v>Ballpoint Boldiner Standar</v>
          </cell>
          <cell r="M18" t="str">
            <v>Ballpoint Boldiner Standar</v>
          </cell>
          <cell r="N18">
            <v>2</v>
          </cell>
          <cell r="O18" t="str">
            <v>lusin</v>
          </cell>
          <cell r="P18">
            <v>225000</v>
          </cell>
          <cell r="Q18">
            <v>450000</v>
          </cell>
          <cell r="T18" t="str">
            <v>UD. JOSUA</v>
          </cell>
          <cell r="V18" t="str">
            <v>Gestiwan Bazikho</v>
          </cell>
          <cell r="W18" t="str">
            <v>081375309828</v>
          </cell>
          <cell r="X18" t="str">
            <v>Jl. Diponegoro Kel. Pasar Telukdalam - Nias Selatan</v>
          </cell>
        </row>
        <row r="19">
          <cell r="C19" t="str">
            <v>5.1.02.01.01.0024</v>
          </cell>
          <cell r="D19" t="str">
            <v>06. 05. 08.</v>
          </cell>
          <cell r="E19">
            <v>45661</v>
          </cell>
          <cell r="F19" t="str">
            <v>06/01/2025</v>
          </cell>
          <cell r="G19" t="str">
            <v>04</v>
          </cell>
          <cell r="H19" t="str">
            <v>06/01/2025</v>
          </cell>
          <cell r="J19" t="str">
            <v>23/01/2025</v>
          </cell>
          <cell r="K19" t="str">
            <v>BPU04</v>
          </cell>
          <cell r="L19" t="str">
            <v>Ballpoint Drawing Pen 0,1 Snowman</v>
          </cell>
          <cell r="M19" t="str">
            <v>Ballpoint Drawing Pen 0,1 Snowman</v>
          </cell>
          <cell r="N19">
            <v>1</v>
          </cell>
          <cell r="O19" t="str">
            <v>lusin</v>
          </cell>
          <cell r="P19">
            <v>95000</v>
          </cell>
          <cell r="Q19">
            <v>95000</v>
          </cell>
          <cell r="T19" t="str">
            <v>UD. JOSUA</v>
          </cell>
          <cell r="V19" t="str">
            <v>Gestiwan Bazikho</v>
          </cell>
          <cell r="W19" t="str">
            <v>081375309828</v>
          </cell>
          <cell r="X19" t="str">
            <v>Jl. Diponegoro Kel. Pasar Telukdalam - Nias Selatan</v>
          </cell>
        </row>
        <row r="20">
          <cell r="C20" t="str">
            <v>5.1.02.01.01.0024</v>
          </cell>
          <cell r="D20" t="str">
            <v>06. 05. 08.</v>
          </cell>
          <cell r="E20">
            <v>45661</v>
          </cell>
          <cell r="F20" t="str">
            <v>06/01/2025</v>
          </cell>
          <cell r="G20" t="str">
            <v>04</v>
          </cell>
          <cell r="H20" t="str">
            <v>06/01/2025</v>
          </cell>
          <cell r="J20" t="str">
            <v>23/01/2025</v>
          </cell>
          <cell r="K20" t="str">
            <v>BPU04</v>
          </cell>
          <cell r="L20" t="str">
            <v>Ballpoint Standard AE7</v>
          </cell>
          <cell r="M20" t="str">
            <v>Ballpoint Standard AE7</v>
          </cell>
          <cell r="N20">
            <v>2</v>
          </cell>
          <cell r="O20" t="str">
            <v>lusin</v>
          </cell>
          <cell r="P20">
            <v>20000</v>
          </cell>
          <cell r="Q20">
            <v>40000</v>
          </cell>
          <cell r="T20" t="str">
            <v>UD. JOSUA</v>
          </cell>
          <cell r="V20" t="str">
            <v>Gestiwan Bazikho</v>
          </cell>
          <cell r="W20" t="str">
            <v>081375309828</v>
          </cell>
          <cell r="X20" t="str">
            <v>Jl. Diponegoro Kel. Pasar Telukdalam - Nias Selatan</v>
          </cell>
        </row>
        <row r="21">
          <cell r="C21" t="str">
            <v>5.1.02.01.01.0024</v>
          </cell>
          <cell r="D21" t="str">
            <v>06. 05. 08.</v>
          </cell>
          <cell r="E21">
            <v>45661</v>
          </cell>
          <cell r="F21" t="str">
            <v>06/01/2025</v>
          </cell>
          <cell r="G21" t="str">
            <v>04</v>
          </cell>
          <cell r="H21" t="str">
            <v>06/01/2025</v>
          </cell>
          <cell r="J21" t="str">
            <v>23/01/2025</v>
          </cell>
          <cell r="K21" t="str">
            <v>BPU04</v>
          </cell>
          <cell r="L21" t="str">
            <v>Ballpoint Pilot G2</v>
          </cell>
          <cell r="M21" t="str">
            <v>Ballpoint Pilot G2</v>
          </cell>
          <cell r="N21">
            <v>1</v>
          </cell>
          <cell r="O21" t="str">
            <v>lusin</v>
          </cell>
          <cell r="P21">
            <v>235000</v>
          </cell>
          <cell r="Q21">
            <v>235000</v>
          </cell>
          <cell r="T21" t="str">
            <v>UD. JOSUA</v>
          </cell>
          <cell r="V21" t="str">
            <v>Gestiwan Bazikho</v>
          </cell>
          <cell r="W21" t="str">
            <v>081375309828</v>
          </cell>
          <cell r="X21" t="str">
            <v>Jl. Diponegoro Kel. Pasar Telukdalam - Nias Selatan</v>
          </cell>
        </row>
        <row r="22">
          <cell r="C22" t="str">
            <v>5.1.02.01.01.0024</v>
          </cell>
          <cell r="D22" t="str">
            <v>06. 05. 08.</v>
          </cell>
          <cell r="E22">
            <v>45661</v>
          </cell>
          <cell r="F22" t="str">
            <v>06/01/2025</v>
          </cell>
          <cell r="G22" t="str">
            <v>04</v>
          </cell>
          <cell r="H22" t="str">
            <v>06/01/2025</v>
          </cell>
          <cell r="J22" t="str">
            <v>23/01/2025</v>
          </cell>
          <cell r="K22" t="str">
            <v>BPU04</v>
          </cell>
          <cell r="L22" t="str">
            <v>Binder Klip  nomor 107</v>
          </cell>
          <cell r="M22" t="str">
            <v>Binder Klip  nomor 107</v>
          </cell>
          <cell r="N22">
            <v>5</v>
          </cell>
          <cell r="O22" t="str">
            <v>kotak</v>
          </cell>
          <cell r="P22">
            <v>7800</v>
          </cell>
          <cell r="Q22">
            <v>39000</v>
          </cell>
          <cell r="T22" t="str">
            <v>UD. JOSUA</v>
          </cell>
          <cell r="V22" t="str">
            <v>Gestiwan Bazikho</v>
          </cell>
          <cell r="W22" t="str">
            <v>081375309828</v>
          </cell>
          <cell r="X22" t="str">
            <v>Jl. Diponegoro Kel. Pasar Telukdalam - Nias Selatan</v>
          </cell>
        </row>
        <row r="23">
          <cell r="C23" t="str">
            <v>5.1.02.01.01.0024</v>
          </cell>
          <cell r="D23" t="str">
            <v>06. 05. 08.</v>
          </cell>
          <cell r="E23">
            <v>45661</v>
          </cell>
          <cell r="F23" t="str">
            <v>06/01/2025</v>
          </cell>
          <cell r="G23" t="str">
            <v>04</v>
          </cell>
          <cell r="H23" t="str">
            <v>06/01/2025</v>
          </cell>
          <cell r="J23" t="str">
            <v>23/01/2025</v>
          </cell>
          <cell r="K23" t="str">
            <v>BPU04</v>
          </cell>
          <cell r="L23" t="str">
            <v>Binder Klip  nomor 111</v>
          </cell>
          <cell r="M23" t="str">
            <v>Binder Klip  nomor 111</v>
          </cell>
          <cell r="N23">
            <v>5</v>
          </cell>
          <cell r="O23" t="str">
            <v>kotak</v>
          </cell>
          <cell r="P23">
            <v>11000</v>
          </cell>
          <cell r="Q23">
            <v>55000</v>
          </cell>
          <cell r="T23" t="str">
            <v>UD. JOSUA</v>
          </cell>
          <cell r="V23" t="str">
            <v>Gestiwan Bazikho</v>
          </cell>
          <cell r="W23" t="str">
            <v>081375309828</v>
          </cell>
          <cell r="X23" t="str">
            <v>Jl. Diponegoro Kel. Pasar Telukdalam - Nias Selatan</v>
          </cell>
        </row>
        <row r="24">
          <cell r="C24" t="str">
            <v>5.1.02.01.01.0024</v>
          </cell>
          <cell r="D24" t="str">
            <v>06. 05. 08.</v>
          </cell>
          <cell r="E24">
            <v>45661</v>
          </cell>
          <cell r="F24" t="str">
            <v>06/01/2025</v>
          </cell>
          <cell r="G24" t="str">
            <v>04</v>
          </cell>
          <cell r="H24" t="str">
            <v>06/01/2025</v>
          </cell>
          <cell r="J24" t="str">
            <v>23/01/2025</v>
          </cell>
          <cell r="K24" t="str">
            <v>BPU04</v>
          </cell>
          <cell r="L24" t="str">
            <v>Binder Klip  nomor 200</v>
          </cell>
          <cell r="M24" t="str">
            <v>Binder Klip  nomor 200</v>
          </cell>
          <cell r="N24">
            <v>10</v>
          </cell>
          <cell r="O24" t="str">
            <v>kotak</v>
          </cell>
          <cell r="P24">
            <v>16500</v>
          </cell>
          <cell r="Q24">
            <v>165000</v>
          </cell>
          <cell r="T24" t="str">
            <v>UD. JOSUA</v>
          </cell>
          <cell r="V24" t="str">
            <v>Gestiwan Bazikho</v>
          </cell>
          <cell r="W24" t="str">
            <v>081375309828</v>
          </cell>
          <cell r="X24" t="str">
            <v>Jl. Diponegoro Kel. Pasar Telukdalam - Nias Selatan</v>
          </cell>
        </row>
        <row r="25">
          <cell r="C25" t="str">
            <v>5.1.02.01.01.0024</v>
          </cell>
          <cell r="D25" t="str">
            <v>06. 05. 08.</v>
          </cell>
          <cell r="E25">
            <v>45661</v>
          </cell>
          <cell r="F25" t="str">
            <v>06/01/2025</v>
          </cell>
          <cell r="G25" t="str">
            <v>04</v>
          </cell>
          <cell r="H25" t="str">
            <v>06/01/2025</v>
          </cell>
          <cell r="J25" t="str">
            <v>23/01/2025</v>
          </cell>
          <cell r="K25" t="str">
            <v>BPU04</v>
          </cell>
          <cell r="L25" t="str">
            <v>Binder Klip  nomor 260</v>
          </cell>
          <cell r="M25" t="str">
            <v>Binder Klip  nomor 260</v>
          </cell>
          <cell r="N25">
            <v>10</v>
          </cell>
          <cell r="O25" t="str">
            <v>kotak</v>
          </cell>
          <cell r="P25">
            <v>20000</v>
          </cell>
          <cell r="Q25">
            <v>200000</v>
          </cell>
          <cell r="T25" t="str">
            <v>UD. JOSUA</v>
          </cell>
          <cell r="V25" t="str">
            <v>Gestiwan Bazikho</v>
          </cell>
          <cell r="W25" t="str">
            <v>081375309828</v>
          </cell>
          <cell r="X25" t="str">
            <v>Jl. Diponegoro Kel. Pasar Telukdalam - Nias Selatan</v>
          </cell>
        </row>
        <row r="26">
          <cell r="C26" t="str">
            <v>5.1.02.01.01.0024</v>
          </cell>
          <cell r="D26" t="str">
            <v>06. 05. 08.</v>
          </cell>
          <cell r="E26">
            <v>45661</v>
          </cell>
          <cell r="F26" t="str">
            <v>06/01/2025</v>
          </cell>
          <cell r="G26" t="str">
            <v>04</v>
          </cell>
          <cell r="H26" t="str">
            <v>06/01/2025</v>
          </cell>
          <cell r="J26" t="str">
            <v>23/01/2025</v>
          </cell>
          <cell r="K26" t="str">
            <v>BPU04</v>
          </cell>
          <cell r="L26" t="str">
            <v>Binder Klip Merk : KENKO nomor 105</v>
          </cell>
          <cell r="M26" t="str">
            <v>Binder Klip Merk : KENKO nomor 105</v>
          </cell>
          <cell r="N26">
            <v>2</v>
          </cell>
          <cell r="O26" t="str">
            <v>kotak</v>
          </cell>
          <cell r="P26">
            <v>5000</v>
          </cell>
          <cell r="Q26">
            <v>10000</v>
          </cell>
          <cell r="T26" t="str">
            <v>UD. JOSUA</v>
          </cell>
          <cell r="V26" t="str">
            <v>Gestiwan Bazikho</v>
          </cell>
          <cell r="W26" t="str">
            <v>081375309828</v>
          </cell>
          <cell r="X26" t="str">
            <v>Jl. Diponegoro Kel. Pasar Telukdalam - Nias Selatan</v>
          </cell>
        </row>
        <row r="27">
          <cell r="C27" t="str">
            <v>5.1.02.01.01.0024</v>
          </cell>
          <cell r="D27" t="str">
            <v>06. 05. 08.</v>
          </cell>
          <cell r="E27">
            <v>45661</v>
          </cell>
          <cell r="F27" t="str">
            <v>06/01/2025</v>
          </cell>
          <cell r="G27" t="str">
            <v>04</v>
          </cell>
          <cell r="H27" t="str">
            <v>06/01/2025</v>
          </cell>
          <cell r="J27" t="str">
            <v>23/01/2025</v>
          </cell>
          <cell r="K27" t="str">
            <v>BPU04</v>
          </cell>
          <cell r="L27" t="str">
            <v>Map Binder</v>
          </cell>
          <cell r="M27" t="str">
            <v>Map Binder</v>
          </cell>
          <cell r="N27">
            <v>12</v>
          </cell>
          <cell r="O27" t="str">
            <v>buah</v>
          </cell>
          <cell r="P27">
            <v>35500</v>
          </cell>
          <cell r="Q27">
            <v>426000</v>
          </cell>
          <cell r="T27" t="str">
            <v>UD. JOSUA</v>
          </cell>
          <cell r="V27" t="str">
            <v>Gestiwan Bazikho</v>
          </cell>
          <cell r="W27" t="str">
            <v>081375309828</v>
          </cell>
          <cell r="X27" t="str">
            <v>Jl. Diponegoro Kel. Pasar Telukdalam - Nias Selatan</v>
          </cell>
        </row>
        <row r="28">
          <cell r="C28" t="str">
            <v>5.1.02.01.01.0024</v>
          </cell>
          <cell r="D28" t="str">
            <v>06. 05. 08.</v>
          </cell>
          <cell r="E28">
            <v>45661</v>
          </cell>
          <cell r="F28" t="str">
            <v>06/01/2025</v>
          </cell>
          <cell r="G28" t="str">
            <v>04</v>
          </cell>
          <cell r="H28" t="str">
            <v>06/01/2025</v>
          </cell>
          <cell r="J28" t="str">
            <v>23/01/2025</v>
          </cell>
          <cell r="K28" t="str">
            <v>BPU04</v>
          </cell>
          <cell r="L28" t="str">
            <v>Stofmap Kertas</v>
          </cell>
          <cell r="M28" t="str">
            <v>Stofmap Kertas</v>
          </cell>
          <cell r="N28">
            <v>1</v>
          </cell>
          <cell r="O28" t="str">
            <v>pak</v>
          </cell>
          <cell r="P28">
            <v>88000</v>
          </cell>
          <cell r="Q28">
            <v>88000</v>
          </cell>
          <cell r="T28" t="str">
            <v>UD. JOSUA</v>
          </cell>
          <cell r="V28" t="str">
            <v>Gestiwan Bazikho</v>
          </cell>
          <cell r="W28" t="str">
            <v>081375309828</v>
          </cell>
          <cell r="X28" t="str">
            <v>Jl. Diponegoro Kel. Pasar Telukdalam - Nias Selatan</v>
          </cell>
        </row>
        <row r="29">
          <cell r="C29" t="str">
            <v>5.1.02.01.01.0024</v>
          </cell>
          <cell r="D29" t="str">
            <v>06. 05. 08.</v>
          </cell>
          <cell r="E29">
            <v>45661</v>
          </cell>
          <cell r="F29" t="str">
            <v>06/01/2025</v>
          </cell>
          <cell r="G29" t="str">
            <v>04</v>
          </cell>
          <cell r="H29" t="str">
            <v>06/01/2025</v>
          </cell>
          <cell r="J29" t="str">
            <v>23/01/2025</v>
          </cell>
          <cell r="K29" t="str">
            <v>BPU04</v>
          </cell>
          <cell r="L29" t="str">
            <v>Stofmap Transparan tali</v>
          </cell>
          <cell r="M29" t="str">
            <v>Stofmap Transparan tali</v>
          </cell>
          <cell r="N29">
            <v>100</v>
          </cell>
          <cell r="O29" t="str">
            <v>buah</v>
          </cell>
          <cell r="P29">
            <v>5500</v>
          </cell>
          <cell r="Q29">
            <v>550000</v>
          </cell>
          <cell r="T29" t="str">
            <v>UD. JOSUA</v>
          </cell>
          <cell r="V29" t="str">
            <v>Gestiwan Bazikho</v>
          </cell>
          <cell r="W29" t="str">
            <v>081375309828</v>
          </cell>
          <cell r="X29" t="str">
            <v>Jl. Diponegoro Kel. Pasar Telukdalam - Nias Selatan</v>
          </cell>
        </row>
        <row r="30">
          <cell r="C30" t="str">
            <v>5.1.02.01.01.0024</v>
          </cell>
          <cell r="D30" t="str">
            <v>06. 05. 08.</v>
          </cell>
          <cell r="E30">
            <v>45661</v>
          </cell>
          <cell r="F30" t="str">
            <v>06/01/2025</v>
          </cell>
          <cell r="G30" t="str">
            <v>04</v>
          </cell>
          <cell r="H30" t="str">
            <v>06/01/2025</v>
          </cell>
          <cell r="J30" t="str">
            <v>23/01/2025</v>
          </cell>
          <cell r="K30" t="str">
            <v>BPU04</v>
          </cell>
          <cell r="L30" t="str">
            <v>Stofmap Transparan</v>
          </cell>
          <cell r="M30" t="str">
            <v>Stofmap Transparan</v>
          </cell>
          <cell r="N30">
            <v>100</v>
          </cell>
          <cell r="O30" t="str">
            <v>buah</v>
          </cell>
          <cell r="P30">
            <v>5500</v>
          </cell>
          <cell r="Q30">
            <v>550000</v>
          </cell>
          <cell r="T30" t="str">
            <v>UD. JOSUA</v>
          </cell>
          <cell r="V30" t="str">
            <v>Gestiwan Bazikho</v>
          </cell>
          <cell r="W30" t="str">
            <v>081375309828</v>
          </cell>
          <cell r="X30" t="str">
            <v>Jl. Diponegoro Kel. Pasar Telukdalam - Nias Selatan</v>
          </cell>
        </row>
        <row r="31">
          <cell r="C31" t="str">
            <v>5.1.02.01.01.0024</v>
          </cell>
          <cell r="D31" t="str">
            <v>06. 05. 08.</v>
          </cell>
          <cell r="E31">
            <v>45661</v>
          </cell>
          <cell r="F31" t="str">
            <v>06/01/2025</v>
          </cell>
          <cell r="G31" t="str">
            <v>04</v>
          </cell>
          <cell r="H31" t="str">
            <v>06/01/2025</v>
          </cell>
          <cell r="J31" t="str">
            <v>23/01/2025</v>
          </cell>
          <cell r="K31" t="str">
            <v>BPU04</v>
          </cell>
          <cell r="L31" t="str">
            <v>Binder Klip Ordner</v>
          </cell>
          <cell r="M31" t="str">
            <v>Binder Klip Ordner</v>
          </cell>
          <cell r="N31">
            <v>6</v>
          </cell>
          <cell r="O31" t="str">
            <v>buah</v>
          </cell>
          <cell r="P31">
            <v>49500</v>
          </cell>
          <cell r="Q31">
            <v>297000</v>
          </cell>
          <cell r="T31" t="str">
            <v>UD. JOSUA</v>
          </cell>
          <cell r="V31" t="str">
            <v>Gestiwan Bazikho</v>
          </cell>
          <cell r="W31" t="str">
            <v>081375309828</v>
          </cell>
          <cell r="X31" t="str">
            <v>Jl. Diponegoro Kel. Pasar Telukdalam - Nias Selatan</v>
          </cell>
        </row>
        <row r="32">
          <cell r="C32" t="str">
            <v>5.1.02.01.01.0024</v>
          </cell>
          <cell r="D32" t="str">
            <v>06. 05. 08.</v>
          </cell>
          <cell r="E32">
            <v>45661</v>
          </cell>
          <cell r="F32" t="str">
            <v>06/01/2025</v>
          </cell>
          <cell r="G32" t="str">
            <v>04</v>
          </cell>
          <cell r="H32" t="str">
            <v>06/01/2025</v>
          </cell>
          <cell r="J32" t="str">
            <v>23/01/2025</v>
          </cell>
          <cell r="K32" t="str">
            <v>BPU04</v>
          </cell>
          <cell r="L32" t="str">
            <v>Box File Merk : Bantex Ukuran : 115x270x325 mm</v>
          </cell>
          <cell r="M32" t="str">
            <v>Box File Merk : Bantex Ukuran : 115x270x325 mm</v>
          </cell>
          <cell r="N32">
            <v>4</v>
          </cell>
          <cell r="O32" t="str">
            <v>buah</v>
          </cell>
          <cell r="P32">
            <v>59000</v>
          </cell>
          <cell r="Q32">
            <v>236000</v>
          </cell>
          <cell r="T32" t="str">
            <v>UD. JOSUA</v>
          </cell>
          <cell r="V32" t="str">
            <v>Gestiwan Bazikho</v>
          </cell>
          <cell r="W32" t="str">
            <v>081375309828</v>
          </cell>
          <cell r="X32" t="str">
            <v>Jl. Diponegoro Kel. Pasar Telukdalam - Nias Selatan</v>
          </cell>
        </row>
        <row r="33">
          <cell r="C33" t="str">
            <v>5.1.02.01.01.0024</v>
          </cell>
          <cell r="D33" t="str">
            <v>06. 05. 08.</v>
          </cell>
          <cell r="E33">
            <v>45661</v>
          </cell>
          <cell r="F33" t="str">
            <v>06/01/2025</v>
          </cell>
          <cell r="G33" t="str">
            <v>04</v>
          </cell>
          <cell r="H33" t="str">
            <v>06/01/2025</v>
          </cell>
          <cell r="J33" t="str">
            <v>23/01/2025</v>
          </cell>
          <cell r="K33" t="str">
            <v>BPU04</v>
          </cell>
          <cell r="L33" t="str">
            <v>Sampul Plastik</v>
          </cell>
          <cell r="M33" t="str">
            <v>Sampul Plastik</v>
          </cell>
          <cell r="N33">
            <v>5</v>
          </cell>
          <cell r="O33" t="str">
            <v>bungkus</v>
          </cell>
          <cell r="P33">
            <v>65000</v>
          </cell>
          <cell r="Q33">
            <v>325000</v>
          </cell>
          <cell r="T33" t="str">
            <v>UD. JOSUA</v>
          </cell>
          <cell r="V33" t="str">
            <v>Gestiwan Bazikho</v>
          </cell>
          <cell r="W33" t="str">
            <v>081375309828</v>
          </cell>
          <cell r="X33" t="str">
            <v>Jl. Diponegoro Kel. Pasar Telukdalam - Nias Selatan</v>
          </cell>
        </row>
        <row r="34">
          <cell r="C34" t="str">
            <v>5.1.02.01.01.0024</v>
          </cell>
          <cell r="D34" t="str">
            <v>06. 05. 08.</v>
          </cell>
          <cell r="E34">
            <v>45661</v>
          </cell>
          <cell r="F34" t="str">
            <v>06/01/2025</v>
          </cell>
          <cell r="G34" t="str">
            <v>04</v>
          </cell>
          <cell r="H34" t="str">
            <v>06/01/2025</v>
          </cell>
          <cell r="J34" t="str">
            <v>23/01/2025</v>
          </cell>
          <cell r="K34" t="str">
            <v>BPU04</v>
          </cell>
          <cell r="L34" t="str">
            <v>Tinta Printer Canon 740 Hitam-740 Hitam</v>
          </cell>
          <cell r="M34" t="str">
            <v>Tinta Printer Canon 740 Hitam-740 Hitam</v>
          </cell>
          <cell r="N34">
            <v>8</v>
          </cell>
          <cell r="O34" t="str">
            <v>botol</v>
          </cell>
          <cell r="P34">
            <v>30000</v>
          </cell>
          <cell r="Q34">
            <v>240000</v>
          </cell>
          <cell r="T34" t="str">
            <v>UD. JOSUA</v>
          </cell>
          <cell r="V34" t="str">
            <v>Gestiwan Bazikho</v>
          </cell>
          <cell r="W34" t="str">
            <v>081375309828</v>
          </cell>
          <cell r="X34" t="str">
            <v>Jl. Diponegoro Kel. Pasar Telukdalam - Nias Selatan</v>
          </cell>
        </row>
        <row r="35">
          <cell r="C35" t="str">
            <v>5.1.02.01.01.0024</v>
          </cell>
          <cell r="D35" t="str">
            <v>06. 05. 08.</v>
          </cell>
          <cell r="E35">
            <v>45661</v>
          </cell>
          <cell r="F35" t="str">
            <v>06/01/2025</v>
          </cell>
          <cell r="G35" t="str">
            <v>04</v>
          </cell>
          <cell r="H35" t="str">
            <v>06/01/2025</v>
          </cell>
          <cell r="J35" t="str">
            <v>23/01/2025</v>
          </cell>
          <cell r="K35" t="str">
            <v>BPU04</v>
          </cell>
          <cell r="L35" t="str">
            <v>Tinta Printer Canon 741 Warna-741 Warna</v>
          </cell>
          <cell r="M35" t="str">
            <v>Tinta Printer Canon 741 Warna-741 Warna</v>
          </cell>
          <cell r="N35">
            <v>12</v>
          </cell>
          <cell r="O35" t="str">
            <v>botol</v>
          </cell>
          <cell r="P35">
            <v>33000</v>
          </cell>
          <cell r="Q35">
            <v>396000</v>
          </cell>
          <cell r="T35" t="str">
            <v>UD. JOSUA</v>
          </cell>
          <cell r="V35" t="str">
            <v>Gestiwan Bazikho</v>
          </cell>
          <cell r="W35" t="str">
            <v>081375309828</v>
          </cell>
          <cell r="X35" t="str">
            <v>Jl. Diponegoro Kel. Pasar Telukdalam - Nias Selatan</v>
          </cell>
        </row>
        <row r="36">
          <cell r="C36" t="str">
            <v>5.1.02.01.01.0024</v>
          </cell>
          <cell r="D36" t="str">
            <v>06. 05. 08.</v>
          </cell>
          <cell r="E36">
            <v>45661</v>
          </cell>
          <cell r="F36" t="str">
            <v>06/01/2025</v>
          </cell>
          <cell r="G36" t="str">
            <v>04</v>
          </cell>
          <cell r="H36" t="str">
            <v>06/01/2025</v>
          </cell>
          <cell r="J36" t="str">
            <v>23/01/2025</v>
          </cell>
          <cell r="K36" t="str">
            <v>BPU04</v>
          </cell>
          <cell r="L36" t="str">
            <v>C. Tinta Printer EPSON Toner Epson 664 Black</v>
          </cell>
          <cell r="M36" t="str">
            <v>C. Tinta Printer EPSON Toner Epson 664 Black</v>
          </cell>
          <cell r="N36">
            <v>6</v>
          </cell>
          <cell r="O36" t="str">
            <v>botol</v>
          </cell>
          <cell r="P36">
            <v>85000</v>
          </cell>
          <cell r="Q36">
            <v>510000</v>
          </cell>
          <cell r="T36" t="str">
            <v>UD. JOSUA</v>
          </cell>
          <cell r="V36" t="str">
            <v>Gestiwan Bazikho</v>
          </cell>
          <cell r="W36" t="str">
            <v>081375309828</v>
          </cell>
          <cell r="X36" t="str">
            <v>Jl. Diponegoro Kel. Pasar Telukdalam - Nias Selatan</v>
          </cell>
        </row>
        <row r="37">
          <cell r="C37" t="str">
            <v>5.1.02.01.01.0024</v>
          </cell>
          <cell r="D37" t="str">
            <v>06. 05. 08.</v>
          </cell>
          <cell r="E37">
            <v>45661</v>
          </cell>
          <cell r="F37" t="str">
            <v>06/01/2025</v>
          </cell>
          <cell r="G37" t="str">
            <v>04</v>
          </cell>
          <cell r="H37" t="str">
            <v>06/01/2025</v>
          </cell>
          <cell r="J37" t="str">
            <v>23/01/2025</v>
          </cell>
          <cell r="K37" t="str">
            <v>BPU04</v>
          </cell>
          <cell r="L37" t="str">
            <v>C. Tinta Printer EPSON Tinta Printer Epson Yellow</v>
          </cell>
          <cell r="M37" t="str">
            <v>C. Tinta Printer EPSON Tinta Printer Epson Yellow</v>
          </cell>
          <cell r="N37">
            <v>4</v>
          </cell>
          <cell r="O37" t="str">
            <v>botol</v>
          </cell>
          <cell r="P37">
            <v>110000</v>
          </cell>
          <cell r="Q37">
            <v>440000</v>
          </cell>
          <cell r="T37" t="str">
            <v>UD. JOSUA</v>
          </cell>
          <cell r="V37" t="str">
            <v>Gestiwan Bazikho</v>
          </cell>
          <cell r="W37" t="str">
            <v>081375309828</v>
          </cell>
          <cell r="X37" t="str">
            <v>Jl. Diponegoro Kel. Pasar Telukdalam - Nias Selatan</v>
          </cell>
        </row>
        <row r="38">
          <cell r="C38" t="str">
            <v>5.1.02.01.01.0024</v>
          </cell>
          <cell r="D38" t="str">
            <v>06. 05. 08.</v>
          </cell>
          <cell r="E38">
            <v>45661</v>
          </cell>
          <cell r="F38" t="str">
            <v>06/01/2025</v>
          </cell>
          <cell r="G38" t="str">
            <v>04</v>
          </cell>
          <cell r="H38" t="str">
            <v>06/01/2025</v>
          </cell>
          <cell r="J38" t="str">
            <v>23/01/2025</v>
          </cell>
          <cell r="K38" t="str">
            <v>BPU04</v>
          </cell>
          <cell r="L38" t="str">
            <v>C. Tinta Printer EPSON Tinta Printer Epson Blue</v>
          </cell>
          <cell r="M38" t="str">
            <v>C. Tinta Printer EPSON Tinta Printer Epson Blue</v>
          </cell>
          <cell r="N38">
            <v>4</v>
          </cell>
          <cell r="O38" t="str">
            <v>botol</v>
          </cell>
          <cell r="P38">
            <v>110000</v>
          </cell>
          <cell r="Q38">
            <v>440000</v>
          </cell>
          <cell r="T38" t="str">
            <v>UD. JOSUA</v>
          </cell>
          <cell r="V38" t="str">
            <v>Gestiwan Bazikho</v>
          </cell>
          <cell r="W38" t="str">
            <v>081375309828</v>
          </cell>
          <cell r="X38" t="str">
            <v>Jl. Diponegoro Kel. Pasar Telukdalam - Nias Selatan</v>
          </cell>
        </row>
        <row r="39">
          <cell r="C39" t="str">
            <v>5.1.02.01.01.0024</v>
          </cell>
          <cell r="D39" t="str">
            <v>06. 05. 08.</v>
          </cell>
          <cell r="E39">
            <v>45661</v>
          </cell>
          <cell r="F39" t="str">
            <v>06/01/2025</v>
          </cell>
          <cell r="G39" t="str">
            <v>04</v>
          </cell>
          <cell r="H39" t="str">
            <v>06/01/2025</v>
          </cell>
          <cell r="J39" t="str">
            <v>23/01/2025</v>
          </cell>
          <cell r="K39" t="str">
            <v>BPU04</v>
          </cell>
          <cell r="L39" t="str">
            <v>C. Tinta Printer EPSON Tinta Printer Epson Read</v>
          </cell>
          <cell r="M39" t="str">
            <v>C. Tinta Printer EPSON Tinta Printer Epson Read</v>
          </cell>
          <cell r="N39">
            <v>4</v>
          </cell>
          <cell r="O39" t="str">
            <v>botol</v>
          </cell>
          <cell r="P39">
            <v>110000</v>
          </cell>
          <cell r="Q39">
            <v>440000</v>
          </cell>
          <cell r="T39" t="str">
            <v>UD. JOSUA</v>
          </cell>
          <cell r="V39" t="str">
            <v>Gestiwan Bazikho</v>
          </cell>
          <cell r="W39" t="str">
            <v>081375309828</v>
          </cell>
          <cell r="X39" t="str">
            <v>Jl. Diponegoro Kel. Pasar Telukdalam - Nias Selatan</v>
          </cell>
        </row>
        <row r="40">
          <cell r="C40" t="str">
            <v>5.1.02.01.01.0024</v>
          </cell>
          <cell r="D40" t="str">
            <v>06. 05. 08.</v>
          </cell>
          <cell r="E40">
            <v>45661</v>
          </cell>
          <cell r="F40" t="str">
            <v>06/01/2025</v>
          </cell>
          <cell r="G40" t="str">
            <v>04</v>
          </cell>
          <cell r="H40" t="str">
            <v>06/01/2025</v>
          </cell>
          <cell r="J40" t="str">
            <v>23/01/2025</v>
          </cell>
          <cell r="K40" t="str">
            <v>BPU04</v>
          </cell>
          <cell r="L40" t="str">
            <v>canon catridge 741-catridge 741</v>
          </cell>
          <cell r="M40" t="str">
            <v>canon catridge 741-catridge 741</v>
          </cell>
          <cell r="N40">
            <v>4</v>
          </cell>
          <cell r="O40" t="str">
            <v>buah</v>
          </cell>
          <cell r="P40">
            <v>425000</v>
          </cell>
          <cell r="Q40">
            <v>1700000</v>
          </cell>
          <cell r="T40" t="str">
            <v>UD. JOSUA</v>
          </cell>
          <cell r="V40" t="str">
            <v>Gestiwan Bazikho</v>
          </cell>
          <cell r="W40" t="str">
            <v>081375309828</v>
          </cell>
          <cell r="X40" t="str">
            <v>Jl. Diponegoro Kel. Pasar Telukdalam - Nias Selatan</v>
          </cell>
        </row>
        <row r="41">
          <cell r="C41" t="str">
            <v>5.1.02.01.01.0024</v>
          </cell>
          <cell r="D41" t="str">
            <v>06. 05. 08.</v>
          </cell>
          <cell r="E41">
            <v>45661</v>
          </cell>
          <cell r="F41" t="str">
            <v>06/01/2025</v>
          </cell>
          <cell r="G41" t="str">
            <v>04</v>
          </cell>
          <cell r="H41" t="str">
            <v>06/01/2025</v>
          </cell>
          <cell r="J41" t="str">
            <v>23/01/2025</v>
          </cell>
          <cell r="K41" t="str">
            <v>BPU04</v>
          </cell>
          <cell r="L41" t="str">
            <v>Catridge Printer Epson T 014--</v>
          </cell>
          <cell r="M41" t="str">
            <v>Catridge Printer Epson T 014--</v>
          </cell>
          <cell r="N41">
            <v>4</v>
          </cell>
          <cell r="O41" t="str">
            <v>botol</v>
          </cell>
          <cell r="P41">
            <v>310000</v>
          </cell>
          <cell r="Q41">
            <v>1240000</v>
          </cell>
          <cell r="T41" t="str">
            <v>UD. JOSUA</v>
          </cell>
          <cell r="V41" t="str">
            <v>Gestiwan Bazikho</v>
          </cell>
          <cell r="W41" t="str">
            <v>081375309828</v>
          </cell>
          <cell r="X41" t="str">
            <v>Jl. Diponegoro Kel. Pasar Telukdalam - Nias Selatan</v>
          </cell>
        </row>
        <row r="42">
          <cell r="C42" t="str">
            <v>5.1.02.01.01.0024</v>
          </cell>
          <cell r="D42" t="str">
            <v>06. 05. 08.</v>
          </cell>
          <cell r="E42">
            <v>45661</v>
          </cell>
          <cell r="F42" t="str">
            <v>06/01/2025</v>
          </cell>
          <cell r="G42" t="str">
            <v>04</v>
          </cell>
          <cell r="H42" t="str">
            <v>06/01/2025</v>
          </cell>
          <cell r="J42" t="str">
            <v>23/01/2025</v>
          </cell>
          <cell r="K42" t="str">
            <v>BPU04</v>
          </cell>
          <cell r="L42" t="str">
            <v>Lakban Besar</v>
          </cell>
          <cell r="M42" t="str">
            <v>Lakban Besar</v>
          </cell>
          <cell r="N42">
            <v>5</v>
          </cell>
          <cell r="O42" t="str">
            <v>buah</v>
          </cell>
          <cell r="P42">
            <v>25000</v>
          </cell>
          <cell r="Q42">
            <v>125000</v>
          </cell>
          <cell r="T42" t="str">
            <v>UD. JOSUA</v>
          </cell>
          <cell r="V42" t="str">
            <v>Gestiwan Bazikho</v>
          </cell>
          <cell r="W42" t="str">
            <v>081375309828</v>
          </cell>
          <cell r="X42" t="str">
            <v>Jl. Diponegoro Kel. Pasar Telukdalam - Nias Selatan</v>
          </cell>
        </row>
        <row r="43">
          <cell r="C43" t="str">
            <v>5.1.02.01.01.0024</v>
          </cell>
          <cell r="D43" t="str">
            <v>06. 05. 08.</v>
          </cell>
          <cell r="E43">
            <v>45661</v>
          </cell>
          <cell r="F43" t="str">
            <v>06/01/2025</v>
          </cell>
          <cell r="G43" t="str">
            <v>04</v>
          </cell>
          <cell r="H43" t="str">
            <v>06/01/2025</v>
          </cell>
          <cell r="J43" t="str">
            <v>23/01/2025</v>
          </cell>
          <cell r="K43" t="str">
            <v>BPU04</v>
          </cell>
          <cell r="L43" t="str">
            <v>Lakban Bening Sedang</v>
          </cell>
          <cell r="M43" t="str">
            <v>Lakban Bening Sedang</v>
          </cell>
          <cell r="N43">
            <v>5</v>
          </cell>
          <cell r="O43" t="str">
            <v>buah</v>
          </cell>
          <cell r="P43">
            <v>15000</v>
          </cell>
          <cell r="Q43">
            <v>75000</v>
          </cell>
          <cell r="T43" t="str">
            <v>UD. JOSUA</v>
          </cell>
          <cell r="V43" t="str">
            <v>Gestiwan Bazikho</v>
          </cell>
          <cell r="W43" t="str">
            <v>081375309828</v>
          </cell>
          <cell r="X43" t="str">
            <v>Jl. Diponegoro Kel. Pasar Telukdalam - Nias Selatan</v>
          </cell>
        </row>
        <row r="44">
          <cell r="C44" t="str">
            <v>5.1.02.01.01.0024</v>
          </cell>
          <cell r="D44" t="str">
            <v>06. 05. 08.</v>
          </cell>
          <cell r="E44">
            <v>45661</v>
          </cell>
          <cell r="F44" t="str">
            <v>06/01/2025</v>
          </cell>
          <cell r="G44" t="str">
            <v>04</v>
          </cell>
          <cell r="H44" t="str">
            <v>06/01/2025</v>
          </cell>
          <cell r="J44" t="str">
            <v>23/01/2025</v>
          </cell>
          <cell r="K44" t="str">
            <v>BPU04</v>
          </cell>
          <cell r="L44" t="str">
            <v>Lakban Bening</v>
          </cell>
          <cell r="M44" t="str">
            <v>Lakban Bening</v>
          </cell>
          <cell r="N44">
            <v>5</v>
          </cell>
          <cell r="O44" t="str">
            <v>buah</v>
          </cell>
          <cell r="P44">
            <v>10000</v>
          </cell>
          <cell r="Q44">
            <v>50000</v>
          </cell>
          <cell r="T44" t="str">
            <v>UD. JOSUA</v>
          </cell>
          <cell r="V44" t="str">
            <v>Gestiwan Bazikho</v>
          </cell>
          <cell r="W44" t="str">
            <v>081375309828</v>
          </cell>
          <cell r="X44" t="str">
            <v>Jl. Diponegoro Kel. Pasar Telukdalam - Nias Selatan</v>
          </cell>
        </row>
        <row r="45">
          <cell r="C45" t="str">
            <v>5.1.02.01.01.0024</v>
          </cell>
          <cell r="D45" t="str">
            <v>06. 05. 08.</v>
          </cell>
          <cell r="E45">
            <v>45661</v>
          </cell>
          <cell r="F45" t="str">
            <v>06/01/2025</v>
          </cell>
          <cell r="G45" t="str">
            <v>04</v>
          </cell>
          <cell r="H45" t="str">
            <v>06/01/2025</v>
          </cell>
          <cell r="J45" t="str">
            <v>23/01/2025</v>
          </cell>
          <cell r="K45" t="str">
            <v>BPU04</v>
          </cell>
          <cell r="L45" t="str">
            <v>Lakban Hitam--</v>
          </cell>
          <cell r="M45" t="str">
            <v>Lakban Hitam--</v>
          </cell>
          <cell r="N45">
            <v>5</v>
          </cell>
          <cell r="O45" t="str">
            <v>buah</v>
          </cell>
          <cell r="P45">
            <v>15000</v>
          </cell>
          <cell r="Q45">
            <v>75000</v>
          </cell>
          <cell r="T45" t="str">
            <v>UD. JOSUA</v>
          </cell>
          <cell r="V45" t="str">
            <v>Gestiwan Bazikho</v>
          </cell>
          <cell r="W45" t="str">
            <v>081375309828</v>
          </cell>
          <cell r="X45" t="str">
            <v>Jl. Diponegoro Kel. Pasar Telukdalam - Nias Selatan</v>
          </cell>
        </row>
        <row r="46">
          <cell r="C46" t="str">
            <v>5.1.02.01.01.0024</v>
          </cell>
          <cell r="D46" t="str">
            <v>06. 05. 08.</v>
          </cell>
          <cell r="E46">
            <v>45661</v>
          </cell>
          <cell r="F46" t="str">
            <v>06/01/2025</v>
          </cell>
          <cell r="G46" t="str">
            <v>04</v>
          </cell>
          <cell r="H46" t="str">
            <v>06/01/2025</v>
          </cell>
          <cell r="J46" t="str">
            <v>23/01/2025</v>
          </cell>
          <cell r="K46" t="str">
            <v>BPU04</v>
          </cell>
          <cell r="L46" t="str">
            <v>lakban hitam-ukuran : lebar 2 inch, panjang 12m, bahan : kain</v>
          </cell>
          <cell r="M46" t="str">
            <v>lakban hitam-ukuran : lebar 2 inch, panjang 12m, bahan : kain</v>
          </cell>
          <cell r="N46">
            <v>4</v>
          </cell>
          <cell r="O46" t="str">
            <v>buah</v>
          </cell>
          <cell r="P46">
            <v>12500</v>
          </cell>
          <cell r="Q46">
            <v>50000</v>
          </cell>
          <cell r="T46" t="str">
            <v>UD. JOSUA</v>
          </cell>
          <cell r="V46" t="str">
            <v>Gestiwan Bazikho</v>
          </cell>
          <cell r="W46" t="str">
            <v>081375309828</v>
          </cell>
          <cell r="X46" t="str">
            <v>Jl. Diponegoro Kel. Pasar Telukdalam - Nias Selatan</v>
          </cell>
        </row>
        <row r="47">
          <cell r="C47" t="str">
            <v>5.1.02.01.01.0024</v>
          </cell>
          <cell r="D47" t="str">
            <v>06. 05. 08.</v>
          </cell>
          <cell r="E47">
            <v>45661</v>
          </cell>
          <cell r="F47" t="str">
            <v>06/01/2025</v>
          </cell>
          <cell r="G47" t="str">
            <v>04</v>
          </cell>
          <cell r="H47" t="str">
            <v>06/01/2025</v>
          </cell>
          <cell r="J47" t="str">
            <v>23/01/2025</v>
          </cell>
          <cell r="K47" t="str">
            <v>BPU04</v>
          </cell>
          <cell r="L47" t="str">
            <v>Lakban Hitam uk 2 " Warna hitam uk. 2 "</v>
          </cell>
          <cell r="M47" t="str">
            <v>Lakban Hitam uk 2 " Warna hitam uk. 2 "</v>
          </cell>
          <cell r="N47">
            <v>5</v>
          </cell>
          <cell r="O47" t="str">
            <v>buah</v>
          </cell>
          <cell r="P47">
            <v>25000</v>
          </cell>
          <cell r="Q47">
            <v>125000</v>
          </cell>
          <cell r="T47" t="str">
            <v>UD. JOSUA</v>
          </cell>
          <cell r="V47" t="str">
            <v>Gestiwan Bazikho</v>
          </cell>
          <cell r="W47" t="str">
            <v>081375309828</v>
          </cell>
          <cell r="X47" t="str">
            <v>Jl. Diponegoro Kel. Pasar Telukdalam - Nias Selatan</v>
          </cell>
        </row>
        <row r="48">
          <cell r="C48" t="str">
            <v>5.1.02.01.01.0024</v>
          </cell>
          <cell r="D48" t="str">
            <v>06. 05. 08.</v>
          </cell>
          <cell r="E48">
            <v>45661</v>
          </cell>
          <cell r="F48" t="str">
            <v>06/01/2025</v>
          </cell>
          <cell r="G48" t="str">
            <v>04</v>
          </cell>
          <cell r="H48" t="str">
            <v>06/01/2025</v>
          </cell>
          <cell r="J48" t="str">
            <v>23/01/2025</v>
          </cell>
          <cell r="K48" t="str">
            <v>BPU04</v>
          </cell>
          <cell r="L48" t="str">
            <v>Lakban warna Uk 2" Warna Coklat Cofiie</v>
          </cell>
          <cell r="M48" t="str">
            <v>Lakban warna Uk 2" Warna Coklat Cofiie</v>
          </cell>
          <cell r="N48">
            <v>3</v>
          </cell>
          <cell r="O48" t="str">
            <v>buah</v>
          </cell>
          <cell r="P48">
            <v>20000</v>
          </cell>
          <cell r="Q48">
            <v>60000</v>
          </cell>
          <cell r="T48" t="str">
            <v>UD. JOSUA</v>
          </cell>
          <cell r="V48" t="str">
            <v>Gestiwan Bazikho</v>
          </cell>
          <cell r="W48" t="str">
            <v>081375309828</v>
          </cell>
          <cell r="X48" t="str">
            <v>Jl. Diponegoro Kel. Pasar Telukdalam - Nias Selatan</v>
          </cell>
        </row>
        <row r="49">
          <cell r="C49" t="str">
            <v>5.1.02.01.01.0024</v>
          </cell>
          <cell r="D49" t="str">
            <v>06. 05. 08.</v>
          </cell>
          <cell r="E49">
            <v>45661</v>
          </cell>
          <cell r="F49" t="str">
            <v>06/01/2025</v>
          </cell>
          <cell r="G49" t="str">
            <v>04</v>
          </cell>
          <cell r="H49" t="str">
            <v>06/01/2025</v>
          </cell>
          <cell r="J49" t="str">
            <v>23/01/2025</v>
          </cell>
          <cell r="K49" t="str">
            <v>BPU04</v>
          </cell>
          <cell r="L49" t="str">
            <v>Spidol Refil Spidol White Board Snowman</v>
          </cell>
          <cell r="M49" t="str">
            <v>Spidol Refil Spidol White Board Snowman</v>
          </cell>
          <cell r="N49">
            <v>10</v>
          </cell>
          <cell r="O49" t="str">
            <v>buah</v>
          </cell>
          <cell r="P49">
            <v>20900</v>
          </cell>
          <cell r="Q49">
            <v>209000</v>
          </cell>
          <cell r="T49" t="str">
            <v>UD. JOSUA</v>
          </cell>
          <cell r="V49" t="str">
            <v>Gestiwan Bazikho</v>
          </cell>
          <cell r="W49" t="str">
            <v>081375309828</v>
          </cell>
          <cell r="X49" t="str">
            <v>Jl. Diponegoro Kel. Pasar Telukdalam - Nias Selatan</v>
          </cell>
        </row>
        <row r="50">
          <cell r="C50" t="str">
            <v>5.1.02.01.01.0024</v>
          </cell>
          <cell r="D50" t="str">
            <v>06. 05. 08.</v>
          </cell>
          <cell r="E50">
            <v>45661</v>
          </cell>
          <cell r="F50" t="str">
            <v>06/01/2025</v>
          </cell>
          <cell r="G50" t="str">
            <v>04</v>
          </cell>
          <cell r="H50" t="str">
            <v>06/01/2025</v>
          </cell>
          <cell r="J50" t="str">
            <v>23/01/2025</v>
          </cell>
          <cell r="K50" t="str">
            <v>BPU04</v>
          </cell>
          <cell r="L50" t="str">
            <v>Spidol White board</v>
          </cell>
          <cell r="M50" t="str">
            <v>Spidol White board</v>
          </cell>
          <cell r="N50">
            <v>2</v>
          </cell>
          <cell r="O50" t="str">
            <v>lusin</v>
          </cell>
          <cell r="P50">
            <v>120000</v>
          </cell>
          <cell r="Q50">
            <v>240000</v>
          </cell>
          <cell r="T50" t="str">
            <v>UD. JOSUA</v>
          </cell>
          <cell r="V50" t="str">
            <v>Gestiwan Bazikho</v>
          </cell>
          <cell r="W50" t="str">
            <v>081375309828</v>
          </cell>
          <cell r="X50" t="str">
            <v>Jl. Diponegoro Kel. Pasar Telukdalam - Nias Selatan</v>
          </cell>
        </row>
        <row r="51">
          <cell r="C51" t="str">
            <v>5.1.02.01.01.0024</v>
          </cell>
          <cell r="D51" t="str">
            <v>06. 05. 08.</v>
          </cell>
          <cell r="E51">
            <v>45661</v>
          </cell>
          <cell r="F51" t="str">
            <v>06/01/2025</v>
          </cell>
          <cell r="G51" t="str">
            <v>04</v>
          </cell>
          <cell r="H51" t="str">
            <v>06/01/2025</v>
          </cell>
          <cell r="J51" t="str">
            <v>23/01/2025</v>
          </cell>
          <cell r="K51" t="str">
            <v>BPU04</v>
          </cell>
          <cell r="L51" t="str">
            <v>Stapler HD-10--</v>
          </cell>
          <cell r="M51" t="str">
            <v>Stapler HD-10--</v>
          </cell>
          <cell r="N51">
            <v>2</v>
          </cell>
          <cell r="O51" t="str">
            <v>buah</v>
          </cell>
          <cell r="P51">
            <v>20000</v>
          </cell>
          <cell r="Q51">
            <v>40000</v>
          </cell>
          <cell r="T51" t="str">
            <v>UD. JOSUA</v>
          </cell>
          <cell r="V51" t="str">
            <v>Gestiwan Bazikho</v>
          </cell>
          <cell r="W51" t="str">
            <v>081375309828</v>
          </cell>
          <cell r="X51" t="str">
            <v>Jl. Diponegoro Kel. Pasar Telukdalam - Nias Selatan</v>
          </cell>
        </row>
        <row r="52">
          <cell r="C52" t="str">
            <v>5.1.02.01.01.0024</v>
          </cell>
          <cell r="D52" t="str">
            <v>06. 05. 08.</v>
          </cell>
          <cell r="E52">
            <v>45661</v>
          </cell>
          <cell r="F52" t="str">
            <v>06/01/2025</v>
          </cell>
          <cell r="G52" t="str">
            <v>04</v>
          </cell>
          <cell r="H52" t="str">
            <v>06/01/2025</v>
          </cell>
          <cell r="J52" t="str">
            <v>23/01/2025</v>
          </cell>
          <cell r="K52" t="str">
            <v>BPU04</v>
          </cell>
          <cell r="L52" t="str">
            <v>Stapler Stapler No, 50 MAX</v>
          </cell>
          <cell r="M52" t="str">
            <v>Stapler Stapler No, 50 MAX</v>
          </cell>
          <cell r="N52">
            <v>2</v>
          </cell>
          <cell r="O52" t="str">
            <v>buah</v>
          </cell>
          <cell r="P52">
            <v>25000</v>
          </cell>
          <cell r="Q52">
            <v>50000</v>
          </cell>
          <cell r="T52" t="str">
            <v>UD. JOSUA</v>
          </cell>
          <cell r="V52" t="str">
            <v>Gestiwan Bazikho</v>
          </cell>
          <cell r="W52" t="str">
            <v>081375309828</v>
          </cell>
          <cell r="X52" t="str">
            <v>Jl. Diponegoro Kel. Pasar Telukdalam - Nias Selatan</v>
          </cell>
        </row>
        <row r="53">
          <cell r="C53" t="str">
            <v>5.1.02.01.01.0024</v>
          </cell>
          <cell r="D53" t="str">
            <v>06. 05. 08.</v>
          </cell>
          <cell r="E53">
            <v>45661</v>
          </cell>
          <cell r="F53" t="str">
            <v>06/01/2025</v>
          </cell>
          <cell r="G53" t="str">
            <v>04</v>
          </cell>
          <cell r="H53" t="str">
            <v>06/01/2025</v>
          </cell>
          <cell r="J53" t="str">
            <v>23/01/2025</v>
          </cell>
          <cell r="K53" t="str">
            <v>BPU04</v>
          </cell>
          <cell r="L53" t="str">
            <v>Lem Fox isi 500 gram--</v>
          </cell>
          <cell r="M53" t="str">
            <v>Lem Fox isi 500 gram--</v>
          </cell>
          <cell r="N53">
            <v>2</v>
          </cell>
          <cell r="O53" t="str">
            <v>buah</v>
          </cell>
          <cell r="P53">
            <v>37000</v>
          </cell>
          <cell r="Q53">
            <v>74000</v>
          </cell>
          <cell r="T53" t="str">
            <v>UD. JOSUA</v>
          </cell>
          <cell r="V53" t="str">
            <v>Gestiwan Bazikho</v>
          </cell>
          <cell r="W53" t="str">
            <v>081375309828</v>
          </cell>
          <cell r="X53" t="str">
            <v>Jl. Diponegoro Kel. Pasar Telukdalam - Nias Selatan</v>
          </cell>
        </row>
        <row r="54">
          <cell r="C54" t="str">
            <v>5.1.02.01.01.0024</v>
          </cell>
          <cell r="D54" t="str">
            <v>06. 05. 08.</v>
          </cell>
          <cell r="E54">
            <v>45661</v>
          </cell>
          <cell r="F54" t="str">
            <v>06/01/2025</v>
          </cell>
          <cell r="G54" t="str">
            <v>04</v>
          </cell>
          <cell r="H54" t="str">
            <v>06/01/2025</v>
          </cell>
          <cell r="J54" t="str">
            <v>23/01/2025</v>
          </cell>
          <cell r="K54" t="str">
            <v>BPU04</v>
          </cell>
          <cell r="L54" t="str">
            <v>PAPER CLIP  Paper Clip No 1</v>
          </cell>
          <cell r="M54" t="str">
            <v>PAPER CLIP  Paper Clip No 1</v>
          </cell>
          <cell r="N54">
            <v>5</v>
          </cell>
          <cell r="O54" t="str">
            <v>kotak</v>
          </cell>
          <cell r="P54">
            <v>6000</v>
          </cell>
          <cell r="Q54">
            <v>30000</v>
          </cell>
          <cell r="T54" t="str">
            <v>UD. JOSUA</v>
          </cell>
          <cell r="V54" t="str">
            <v>Gestiwan Bazikho</v>
          </cell>
          <cell r="W54" t="str">
            <v>081375309828</v>
          </cell>
          <cell r="X54" t="str">
            <v>Jl. Diponegoro Kel. Pasar Telukdalam - Nias Selatan</v>
          </cell>
        </row>
        <row r="55">
          <cell r="C55" t="str">
            <v>5.1.02.01.01.0024</v>
          </cell>
          <cell r="D55" t="str">
            <v>06. 05. 08.</v>
          </cell>
          <cell r="E55">
            <v>45661</v>
          </cell>
          <cell r="F55" t="str">
            <v>06/01/2025</v>
          </cell>
          <cell r="G55" t="str">
            <v>04</v>
          </cell>
          <cell r="H55" t="str">
            <v>06/01/2025</v>
          </cell>
          <cell r="J55" t="str">
            <v>23/01/2025</v>
          </cell>
          <cell r="K55" t="str">
            <v>BPU04</v>
          </cell>
          <cell r="L55" t="str">
            <v>Paper Clip No 1  Paper Clip No 3</v>
          </cell>
          <cell r="M55" t="str">
            <v>Paper Clip No 1  Paper Clip No 3</v>
          </cell>
          <cell r="N55">
            <v>5</v>
          </cell>
          <cell r="O55" t="str">
            <v>kotak</v>
          </cell>
          <cell r="P55">
            <v>6000</v>
          </cell>
          <cell r="Q55">
            <v>30000</v>
          </cell>
          <cell r="T55" t="str">
            <v>UD. JOSUA</v>
          </cell>
          <cell r="V55" t="str">
            <v>Gestiwan Bazikho</v>
          </cell>
          <cell r="W55" t="str">
            <v>081375309828</v>
          </cell>
          <cell r="X55" t="str">
            <v>Jl. Diponegoro Kel. Pasar Telukdalam - Nias Selatan</v>
          </cell>
        </row>
        <row r="56">
          <cell r="C56" t="str">
            <v>5.1.02.01.01.0024</v>
          </cell>
          <cell r="D56" t="str">
            <v>06. 05. 08.</v>
          </cell>
          <cell r="E56">
            <v>45661</v>
          </cell>
          <cell r="F56" t="str">
            <v>06/01/2025</v>
          </cell>
          <cell r="G56" t="str">
            <v>04</v>
          </cell>
          <cell r="H56" t="str">
            <v>06/01/2025</v>
          </cell>
          <cell r="J56" t="str">
            <v>23/01/2025</v>
          </cell>
          <cell r="K56" t="str">
            <v>BPU04</v>
          </cell>
          <cell r="L56" t="str">
            <v>Penghapus White Board</v>
          </cell>
          <cell r="M56" t="str">
            <v>Penghapus White Board</v>
          </cell>
          <cell r="N56">
            <v>30</v>
          </cell>
          <cell r="O56" t="str">
            <v>buah</v>
          </cell>
          <cell r="P56">
            <v>10000</v>
          </cell>
          <cell r="Q56">
            <v>300000</v>
          </cell>
          <cell r="T56" t="str">
            <v>UD. JOSUA</v>
          </cell>
          <cell r="V56" t="str">
            <v>Gestiwan Bazikho</v>
          </cell>
          <cell r="W56" t="str">
            <v>081375309828</v>
          </cell>
          <cell r="X56" t="str">
            <v>Jl. Diponegoro Kel. Pasar Telukdalam - Nias Selatan</v>
          </cell>
        </row>
        <row r="57">
          <cell r="C57" t="str">
            <v>5.1.02.01.01.0024</v>
          </cell>
          <cell r="D57" t="str">
            <v>06. 05. 08.</v>
          </cell>
          <cell r="E57">
            <v>45661</v>
          </cell>
          <cell r="F57" t="str">
            <v>06/01/2025</v>
          </cell>
          <cell r="G57" t="str">
            <v>04</v>
          </cell>
          <cell r="H57" t="str">
            <v>06/01/2025</v>
          </cell>
          <cell r="J57" t="str">
            <v>23/01/2025</v>
          </cell>
          <cell r="K57" t="str">
            <v>BPU04</v>
          </cell>
          <cell r="L57" t="str">
            <v>Isi Staples Sedang</v>
          </cell>
          <cell r="M57" t="str">
            <v>Isi Staples Sedang</v>
          </cell>
          <cell r="N57">
            <v>2</v>
          </cell>
          <cell r="O57" t="str">
            <v>kotak</v>
          </cell>
          <cell r="P57">
            <v>40000</v>
          </cell>
          <cell r="Q57">
            <v>80000</v>
          </cell>
          <cell r="T57" t="str">
            <v>UD. JOSUA</v>
          </cell>
          <cell r="V57" t="str">
            <v>Gestiwan Bazikho</v>
          </cell>
          <cell r="W57" t="str">
            <v>081375309828</v>
          </cell>
          <cell r="X57" t="str">
            <v>Jl. Diponegoro Kel. Pasar Telukdalam - Nias Selatan</v>
          </cell>
        </row>
        <row r="58">
          <cell r="C58" t="str">
            <v>5.1.02.01.01.0024</v>
          </cell>
          <cell r="D58" t="str">
            <v>06. 05. 08.</v>
          </cell>
          <cell r="E58">
            <v>45661</v>
          </cell>
          <cell r="F58" t="str">
            <v>06/01/2025</v>
          </cell>
          <cell r="G58" t="str">
            <v>04</v>
          </cell>
          <cell r="H58" t="str">
            <v>06/01/2025</v>
          </cell>
          <cell r="J58" t="str">
            <v>23/01/2025</v>
          </cell>
          <cell r="K58" t="str">
            <v>BPU04</v>
          </cell>
          <cell r="L58" t="str">
            <v>Isi Staples besar</v>
          </cell>
          <cell r="M58" t="str">
            <v>Isi Staples besar</v>
          </cell>
          <cell r="N58">
            <v>2</v>
          </cell>
          <cell r="O58" t="str">
            <v>kotak</v>
          </cell>
          <cell r="P58">
            <v>80000</v>
          </cell>
          <cell r="Q58">
            <v>160000</v>
          </cell>
          <cell r="T58" t="str">
            <v>UD. JOSUA</v>
          </cell>
          <cell r="V58" t="str">
            <v>Gestiwan Bazikho</v>
          </cell>
          <cell r="W58" t="str">
            <v>081375309828</v>
          </cell>
          <cell r="X58" t="str">
            <v>Jl. Diponegoro Kel. Pasar Telukdalam - Nias Selatan</v>
          </cell>
        </row>
        <row r="59">
          <cell r="C59" t="str">
            <v>5.1.02.01.01.0024</v>
          </cell>
          <cell r="D59" t="str">
            <v>06. 05. 08.</v>
          </cell>
          <cell r="E59">
            <v>45661</v>
          </cell>
          <cell r="F59" t="str">
            <v>06/01/2025</v>
          </cell>
          <cell r="G59" t="str">
            <v>04</v>
          </cell>
          <cell r="H59" t="str">
            <v>06/01/2025</v>
          </cell>
          <cell r="J59" t="str">
            <v>23/01/2025</v>
          </cell>
          <cell r="K59" t="str">
            <v>BPU04</v>
          </cell>
          <cell r="L59" t="str">
            <v>gunting kertas-ukuran : panjang 21cm x lebar 8cm, stainless steel</v>
          </cell>
          <cell r="M59" t="str">
            <v>gunting kertas-ukuran : panjang 21cm x lebar 8cm, stainless steel</v>
          </cell>
          <cell r="N59">
            <v>2</v>
          </cell>
          <cell r="O59" t="str">
            <v>buah</v>
          </cell>
          <cell r="P59">
            <v>20000</v>
          </cell>
          <cell r="Q59">
            <v>40000</v>
          </cell>
          <cell r="T59" t="str">
            <v>UD. JOSUA</v>
          </cell>
          <cell r="V59" t="str">
            <v>Gestiwan Bazikho</v>
          </cell>
          <cell r="W59" t="str">
            <v>081375309828</v>
          </cell>
          <cell r="X59" t="str">
            <v>Jl. Diponegoro Kel. Pasar Telukdalam - Nias Selatan</v>
          </cell>
        </row>
        <row r="60">
          <cell r="C60" t="str">
            <v>5.1.02.01.01.0024</v>
          </cell>
          <cell r="D60" t="str">
            <v>06. 05. 08.</v>
          </cell>
          <cell r="E60">
            <v>45661</v>
          </cell>
          <cell r="F60" t="str">
            <v>06/01/2025</v>
          </cell>
          <cell r="G60" t="str">
            <v>04</v>
          </cell>
          <cell r="H60" t="str">
            <v>06/01/2025</v>
          </cell>
          <cell r="J60" t="str">
            <v>23/01/2025</v>
          </cell>
          <cell r="K60" t="str">
            <v>BPU04</v>
          </cell>
          <cell r="L60" t="str">
            <v>Pisau Cutter Kenko L-500</v>
          </cell>
          <cell r="M60" t="str">
            <v>Pisau Cutter Kenko L-500</v>
          </cell>
          <cell r="N60">
            <v>2</v>
          </cell>
          <cell r="O60" t="str">
            <v>buah</v>
          </cell>
          <cell r="P60">
            <v>15000</v>
          </cell>
          <cell r="Q60">
            <v>30000</v>
          </cell>
          <cell r="T60" t="str">
            <v>UD. JOSUA</v>
          </cell>
          <cell r="V60" t="str">
            <v>Gestiwan Bazikho</v>
          </cell>
          <cell r="W60" t="str">
            <v>081375309828</v>
          </cell>
          <cell r="X60" t="str">
            <v>Jl. Diponegoro Kel. Pasar Telukdalam - Nias Selatan</v>
          </cell>
        </row>
        <row r="61">
          <cell r="C61" t="str">
            <v>5.1.02.01.01.0024</v>
          </cell>
          <cell r="D61" t="str">
            <v>06. 05. 08.</v>
          </cell>
          <cell r="E61">
            <v>45661</v>
          </cell>
          <cell r="F61" t="str">
            <v>06/01/2025</v>
          </cell>
          <cell r="G61" t="str">
            <v>04</v>
          </cell>
          <cell r="H61" t="str">
            <v>06/01/2025</v>
          </cell>
          <cell r="J61" t="str">
            <v>23/01/2025</v>
          </cell>
          <cell r="K61" t="str">
            <v>BPU04</v>
          </cell>
          <cell r="L61" t="str">
            <v>Buku Induk/Inventaris 35 cm x 50 cm</v>
          </cell>
          <cell r="M61" t="str">
            <v>Buku Induk/Inventaris 35 cm x 50 cm</v>
          </cell>
          <cell r="N61">
            <v>2</v>
          </cell>
          <cell r="O61" t="str">
            <v>buah</v>
          </cell>
          <cell r="P61">
            <v>58000</v>
          </cell>
          <cell r="Q61">
            <v>116000</v>
          </cell>
          <cell r="T61" t="str">
            <v>UD. JOSUA</v>
          </cell>
          <cell r="V61" t="str">
            <v>Gestiwan Bazikho</v>
          </cell>
          <cell r="W61" t="str">
            <v>081375309828</v>
          </cell>
          <cell r="X61" t="str">
            <v>Jl. Diponegoro Kel. Pasar Telukdalam - Nias Selatan</v>
          </cell>
        </row>
        <row r="62">
          <cell r="C62" t="str">
            <v>5.1.02.01.01.0024</v>
          </cell>
          <cell r="D62" t="str">
            <v>06. 05. 08.</v>
          </cell>
          <cell r="E62">
            <v>45661</v>
          </cell>
          <cell r="F62" t="str">
            <v>06/01/2025</v>
          </cell>
          <cell r="G62" t="str">
            <v>04</v>
          </cell>
          <cell r="H62" t="str">
            <v>06/01/2025</v>
          </cell>
          <cell r="J62" t="str">
            <v>23/01/2025</v>
          </cell>
          <cell r="K62" t="str">
            <v>BPU04</v>
          </cell>
          <cell r="L62" t="str">
            <v>Buku Ekspedisi 100</v>
          </cell>
          <cell r="M62" t="str">
            <v>Buku Ekspedisi 100</v>
          </cell>
          <cell r="N62">
            <v>6</v>
          </cell>
          <cell r="O62" t="str">
            <v>buah</v>
          </cell>
          <cell r="P62">
            <v>15000</v>
          </cell>
          <cell r="Q62">
            <v>90000</v>
          </cell>
          <cell r="T62" t="str">
            <v>UD. JOSUA</v>
          </cell>
          <cell r="V62" t="str">
            <v>Gestiwan Bazikho</v>
          </cell>
          <cell r="W62" t="str">
            <v>081375309828</v>
          </cell>
          <cell r="X62" t="str">
            <v>Jl. Diponegoro Kel. Pasar Telukdalam - Nias Selatan</v>
          </cell>
        </row>
        <row r="63">
          <cell r="C63" t="str">
            <v>5.1.02.01.01.0024</v>
          </cell>
          <cell r="D63" t="str">
            <v>06. 05. 08.</v>
          </cell>
          <cell r="E63">
            <v>45661</v>
          </cell>
          <cell r="F63" t="str">
            <v>06/01/2025</v>
          </cell>
          <cell r="G63" t="str">
            <v>04</v>
          </cell>
          <cell r="H63" t="str">
            <v>06/01/2025</v>
          </cell>
          <cell r="J63" t="str">
            <v>23/01/2025</v>
          </cell>
          <cell r="K63" t="str">
            <v>BPU04</v>
          </cell>
          <cell r="L63" t="str">
            <v>Baterey Kecil</v>
          </cell>
          <cell r="M63" t="str">
            <v>Baterey Kecil</v>
          </cell>
          <cell r="N63">
            <v>5</v>
          </cell>
          <cell r="O63" t="str">
            <v>pasang</v>
          </cell>
          <cell r="P63">
            <v>20000</v>
          </cell>
          <cell r="Q63">
            <v>100000</v>
          </cell>
          <cell r="T63" t="str">
            <v>UD. JOSUA</v>
          </cell>
          <cell r="V63" t="str">
            <v>Gestiwan Bazikho</v>
          </cell>
          <cell r="W63" t="str">
            <v>081375309828</v>
          </cell>
          <cell r="X63" t="str">
            <v>Jl. Diponegoro Kel. Pasar Telukdalam - Nias Selatan</v>
          </cell>
        </row>
        <row r="64">
          <cell r="C64" t="str">
            <v>5.1.02.01.01.0024</v>
          </cell>
          <cell r="D64" t="str">
            <v>06. 05. 08.</v>
          </cell>
          <cell r="E64">
            <v>45661</v>
          </cell>
          <cell r="F64" t="str">
            <v>06/01/2025</v>
          </cell>
          <cell r="G64" t="str">
            <v>04</v>
          </cell>
          <cell r="H64" t="str">
            <v>06/01/2025</v>
          </cell>
          <cell r="J64" t="str">
            <v>23/01/2025</v>
          </cell>
          <cell r="K64" t="str">
            <v>BPU04</v>
          </cell>
          <cell r="L64" t="str">
            <v>Baterey Tanggung</v>
          </cell>
          <cell r="M64" t="str">
            <v>Baterey Tanggung</v>
          </cell>
          <cell r="N64">
            <v>5</v>
          </cell>
          <cell r="O64" t="str">
            <v>pasang</v>
          </cell>
          <cell r="P64">
            <v>30000</v>
          </cell>
          <cell r="Q64">
            <v>150000</v>
          </cell>
          <cell r="T64" t="str">
            <v>UD. JOSUA</v>
          </cell>
          <cell r="V64" t="str">
            <v>Gestiwan Bazikho</v>
          </cell>
          <cell r="W64" t="str">
            <v>081375309828</v>
          </cell>
          <cell r="X64" t="str">
            <v>Jl. Diponegoro Kel. Pasar Telukdalam - Nias Selatan</v>
          </cell>
        </row>
        <row r="65">
          <cell r="C65" t="str">
            <v>5.1.02.01.01.0024</v>
          </cell>
          <cell r="D65" t="str">
            <v>06. 05. 08.</v>
          </cell>
          <cell r="E65">
            <v>45661</v>
          </cell>
          <cell r="F65" t="str">
            <v>06/01/2025</v>
          </cell>
          <cell r="G65" t="str">
            <v>04</v>
          </cell>
          <cell r="H65" t="str">
            <v>06/01/2025</v>
          </cell>
          <cell r="J65" t="str">
            <v>23/01/2025</v>
          </cell>
          <cell r="K65" t="str">
            <v>BPU04</v>
          </cell>
          <cell r="L65" t="str">
            <v>Bantalan Cap Besar</v>
          </cell>
          <cell r="M65" t="str">
            <v>Bantalan Cap Besar</v>
          </cell>
          <cell r="N65">
            <v>5</v>
          </cell>
          <cell r="O65" t="str">
            <v>buah</v>
          </cell>
          <cell r="P65">
            <v>15000</v>
          </cell>
          <cell r="Q65">
            <v>75000</v>
          </cell>
          <cell r="T65" t="str">
            <v>UD. JOSUA</v>
          </cell>
          <cell r="V65" t="str">
            <v>Gestiwan Bazikho</v>
          </cell>
          <cell r="W65" t="str">
            <v>081375309828</v>
          </cell>
          <cell r="X65" t="str">
            <v>Jl. Diponegoro Kel. Pasar Telukdalam - Nias Selatan</v>
          </cell>
        </row>
        <row r="66">
          <cell r="C66" t="str">
            <v>5.1.02.01.01.0024</v>
          </cell>
          <cell r="D66" t="str">
            <v>06. 05. 08.</v>
          </cell>
          <cell r="E66">
            <v>45661</v>
          </cell>
          <cell r="F66" t="str">
            <v>06/01/2025</v>
          </cell>
          <cell r="G66" t="str">
            <v>04</v>
          </cell>
          <cell r="H66" t="str">
            <v>06/01/2025</v>
          </cell>
          <cell r="J66" t="str">
            <v>23/01/2025</v>
          </cell>
          <cell r="K66" t="str">
            <v>BPU04</v>
          </cell>
          <cell r="L66" t="str">
            <v>Bantalan Cap Kecil</v>
          </cell>
          <cell r="M66" t="str">
            <v>Bantalan Cap Kecil</v>
          </cell>
          <cell r="N66">
            <v>5</v>
          </cell>
          <cell r="O66" t="str">
            <v>buah</v>
          </cell>
          <cell r="P66">
            <v>10000</v>
          </cell>
          <cell r="Q66">
            <v>50000</v>
          </cell>
          <cell r="T66" t="str">
            <v>UD. JOSUA</v>
          </cell>
          <cell r="V66" t="str">
            <v>Gestiwan Bazikho</v>
          </cell>
          <cell r="W66" t="str">
            <v>081375309828</v>
          </cell>
          <cell r="X66" t="str">
            <v>Jl. Diponegoro Kel. Pasar Telukdalam - Nias Selatan</v>
          </cell>
        </row>
        <row r="67">
          <cell r="C67" t="str">
            <v>5.1.02.01.01.0024</v>
          </cell>
          <cell r="D67" t="str">
            <v>06. 05. 08.</v>
          </cell>
          <cell r="E67">
            <v>45661</v>
          </cell>
          <cell r="F67" t="str">
            <v>06/01/2025</v>
          </cell>
          <cell r="G67" t="str">
            <v>04</v>
          </cell>
          <cell r="H67" t="str">
            <v>06/01/2025</v>
          </cell>
          <cell r="J67" t="str">
            <v>23/01/2025</v>
          </cell>
          <cell r="K67" t="str">
            <v>BPU04</v>
          </cell>
          <cell r="L67" t="str">
            <v>USB FLASH DISK USB/Flash Disk 4GB</v>
          </cell>
          <cell r="M67" t="str">
            <v>USB FLASH DISK USB/Flash Disk 4GB</v>
          </cell>
          <cell r="N67">
            <v>1</v>
          </cell>
          <cell r="O67" t="str">
            <v>buah</v>
          </cell>
          <cell r="P67">
            <v>80000</v>
          </cell>
          <cell r="Q67">
            <v>80000</v>
          </cell>
          <cell r="T67" t="str">
            <v>UD. JOSUA</v>
          </cell>
          <cell r="V67" t="str">
            <v>Gestiwan Bazikho</v>
          </cell>
          <cell r="W67" t="str">
            <v>081375309828</v>
          </cell>
          <cell r="X67" t="str">
            <v>Jl. Diponegoro Kel. Pasar Telukdalam - Nias Selatan</v>
          </cell>
        </row>
        <row r="68">
          <cell r="C68" t="str">
            <v>5.1.02.01.01.0024</v>
          </cell>
          <cell r="D68" t="str">
            <v>06. 05. 08.</v>
          </cell>
          <cell r="E68">
            <v>45661</v>
          </cell>
          <cell r="F68" t="str">
            <v>06/01/2025</v>
          </cell>
          <cell r="G68" t="str">
            <v>04</v>
          </cell>
          <cell r="H68" t="str">
            <v>06/01/2025</v>
          </cell>
          <cell r="J68" t="str">
            <v>23/01/2025</v>
          </cell>
          <cell r="K68" t="str">
            <v>BPU04</v>
          </cell>
          <cell r="L68" t="str">
            <v>Stempel Manual</v>
          </cell>
          <cell r="M68" t="str">
            <v>Stempel Manual</v>
          </cell>
          <cell r="N68">
            <v>5</v>
          </cell>
          <cell r="O68" t="str">
            <v>buah</v>
          </cell>
          <cell r="P68">
            <v>100000</v>
          </cell>
          <cell r="Q68">
            <v>500000</v>
          </cell>
          <cell r="T68" t="str">
            <v>UD. JOSUA</v>
          </cell>
          <cell r="V68" t="str">
            <v>Gestiwan Bazikho</v>
          </cell>
          <cell r="W68" t="str">
            <v>081375309828</v>
          </cell>
          <cell r="X68" t="str">
            <v>Jl. Diponegoro Kel. Pasar Telukdalam - Nias Selatan</v>
          </cell>
        </row>
        <row r="69">
          <cell r="C69" t="str">
            <v>5.1.02.01.01.0024</v>
          </cell>
          <cell r="D69" t="str">
            <v>06. 05. 08.</v>
          </cell>
          <cell r="E69">
            <v>45661</v>
          </cell>
          <cell r="F69" t="str">
            <v>06/01/2025</v>
          </cell>
          <cell r="G69" t="str">
            <v>04</v>
          </cell>
          <cell r="H69" t="str">
            <v>06/01/2025</v>
          </cell>
          <cell r="J69" t="str">
            <v>23/01/2025</v>
          </cell>
          <cell r="K69" t="str">
            <v>BPU04</v>
          </cell>
          <cell r="L69" t="str">
            <v>Stempel Cap</v>
          </cell>
          <cell r="M69" t="str">
            <v>Stempel Cap</v>
          </cell>
          <cell r="N69">
            <v>3</v>
          </cell>
          <cell r="O69" t="str">
            <v>buah</v>
          </cell>
          <cell r="P69">
            <v>120000</v>
          </cell>
          <cell r="Q69">
            <v>360000</v>
          </cell>
          <cell r="T69" t="str">
            <v>UD. JOSUA</v>
          </cell>
          <cell r="V69" t="str">
            <v>Gestiwan Bazikho</v>
          </cell>
          <cell r="W69" t="str">
            <v>081375309828</v>
          </cell>
          <cell r="X69" t="str">
            <v>Jl. Diponegoro Kel. Pasar Telukdalam - Nias Selatan</v>
          </cell>
        </row>
        <row r="70">
          <cell r="C70" t="str">
            <v>5.1.02.01.01.0024</v>
          </cell>
          <cell r="D70" t="str">
            <v>06. 05. 08.</v>
          </cell>
          <cell r="E70">
            <v>45661</v>
          </cell>
          <cell r="F70" t="str">
            <v>06/01/2025</v>
          </cell>
          <cell r="G70" t="str">
            <v>04</v>
          </cell>
          <cell r="H70" t="str">
            <v>06/01/2025</v>
          </cell>
          <cell r="J70" t="str">
            <v>23/01/2025</v>
          </cell>
          <cell r="K70" t="str">
            <v>BPU04</v>
          </cell>
          <cell r="L70" t="str">
            <v>Tinta Stempel</v>
          </cell>
          <cell r="M70" t="str">
            <v>Tinta Stempel</v>
          </cell>
          <cell r="N70">
            <v>5</v>
          </cell>
          <cell r="O70" t="str">
            <v>botol</v>
          </cell>
          <cell r="P70">
            <v>20000</v>
          </cell>
          <cell r="Q70">
            <v>100000</v>
          </cell>
          <cell r="T70" t="str">
            <v>UD. JOSUA</v>
          </cell>
          <cell r="V70" t="str">
            <v>Gestiwan Bazikho</v>
          </cell>
          <cell r="W70" t="str">
            <v>081375309828</v>
          </cell>
          <cell r="X70" t="str">
            <v>Jl. Diponegoro Kel. Pasar Telukdalam - Nias Selatan</v>
          </cell>
        </row>
        <row r="71">
          <cell r="C71" t="str">
            <v>5.1.02.01.01.0024</v>
          </cell>
          <cell r="D71" t="str">
            <v>06. 05. 08.</v>
          </cell>
          <cell r="E71">
            <v>45661</v>
          </cell>
          <cell r="F71" t="str">
            <v>06/01/2025</v>
          </cell>
          <cell r="G71" t="str">
            <v>04</v>
          </cell>
          <cell r="H71" t="str">
            <v>06/01/2025</v>
          </cell>
          <cell r="J71" t="str">
            <v>23/01/2025</v>
          </cell>
          <cell r="K71" t="str">
            <v>BPU04</v>
          </cell>
          <cell r="L71" t="str">
            <v>Materai 10.000</v>
          </cell>
          <cell r="M71" t="str">
            <v>Materai 10.000</v>
          </cell>
          <cell r="N71">
            <v>100</v>
          </cell>
          <cell r="O71" t="str">
            <v>buah</v>
          </cell>
          <cell r="P71">
            <v>12000</v>
          </cell>
          <cell r="Q71">
            <v>1200000</v>
          </cell>
          <cell r="T71" t="str">
            <v>UD. JOSUA</v>
          </cell>
          <cell r="V71" t="str">
            <v>Gestiwan Bazikho</v>
          </cell>
          <cell r="W71" t="str">
            <v>081375309828</v>
          </cell>
          <cell r="X71" t="str">
            <v>Jl. Diponegoro Kel. Pasar Telukdalam - Nias Selatan</v>
          </cell>
        </row>
        <row r="72">
          <cell r="C72" t="str">
            <v>5.1.02.01.01.0026</v>
          </cell>
          <cell r="D72" t="str">
            <v>06. 05. 08.</v>
          </cell>
          <cell r="E72">
            <v>45661</v>
          </cell>
          <cell r="F72" t="str">
            <v>06/01/2025</v>
          </cell>
          <cell r="G72" t="str">
            <v>05</v>
          </cell>
          <cell r="H72" t="str">
            <v>06/01/2025</v>
          </cell>
          <cell r="J72" t="str">
            <v>23/01/2025</v>
          </cell>
          <cell r="K72" t="str">
            <v>BPU05</v>
          </cell>
          <cell r="L72" t="str">
            <v>Foto Copy Filio dan Kuarto</v>
          </cell>
          <cell r="M72" t="str">
            <v>Foto Copy Filio dan Kuarto</v>
          </cell>
          <cell r="N72">
            <v>4500</v>
          </cell>
          <cell r="O72" t="str">
            <v>lembar</v>
          </cell>
          <cell r="P72">
            <v>350</v>
          </cell>
          <cell r="Q72">
            <v>1575000</v>
          </cell>
          <cell r="T72" t="str">
            <v>UD. JOSUA</v>
          </cell>
          <cell r="V72" t="str">
            <v>Gestiwan Bazikho</v>
          </cell>
          <cell r="W72" t="str">
            <v>081375309828</v>
          </cell>
          <cell r="X72" t="str">
            <v>Jl. Diponegoro Kel. Pasar Telukdalam - Nias Selatan</v>
          </cell>
        </row>
        <row r="73">
          <cell r="C73" t="str">
            <v>5.1.02.01.01.0012</v>
          </cell>
          <cell r="D73" t="str">
            <v>06. 05. 09.</v>
          </cell>
          <cell r="E73">
            <v>45661</v>
          </cell>
          <cell r="F73" t="str">
            <v>06/01/2025</v>
          </cell>
          <cell r="G73" t="str">
            <v>06</v>
          </cell>
          <cell r="H73" t="str">
            <v>06/01/2025</v>
          </cell>
          <cell r="J73" t="str">
            <v>23/01/2025</v>
          </cell>
          <cell r="K73" t="str">
            <v>BPU06</v>
          </cell>
          <cell r="L73" t="str">
            <v>Jasa pengantar barang berupa alat-alat kebrsihan</v>
          </cell>
          <cell r="N73">
            <v>1</v>
          </cell>
          <cell r="O73" t="str">
            <v>kegiatan</v>
          </cell>
          <cell r="P73">
            <v>55000</v>
          </cell>
          <cell r="Q73">
            <v>55000</v>
          </cell>
          <cell r="T73" t="str">
            <v>UD. JOSUA</v>
          </cell>
          <cell r="V73" t="str">
            <v>Gestiwan Bazikho</v>
          </cell>
          <cell r="W73" t="str">
            <v>081375309828</v>
          </cell>
          <cell r="X73" t="str">
            <v>Jl. Diponegoro Kel. Pasar Telukdalam - Nias Selatan</v>
          </cell>
        </row>
        <row r="74">
          <cell r="C74" t="str">
            <v>5.1.02.01.01.0030</v>
          </cell>
          <cell r="D74" t="str">
            <v>06. 05. 09.</v>
          </cell>
          <cell r="E74">
            <v>45661</v>
          </cell>
          <cell r="F74" t="str">
            <v>06/01/2025</v>
          </cell>
          <cell r="G74" t="str">
            <v>07</v>
          </cell>
          <cell r="H74" t="str">
            <v>06/01/2025</v>
          </cell>
          <cell r="J74" t="str">
            <v>23/01/2025</v>
          </cell>
          <cell r="K74" t="str">
            <v>BPU07</v>
          </cell>
          <cell r="L74" t="str">
            <v>Sapu</v>
          </cell>
          <cell r="M74" t="str">
            <v>Sapu</v>
          </cell>
          <cell r="N74">
            <v>60</v>
          </cell>
          <cell r="O74" t="str">
            <v>buah</v>
          </cell>
          <cell r="P74">
            <v>65000</v>
          </cell>
          <cell r="Q74">
            <v>3900000</v>
          </cell>
          <cell r="T74" t="str">
            <v>UD. JOSUA</v>
          </cell>
          <cell r="V74" t="str">
            <v>Gestiwan Bazikho</v>
          </cell>
          <cell r="W74" t="str">
            <v>081375309828</v>
          </cell>
          <cell r="X74" t="str">
            <v>Jl. Diponegoro Kel. Pasar Telukdalam - Nias Selatan</v>
          </cell>
        </row>
        <row r="75">
          <cell r="C75" t="str">
            <v>5.1.02.01.01.0030</v>
          </cell>
          <cell r="D75" t="str">
            <v>06. 05. 09.</v>
          </cell>
          <cell r="E75">
            <v>45661</v>
          </cell>
          <cell r="F75" t="str">
            <v>06/01/2025</v>
          </cell>
          <cell r="G75" t="str">
            <v>07</v>
          </cell>
          <cell r="H75" t="str">
            <v>06/01/2025</v>
          </cell>
          <cell r="J75" t="str">
            <v>23/01/2025</v>
          </cell>
          <cell r="K75" t="str">
            <v>BPU07</v>
          </cell>
          <cell r="L75" t="str">
            <v>Sapu Lidi</v>
          </cell>
          <cell r="M75" t="str">
            <v>Sapu Lidi</v>
          </cell>
          <cell r="N75">
            <v>15</v>
          </cell>
          <cell r="O75" t="str">
            <v>buah</v>
          </cell>
          <cell r="P75">
            <v>25000</v>
          </cell>
          <cell r="Q75">
            <v>375000</v>
          </cell>
          <cell r="T75" t="str">
            <v>UD. JOSUA</v>
          </cell>
          <cell r="V75" t="str">
            <v>Gestiwan Bazikho</v>
          </cell>
          <cell r="W75" t="str">
            <v>081375309828</v>
          </cell>
          <cell r="X75" t="str">
            <v>Jl. Diponegoro Kel. Pasar Telukdalam - Nias Selatan</v>
          </cell>
        </row>
        <row r="76">
          <cell r="C76" t="str">
            <v>5.1.02.01.01.0030</v>
          </cell>
          <cell r="D76" t="str">
            <v>06. 05. 09.</v>
          </cell>
          <cell r="E76">
            <v>45661</v>
          </cell>
          <cell r="F76" t="str">
            <v>06/01/2025</v>
          </cell>
          <cell r="G76" t="str">
            <v>07</v>
          </cell>
          <cell r="H76" t="str">
            <v>06/01/2025</v>
          </cell>
          <cell r="J76" t="str">
            <v>23/01/2025</v>
          </cell>
          <cell r="K76" t="str">
            <v>BPU07</v>
          </cell>
          <cell r="L76" t="str">
            <v>Sikat Pembersih</v>
          </cell>
          <cell r="M76" t="str">
            <v>Sikat Pembersih</v>
          </cell>
          <cell r="N76">
            <v>15</v>
          </cell>
          <cell r="O76" t="str">
            <v>buah</v>
          </cell>
          <cell r="P76">
            <v>60000</v>
          </cell>
          <cell r="Q76">
            <v>900000</v>
          </cell>
          <cell r="T76" t="str">
            <v>UD. JOSUA</v>
          </cell>
          <cell r="V76" t="str">
            <v>Gestiwan Bazikho</v>
          </cell>
          <cell r="W76" t="str">
            <v>081375309828</v>
          </cell>
          <cell r="X76" t="str">
            <v>Jl. Diponegoro Kel. Pasar Telukdalam - Nias Selatan</v>
          </cell>
        </row>
        <row r="77">
          <cell r="C77" t="str">
            <v>5.1.02.01.01.0030</v>
          </cell>
          <cell r="D77" t="str">
            <v>06. 05. 09.</v>
          </cell>
          <cell r="E77">
            <v>45661</v>
          </cell>
          <cell r="F77" t="str">
            <v>06/01/2025</v>
          </cell>
          <cell r="G77" t="str">
            <v>07</v>
          </cell>
          <cell r="H77" t="str">
            <v>06/01/2025</v>
          </cell>
          <cell r="J77" t="str">
            <v>23/01/2025</v>
          </cell>
          <cell r="K77" t="str">
            <v>BPU07</v>
          </cell>
          <cell r="L77" t="str">
            <v>Sikat WC Type : Gagang Panjang</v>
          </cell>
          <cell r="M77" t="str">
            <v>Sikat WC Type : Gagang Panjang</v>
          </cell>
          <cell r="N77">
            <v>15</v>
          </cell>
          <cell r="O77" t="str">
            <v>buah</v>
          </cell>
          <cell r="P77">
            <v>34000</v>
          </cell>
          <cell r="Q77">
            <v>510000</v>
          </cell>
          <cell r="T77" t="str">
            <v>UD. JOSUA</v>
          </cell>
          <cell r="V77" t="str">
            <v>Gestiwan Bazikho</v>
          </cell>
          <cell r="W77" t="str">
            <v>081375309828</v>
          </cell>
          <cell r="X77" t="str">
            <v>Jl. Diponegoro Kel. Pasar Telukdalam - Nias Selatan</v>
          </cell>
        </row>
        <row r="78">
          <cell r="C78" t="str">
            <v>5.1.02.01.01.0030</v>
          </cell>
          <cell r="D78" t="str">
            <v>06. 05. 09.</v>
          </cell>
          <cell r="E78">
            <v>45661</v>
          </cell>
          <cell r="F78" t="str">
            <v>06/01/2025</v>
          </cell>
          <cell r="G78" t="str">
            <v>07</v>
          </cell>
          <cell r="H78" t="str">
            <v>06/01/2025</v>
          </cell>
          <cell r="J78" t="str">
            <v>23/01/2025</v>
          </cell>
          <cell r="K78" t="str">
            <v>BPU07</v>
          </cell>
          <cell r="L78" t="str">
            <v>Alat Pel</v>
          </cell>
          <cell r="M78" t="str">
            <v>Alat Pel</v>
          </cell>
          <cell r="N78">
            <v>25</v>
          </cell>
          <cell r="O78" t="str">
            <v>buah</v>
          </cell>
          <cell r="P78">
            <v>35000</v>
          </cell>
          <cell r="Q78">
            <v>875000</v>
          </cell>
          <cell r="T78" t="str">
            <v>UD. JOSUA</v>
          </cell>
          <cell r="V78" t="str">
            <v>Gestiwan Bazikho</v>
          </cell>
          <cell r="W78" t="str">
            <v>081375309828</v>
          </cell>
          <cell r="X78" t="str">
            <v>Jl. Diponegoro Kel. Pasar Telukdalam - Nias Selatan</v>
          </cell>
        </row>
        <row r="79">
          <cell r="C79" t="str">
            <v>5.1.02.01.01.0030</v>
          </cell>
          <cell r="D79" t="str">
            <v>06. 05. 09.</v>
          </cell>
          <cell r="E79">
            <v>45661</v>
          </cell>
          <cell r="F79" t="str">
            <v>06/01/2025</v>
          </cell>
          <cell r="G79" t="str">
            <v>07</v>
          </cell>
          <cell r="H79" t="str">
            <v>06/01/2025</v>
          </cell>
          <cell r="J79" t="str">
            <v>23/01/2025</v>
          </cell>
          <cell r="K79" t="str">
            <v>BPU07</v>
          </cell>
          <cell r="L79" t="str">
            <v>Alat Pel lantai besar</v>
          </cell>
          <cell r="M79" t="str">
            <v>Alat Pel lantai besar</v>
          </cell>
          <cell r="N79">
            <v>5</v>
          </cell>
          <cell r="O79" t="str">
            <v>buah</v>
          </cell>
          <cell r="P79">
            <v>169000</v>
          </cell>
          <cell r="Q79">
            <v>845000</v>
          </cell>
          <cell r="T79" t="str">
            <v>UD. JOSUA</v>
          </cell>
          <cell r="V79" t="str">
            <v>Gestiwan Bazikho</v>
          </cell>
          <cell r="W79" t="str">
            <v>081375309828</v>
          </cell>
          <cell r="X79" t="str">
            <v>Jl. Diponegoro Kel. Pasar Telukdalam - Nias Selatan</v>
          </cell>
        </row>
        <row r="80">
          <cell r="C80" t="str">
            <v>5.1.02.01.01.0030</v>
          </cell>
          <cell r="D80" t="str">
            <v>06. 05. 09.</v>
          </cell>
          <cell r="E80">
            <v>45661</v>
          </cell>
          <cell r="F80" t="str">
            <v>06/01/2025</v>
          </cell>
          <cell r="G80" t="str">
            <v>07</v>
          </cell>
          <cell r="H80" t="str">
            <v>06/01/2025</v>
          </cell>
          <cell r="J80" t="str">
            <v>23/01/2025</v>
          </cell>
          <cell r="K80" t="str">
            <v>BPU07</v>
          </cell>
          <cell r="L80" t="str">
            <v>Serok Air Besar--</v>
          </cell>
          <cell r="M80" t="str">
            <v>Serok Air Besar--</v>
          </cell>
          <cell r="N80">
            <v>5</v>
          </cell>
          <cell r="O80" t="str">
            <v>buah</v>
          </cell>
          <cell r="P80">
            <v>40000</v>
          </cell>
          <cell r="Q80">
            <v>200000</v>
          </cell>
          <cell r="T80" t="str">
            <v>UD. JOSUA</v>
          </cell>
          <cell r="V80" t="str">
            <v>Gestiwan Bazikho</v>
          </cell>
          <cell r="W80" t="str">
            <v>081375309828</v>
          </cell>
          <cell r="X80" t="str">
            <v>Jl. Diponegoro Kel. Pasar Telukdalam - Nias Selatan</v>
          </cell>
        </row>
        <row r="81">
          <cell r="C81" t="str">
            <v>5.1.02.01.01.0030</v>
          </cell>
          <cell r="D81" t="str">
            <v>06. 05. 09.</v>
          </cell>
          <cell r="E81">
            <v>45661</v>
          </cell>
          <cell r="F81" t="str">
            <v>06/01/2025</v>
          </cell>
          <cell r="G81" t="str">
            <v>07</v>
          </cell>
          <cell r="H81" t="str">
            <v>06/01/2025</v>
          </cell>
          <cell r="J81" t="str">
            <v>23/01/2025</v>
          </cell>
          <cell r="K81" t="str">
            <v>BPU07</v>
          </cell>
          <cell r="L81" t="str">
            <v>Kain Lap  Bahan : Katun bermotif kotak-kotak</v>
          </cell>
          <cell r="M81" t="str">
            <v>Kain Lap  Bahan : Katun bermotif kotak-kotak</v>
          </cell>
          <cell r="N81">
            <v>10</v>
          </cell>
          <cell r="O81" t="str">
            <v>lusin</v>
          </cell>
          <cell r="P81">
            <v>75000</v>
          </cell>
          <cell r="Q81">
            <v>750000</v>
          </cell>
          <cell r="T81" t="str">
            <v>UD. JOSUA</v>
          </cell>
          <cell r="V81" t="str">
            <v>Gestiwan Bazikho</v>
          </cell>
          <cell r="W81" t="str">
            <v>081375309828</v>
          </cell>
          <cell r="X81" t="str">
            <v>Jl. Diponegoro Kel. Pasar Telukdalam - Nias Selatan</v>
          </cell>
        </row>
        <row r="82">
          <cell r="C82" t="str">
            <v>5.1.02.01.01.0030</v>
          </cell>
          <cell r="D82" t="str">
            <v>06. 05. 09.</v>
          </cell>
          <cell r="E82">
            <v>45661</v>
          </cell>
          <cell r="F82" t="str">
            <v>06/01/2025</v>
          </cell>
          <cell r="G82" t="str">
            <v>07</v>
          </cell>
          <cell r="H82" t="str">
            <v>06/01/2025</v>
          </cell>
          <cell r="J82" t="str">
            <v>23/01/2025</v>
          </cell>
          <cell r="K82" t="str">
            <v>BPU07</v>
          </cell>
          <cell r="L82" t="str">
            <v>Serok Sampah--</v>
          </cell>
          <cell r="M82" t="str">
            <v>Serok Sampah--</v>
          </cell>
          <cell r="N82">
            <v>15</v>
          </cell>
          <cell r="O82" t="str">
            <v>buah</v>
          </cell>
          <cell r="P82">
            <v>25000</v>
          </cell>
          <cell r="Q82">
            <v>375000</v>
          </cell>
          <cell r="T82" t="str">
            <v>UD. JOSUA</v>
          </cell>
          <cell r="V82" t="str">
            <v>Gestiwan Bazikho</v>
          </cell>
          <cell r="W82" t="str">
            <v>081375309828</v>
          </cell>
          <cell r="X82" t="str">
            <v>Jl. Diponegoro Kel. Pasar Telukdalam - Nias Selatan</v>
          </cell>
        </row>
        <row r="83">
          <cell r="C83" t="str">
            <v>5.1.02.01.01.0030</v>
          </cell>
          <cell r="D83" t="str">
            <v>06. 05. 09.</v>
          </cell>
          <cell r="E83">
            <v>45661</v>
          </cell>
          <cell r="F83" t="str">
            <v>06/01/2025</v>
          </cell>
          <cell r="G83" t="str">
            <v>07</v>
          </cell>
          <cell r="H83" t="str">
            <v>06/01/2025</v>
          </cell>
          <cell r="J83" t="str">
            <v>23/01/2025</v>
          </cell>
          <cell r="K83" t="str">
            <v>BPU07</v>
          </cell>
          <cell r="L83" t="str">
            <v>Tempat sampah</v>
          </cell>
          <cell r="M83" t="str">
            <v>Tempat sampah</v>
          </cell>
          <cell r="N83">
            <v>35</v>
          </cell>
          <cell r="O83" t="str">
            <v>buah</v>
          </cell>
          <cell r="P83">
            <v>20000</v>
          </cell>
          <cell r="Q83">
            <v>700000</v>
          </cell>
          <cell r="T83" t="str">
            <v>UD. JOSUA</v>
          </cell>
          <cell r="V83" t="str">
            <v>Gestiwan Bazikho</v>
          </cell>
          <cell r="W83" t="str">
            <v>081375309828</v>
          </cell>
          <cell r="X83" t="str">
            <v>Jl. Diponegoro Kel. Pasar Telukdalam - Nias Selatan</v>
          </cell>
        </row>
        <row r="84">
          <cell r="C84" t="str">
            <v>5.1.02.01.01.0030</v>
          </cell>
          <cell r="D84" t="str">
            <v>06. 05. 09.</v>
          </cell>
          <cell r="E84">
            <v>45661</v>
          </cell>
          <cell r="F84" t="str">
            <v>06/01/2025</v>
          </cell>
          <cell r="G84" t="str">
            <v>07</v>
          </cell>
          <cell r="H84" t="str">
            <v>06/01/2025</v>
          </cell>
          <cell r="J84" t="str">
            <v>23/01/2025</v>
          </cell>
          <cell r="K84" t="str">
            <v>BPU07</v>
          </cell>
          <cell r="L84" t="str">
            <v>Gayung</v>
          </cell>
          <cell r="M84" t="str">
            <v>Gayung</v>
          </cell>
          <cell r="N84">
            <v>10</v>
          </cell>
          <cell r="O84" t="str">
            <v>buah</v>
          </cell>
          <cell r="P84">
            <v>34500</v>
          </cell>
          <cell r="Q84">
            <v>345000</v>
          </cell>
          <cell r="T84" t="str">
            <v>UD. JOSUA</v>
          </cell>
          <cell r="V84" t="str">
            <v>Gestiwan Bazikho</v>
          </cell>
          <cell r="W84" t="str">
            <v>081375309828</v>
          </cell>
          <cell r="X84" t="str">
            <v>Jl. Diponegoro Kel. Pasar Telukdalam - Nias Selatan</v>
          </cell>
        </row>
        <row r="85">
          <cell r="C85" t="str">
            <v>5.1.02.01.01.0030</v>
          </cell>
          <cell r="D85" t="str">
            <v>06. 05. 09.</v>
          </cell>
          <cell r="E85">
            <v>45661</v>
          </cell>
          <cell r="F85" t="str">
            <v>06/01/2025</v>
          </cell>
          <cell r="G85" t="str">
            <v>07</v>
          </cell>
          <cell r="H85" t="str">
            <v>06/01/2025</v>
          </cell>
          <cell r="J85" t="str">
            <v>23/01/2025</v>
          </cell>
          <cell r="K85" t="str">
            <v>BPU07</v>
          </cell>
          <cell r="L85" t="str">
            <v>Tisu--</v>
          </cell>
          <cell r="M85" t="str">
            <v>Tisu--</v>
          </cell>
          <cell r="N85">
            <v>12</v>
          </cell>
          <cell r="O85" t="str">
            <v>buah</v>
          </cell>
          <cell r="P85">
            <v>12500</v>
          </cell>
          <cell r="Q85">
            <v>150000</v>
          </cell>
          <cell r="T85" t="str">
            <v>UD. JOSUA</v>
          </cell>
          <cell r="V85" t="str">
            <v>Gestiwan Bazikho</v>
          </cell>
          <cell r="W85" t="str">
            <v>081375309828</v>
          </cell>
          <cell r="X85" t="str">
            <v>Jl. Diponegoro Kel. Pasar Telukdalam - Nias Selatan</v>
          </cell>
        </row>
        <row r="86">
          <cell r="C86" t="str">
            <v>5.1.02.01.01.0030</v>
          </cell>
          <cell r="D86" t="str">
            <v>06. 05. 09.</v>
          </cell>
          <cell r="E86">
            <v>45661</v>
          </cell>
          <cell r="F86" t="str">
            <v>06/01/2025</v>
          </cell>
          <cell r="G86" t="str">
            <v>07</v>
          </cell>
          <cell r="H86" t="str">
            <v>06/01/2025</v>
          </cell>
          <cell r="J86" t="str">
            <v>23/01/2025</v>
          </cell>
          <cell r="K86" t="str">
            <v>BPU07</v>
          </cell>
          <cell r="L86" t="str">
            <v>vixal 500ml</v>
          </cell>
          <cell r="M86" t="str">
            <v>vixal 500ml</v>
          </cell>
          <cell r="N86">
            <v>10</v>
          </cell>
          <cell r="O86" t="str">
            <v>botol</v>
          </cell>
          <cell r="P86">
            <v>30000</v>
          </cell>
          <cell r="Q86">
            <v>300000</v>
          </cell>
          <cell r="T86" t="str">
            <v>UD. JOSUA</v>
          </cell>
          <cell r="V86" t="str">
            <v>Gestiwan Bazikho</v>
          </cell>
          <cell r="W86" t="str">
            <v>081375309828</v>
          </cell>
          <cell r="X86" t="str">
            <v>Jl. Diponegoro Kel. Pasar Telukdalam - Nias Selatan</v>
          </cell>
        </row>
        <row r="87">
          <cell r="C87" t="str">
            <v>5.1.02.01.01.0030</v>
          </cell>
          <cell r="D87" t="str">
            <v>06. 05. 09.</v>
          </cell>
          <cell r="E87">
            <v>45661</v>
          </cell>
          <cell r="F87" t="str">
            <v>06/01/2025</v>
          </cell>
          <cell r="G87" t="str">
            <v>07</v>
          </cell>
          <cell r="H87" t="str">
            <v>06/01/2025</v>
          </cell>
          <cell r="J87" t="str">
            <v>23/01/2025</v>
          </cell>
          <cell r="K87" t="str">
            <v>BPU07</v>
          </cell>
          <cell r="L87" t="str">
            <v>Perlengkapan Kebersihan Pembersih Lantai Super Pel Varian 800ml</v>
          </cell>
          <cell r="N87">
            <v>15</v>
          </cell>
          <cell r="O87" t="str">
            <v>buah</v>
          </cell>
          <cell r="P87">
            <v>13500</v>
          </cell>
          <cell r="Q87">
            <v>202500</v>
          </cell>
          <cell r="T87" t="str">
            <v>UD. JOSUA</v>
          </cell>
          <cell r="V87" t="str">
            <v>Gestiwan Bazikho</v>
          </cell>
          <cell r="W87" t="str">
            <v>081375309828</v>
          </cell>
          <cell r="X87" t="str">
            <v>Jl. Diponegoro Kel. Pasar Telukdalam - Nias Selatan</v>
          </cell>
        </row>
        <row r="88">
          <cell r="C88" t="str">
            <v>5.1.02.01.01.0030</v>
          </cell>
          <cell r="D88" t="str">
            <v>06. 05. 09.</v>
          </cell>
          <cell r="E88">
            <v>45661</v>
          </cell>
          <cell r="F88" t="str">
            <v>06/01/2025</v>
          </cell>
          <cell r="G88" t="str">
            <v>07</v>
          </cell>
          <cell r="H88" t="str">
            <v>06/01/2025</v>
          </cell>
          <cell r="J88" t="str">
            <v>23/01/2025</v>
          </cell>
          <cell r="K88" t="str">
            <v>BPU07</v>
          </cell>
          <cell r="L88" t="str">
            <v>Cairan Pembersih Kaca</v>
          </cell>
          <cell r="N88">
            <v>5</v>
          </cell>
          <cell r="O88" t="str">
            <v>buah</v>
          </cell>
          <cell r="P88">
            <v>12000</v>
          </cell>
          <cell r="Q88">
            <v>60000</v>
          </cell>
          <cell r="T88" t="str">
            <v>UD. JOSUA</v>
          </cell>
          <cell r="V88" t="str">
            <v>Gestiwan Bazikho</v>
          </cell>
          <cell r="W88" t="str">
            <v>081375309828</v>
          </cell>
          <cell r="X88" t="str">
            <v>Jl. Diponegoro Kel. Pasar Telukdalam - Nias Selatan</v>
          </cell>
        </row>
        <row r="89">
          <cell r="C89" t="str">
            <v>5.1.02.01.01.0030</v>
          </cell>
          <cell r="D89" t="str">
            <v>06. 05. 09.</v>
          </cell>
          <cell r="E89">
            <v>45661</v>
          </cell>
          <cell r="F89" t="str">
            <v>06/01/2025</v>
          </cell>
          <cell r="G89" t="str">
            <v>07</v>
          </cell>
          <cell r="H89" t="str">
            <v>06/01/2025</v>
          </cell>
          <cell r="J89" t="str">
            <v>23/01/2025</v>
          </cell>
          <cell r="K89" t="str">
            <v>BPU07</v>
          </cell>
          <cell r="L89" t="str">
            <v>Perlengkapan Kebersihan Pembersih Pakaian Sunlight Refil 800ml</v>
          </cell>
          <cell r="N89">
            <v>3</v>
          </cell>
          <cell r="O89" t="str">
            <v>buah</v>
          </cell>
          <cell r="P89">
            <v>15000</v>
          </cell>
          <cell r="Q89">
            <v>45000</v>
          </cell>
          <cell r="T89" t="str">
            <v>UD. JOSUA</v>
          </cell>
          <cell r="V89" t="str">
            <v>Gestiwan Bazikho</v>
          </cell>
          <cell r="W89" t="str">
            <v>081375309828</v>
          </cell>
          <cell r="X89" t="str">
            <v>Jl. Diponegoro Kel. Pasar Telukdalam - Nias Selatan</v>
          </cell>
        </row>
        <row r="90">
          <cell r="C90" t="str">
            <v>5.1.02.01.01.0030</v>
          </cell>
          <cell r="D90" t="str">
            <v>06. 05. 09.</v>
          </cell>
          <cell r="E90">
            <v>45661</v>
          </cell>
          <cell r="F90" t="str">
            <v>06/01/2025</v>
          </cell>
          <cell r="G90" t="str">
            <v>07</v>
          </cell>
          <cell r="H90" t="str">
            <v>06/01/2025</v>
          </cell>
          <cell r="J90" t="str">
            <v>23/01/2025</v>
          </cell>
          <cell r="K90" t="str">
            <v>BPU07</v>
          </cell>
          <cell r="L90" t="str">
            <v>Spon Cuci</v>
          </cell>
          <cell r="N90">
            <v>5</v>
          </cell>
          <cell r="O90" t="str">
            <v>buah</v>
          </cell>
          <cell r="P90">
            <v>12000</v>
          </cell>
          <cell r="Q90">
            <v>60000</v>
          </cell>
          <cell r="T90" t="str">
            <v>UD. JOSUA</v>
          </cell>
          <cell r="V90" t="str">
            <v>Gestiwan Bazikho</v>
          </cell>
          <cell r="W90" t="str">
            <v>081375309828</v>
          </cell>
          <cell r="X90" t="str">
            <v>Jl. Diponegoro Kel. Pasar Telukdalam - Nias Selatan</v>
          </cell>
        </row>
        <row r="91">
          <cell r="C91" t="str">
            <v>5.1.02.01.01.0030</v>
          </cell>
          <cell r="D91" t="str">
            <v>06. 05. 09.</v>
          </cell>
          <cell r="E91">
            <v>45661</v>
          </cell>
          <cell r="F91" t="str">
            <v>06/01/2025</v>
          </cell>
          <cell r="G91" t="str">
            <v>07</v>
          </cell>
          <cell r="H91" t="str">
            <v>06/01/2025</v>
          </cell>
          <cell r="J91" t="str">
            <v>23/01/2025</v>
          </cell>
          <cell r="K91" t="str">
            <v>BPU07</v>
          </cell>
          <cell r="L91" t="str">
            <v>Handsoap/Pencuci Tangan</v>
          </cell>
          <cell r="N91">
            <v>5</v>
          </cell>
          <cell r="O91" t="str">
            <v>botol</v>
          </cell>
          <cell r="P91">
            <v>67000</v>
          </cell>
          <cell r="Q91">
            <v>335000</v>
          </cell>
          <cell r="T91" t="str">
            <v>UD. JOSUA</v>
          </cell>
          <cell r="V91" t="str">
            <v>Gestiwan Bazikho</v>
          </cell>
          <cell r="W91" t="str">
            <v>081375309828</v>
          </cell>
          <cell r="X91" t="str">
            <v>Jl. Diponegoro Kel. Pasar Telukdalam - Nias Selatan</v>
          </cell>
        </row>
        <row r="92">
          <cell r="C92" t="str">
            <v>5.1.02.01.01.0030</v>
          </cell>
          <cell r="D92" t="str">
            <v>06. 05. 09.</v>
          </cell>
          <cell r="E92">
            <v>45661</v>
          </cell>
          <cell r="F92" t="str">
            <v>06/01/2025</v>
          </cell>
          <cell r="G92" t="str">
            <v>07</v>
          </cell>
          <cell r="H92" t="str">
            <v>06/01/2025</v>
          </cell>
          <cell r="J92" t="str">
            <v>23/01/2025</v>
          </cell>
          <cell r="K92" t="str">
            <v>BPU07</v>
          </cell>
          <cell r="L92" t="str">
            <v>Pengharum Ruangan</v>
          </cell>
          <cell r="N92">
            <v>10</v>
          </cell>
          <cell r="O92" t="str">
            <v>buah</v>
          </cell>
          <cell r="P92">
            <v>12100</v>
          </cell>
          <cell r="Q92">
            <v>121000</v>
          </cell>
          <cell r="T92" t="str">
            <v>UD. JOSUA</v>
          </cell>
          <cell r="V92" t="str">
            <v>Gestiwan Bazikho</v>
          </cell>
          <cell r="W92" t="str">
            <v>081375309828</v>
          </cell>
          <cell r="X92" t="str">
            <v>Jl. Diponegoro Kel. Pasar Telukdalam - Nias Selatan</v>
          </cell>
        </row>
        <row r="93">
          <cell r="C93" t="str">
            <v>5.1.02.01.01.0030</v>
          </cell>
          <cell r="D93" t="str">
            <v>06. 05. 09.</v>
          </cell>
          <cell r="E93">
            <v>45661</v>
          </cell>
          <cell r="F93" t="str">
            <v>06/01/2025</v>
          </cell>
          <cell r="G93" t="str">
            <v>07</v>
          </cell>
          <cell r="H93" t="str">
            <v>06/01/2025</v>
          </cell>
          <cell r="J93" t="str">
            <v>23/01/2025</v>
          </cell>
          <cell r="K93" t="str">
            <v>BPU07</v>
          </cell>
          <cell r="L93" t="str">
            <v>Hand Sanitizer-Unit</v>
          </cell>
          <cell r="N93">
            <v>5</v>
          </cell>
          <cell r="O93" t="str">
            <v>unit</v>
          </cell>
          <cell r="P93">
            <v>70000</v>
          </cell>
          <cell r="Q93">
            <v>350000</v>
          </cell>
          <cell r="T93" t="str">
            <v>UD. JOSUA</v>
          </cell>
          <cell r="V93" t="str">
            <v>Gestiwan Bazikho</v>
          </cell>
          <cell r="W93" t="str">
            <v>081375309828</v>
          </cell>
          <cell r="X93" t="str">
            <v>Jl. Diponegoro Kel. Pasar Telukdalam - Nias Selatan</v>
          </cell>
        </row>
        <row r="94">
          <cell r="C94" t="str">
            <v>5.1.02.01.01.0052</v>
          </cell>
          <cell r="D94" t="str">
            <v>02. 03. 01.</v>
          </cell>
          <cell r="E94">
            <v>45663</v>
          </cell>
          <cell r="F94" t="str">
            <v>07/01/2025</v>
          </cell>
          <cell r="G94" t="str">
            <v>08</v>
          </cell>
          <cell r="H94" t="str">
            <v>08/01/2025</v>
          </cell>
          <cell r="J94" t="str">
            <v>23/01/2025</v>
          </cell>
          <cell r="K94" t="str">
            <v>BPU08</v>
          </cell>
          <cell r="L94" t="str">
            <v>Kudapan pada Kegiatan Rapat  penyusunan program kurikulum Semester Ganjil/Genap TP 2024/2025</v>
          </cell>
          <cell r="M94" t="str">
            <v>Kue Besar</v>
          </cell>
          <cell r="N94">
            <v>60</v>
          </cell>
          <cell r="O94" t="str">
            <v>kotak</v>
          </cell>
          <cell r="P94">
            <v>15000</v>
          </cell>
          <cell r="Q94">
            <v>900000</v>
          </cell>
          <cell r="T94" t="str">
            <v>Rumah Roti Helena</v>
          </cell>
          <cell r="V94" t="str">
            <v>Fudi Supiyanto</v>
          </cell>
          <cell r="W94" t="str">
            <v>082164895397</v>
          </cell>
          <cell r="X94" t="str">
            <v>Jln Ahmad Yani No.89 Kel. Pasar Telukdalam, Nias Selatan</v>
          </cell>
        </row>
        <row r="95">
          <cell r="C95" t="str">
            <v>5.1.02.01.01.0052</v>
          </cell>
          <cell r="D95" t="str">
            <v>02. 03. 01.</v>
          </cell>
          <cell r="E95">
            <v>45663</v>
          </cell>
          <cell r="F95" t="str">
            <v>07/01/2025</v>
          </cell>
          <cell r="G95" t="str">
            <v>09</v>
          </cell>
          <cell r="H95" t="str">
            <v>08/01/2025</v>
          </cell>
          <cell r="J95" t="str">
            <v>23/01/2025</v>
          </cell>
          <cell r="K95" t="str">
            <v>BPU09</v>
          </cell>
          <cell r="L95" t="str">
            <v>Konsumsi pada Kegiatan Rapat  penyusunan program kurikulum Semester Ganjil/Genap TP 2024/2025</v>
          </cell>
          <cell r="M95" t="str">
            <v>Nasi Kotak</v>
          </cell>
          <cell r="N95">
            <v>60</v>
          </cell>
          <cell r="O95" t="str">
            <v>kotak</v>
          </cell>
          <cell r="P95">
            <v>40000</v>
          </cell>
          <cell r="Q95">
            <v>2400000</v>
          </cell>
          <cell r="T95" t="str">
            <v>Resto JFC Esther</v>
          </cell>
          <cell r="V95" t="str">
            <v>Limaati Daeli</v>
          </cell>
          <cell r="W95" t="str">
            <v>085297578868</v>
          </cell>
          <cell r="X95" t="str">
            <v>Jl. Saonigeho Km. 2 Telukdalam - Nias Selatan</v>
          </cell>
        </row>
        <row r="96">
          <cell r="C96" t="str">
            <v>5.1.02.04.01.0001</v>
          </cell>
          <cell r="D96" t="str">
            <v>06. 05. 02.</v>
          </cell>
          <cell r="E96" t="str">
            <v>06/01/2025</v>
          </cell>
          <cell r="F96" t="str">
            <v>08/01/2025</v>
          </cell>
          <cell r="G96">
            <v>10</v>
          </cell>
          <cell r="H96" t="str">
            <v>09/01/2025</v>
          </cell>
          <cell r="J96" t="str">
            <v>23/01/2025</v>
          </cell>
          <cell r="K96" t="str">
            <v>BPU10</v>
          </cell>
          <cell r="L96" t="str">
            <v>Satuan Biaya Transportasi Udara Dalam Wilayah Provinsi ke Kabupaten/Kota se Sumatera Utara (Kabupaten/Kota Yang Sudah Ada Fasilitas Bandar Udara) - Medan -Gunung Sitoli ( Bandara Binaka )-NaN</v>
          </cell>
          <cell r="N96">
            <v>2</v>
          </cell>
          <cell r="O96" t="str">
            <v>orang / kali</v>
          </cell>
          <cell r="P96">
            <v>1865000</v>
          </cell>
          <cell r="Q96">
            <v>3730000</v>
          </cell>
          <cell r="T96" t="str">
            <v>NR. Simanullang</v>
          </cell>
          <cell r="V96" t="e">
            <v>#N/A</v>
          </cell>
          <cell r="W96" t="e">
            <v>#N/A</v>
          </cell>
          <cell r="X96" t="e">
            <v>#N/A</v>
          </cell>
        </row>
        <row r="97">
          <cell r="C97" t="str">
            <v>5.1.02.04.01.0001</v>
          </cell>
          <cell r="D97" t="str">
            <v>06. 05. 02.</v>
          </cell>
          <cell r="E97" t="str">
            <v>06/01/2025</v>
          </cell>
          <cell r="F97" t="str">
            <v>08/01/2025</v>
          </cell>
          <cell r="G97">
            <v>10</v>
          </cell>
          <cell r="H97" t="str">
            <v>09/01/2025</v>
          </cell>
          <cell r="J97" t="str">
            <v>23/01/2025</v>
          </cell>
          <cell r="K97" t="str">
            <v>BPU10</v>
          </cell>
          <cell r="L97" t="str">
            <v>Uang Harian Perjalanan Dinas Dalam Negeri Luar Kota - Provinsi Sumatera Utara--</v>
          </cell>
          <cell r="N97">
            <v>3</v>
          </cell>
          <cell r="O97" t="str">
            <v>orang / hari</v>
          </cell>
          <cell r="P97">
            <v>350000</v>
          </cell>
          <cell r="Q97">
            <v>1050000</v>
          </cell>
          <cell r="T97" t="str">
            <v>NR. Simanullang</v>
          </cell>
          <cell r="V97" t="e">
            <v>#N/A</v>
          </cell>
          <cell r="W97" t="e">
            <v>#N/A</v>
          </cell>
          <cell r="X97" t="e">
            <v>#N/A</v>
          </cell>
        </row>
        <row r="98">
          <cell r="C98" t="str">
            <v>5.1.02.04.01.0001</v>
          </cell>
          <cell r="D98" t="str">
            <v>06. 05. 02.</v>
          </cell>
          <cell r="E98" t="str">
            <v>06/01/2025</v>
          </cell>
          <cell r="F98" t="str">
            <v>08/01/2025</v>
          </cell>
          <cell r="G98">
            <v>10</v>
          </cell>
          <cell r="H98" t="str">
            <v>09/01/2025</v>
          </cell>
          <cell r="J98" t="str">
            <v>23/01/2025</v>
          </cell>
          <cell r="K98" t="str">
            <v>BPU10</v>
          </cell>
          <cell r="L98" t="str">
            <v>Satuan Penginapan Perjalanan Dinas Dalam Negeri Golongan I/II - Provinsi Sumatera Utara--</v>
          </cell>
          <cell r="N98">
            <v>2</v>
          </cell>
          <cell r="O98" t="str">
            <v>orang / hari</v>
          </cell>
          <cell r="P98">
            <v>500000</v>
          </cell>
          <cell r="Q98">
            <v>1000000</v>
          </cell>
          <cell r="T98" t="str">
            <v>NR. Simanullang</v>
          </cell>
          <cell r="V98" t="e">
            <v>#N/A</v>
          </cell>
          <cell r="W98" t="e">
            <v>#N/A</v>
          </cell>
          <cell r="X98" t="e">
            <v>#N/A</v>
          </cell>
        </row>
        <row r="99">
          <cell r="C99" t="str">
            <v>5.1.02.02.01.0035</v>
          </cell>
          <cell r="D99" t="str">
            <v>05. 08. 10.</v>
          </cell>
          <cell r="E99">
            <v>45665</v>
          </cell>
          <cell r="F99" t="str">
            <v>09/01/2025</v>
          </cell>
          <cell r="G99">
            <v>11</v>
          </cell>
          <cell r="H99" t="str">
            <v>09/01/2025</v>
          </cell>
          <cell r="J99" t="str">
            <v>23/01/2025</v>
          </cell>
          <cell r="K99" t="str">
            <v>BPU11</v>
          </cell>
          <cell r="L99" t="str">
            <v>Jasa Perbaikan dan Pemeliharaan Listrik Sekolah</v>
          </cell>
          <cell r="N99">
            <v>1</v>
          </cell>
          <cell r="O99" t="str">
            <v>kegiatan</v>
          </cell>
          <cell r="P99">
            <v>2250000</v>
          </cell>
          <cell r="Q99">
            <v>2250000</v>
          </cell>
          <cell r="T99" t="str">
            <v>Zefrianus Zai</v>
          </cell>
          <cell r="V99" t="e">
            <v>#N/A</v>
          </cell>
          <cell r="W99" t="e">
            <v>#N/A</v>
          </cell>
          <cell r="X99" t="e">
            <v>#N/A</v>
          </cell>
        </row>
        <row r="100">
          <cell r="C100" t="str">
            <v>5.1.02.01.01.0052</v>
          </cell>
          <cell r="D100" t="str">
            <v>04. 06. 13.</v>
          </cell>
          <cell r="E100">
            <v>45666</v>
          </cell>
          <cell r="F100" t="str">
            <v>10/01/2025</v>
          </cell>
          <cell r="G100">
            <v>12</v>
          </cell>
          <cell r="H100" t="str">
            <v>11/01/2025</v>
          </cell>
          <cell r="J100" t="str">
            <v>23/01/2025</v>
          </cell>
          <cell r="K100" t="str">
            <v>BPU12</v>
          </cell>
          <cell r="L100" t="str">
            <v>Kudapan pada Kegiatan Pelatihan Peningkatan Kompetensi Guru untuk memperkuat numerasi</v>
          </cell>
          <cell r="M100" t="str">
            <v>Kue Besar</v>
          </cell>
          <cell r="N100">
            <v>60</v>
          </cell>
          <cell r="O100" t="str">
            <v>kotak</v>
          </cell>
          <cell r="P100">
            <v>15000</v>
          </cell>
          <cell r="Q100">
            <v>900000</v>
          </cell>
          <cell r="T100" t="str">
            <v>Rumah Roti Helena</v>
          </cell>
          <cell r="V100" t="str">
            <v>Fudi Supiyanto</v>
          </cell>
          <cell r="W100" t="str">
            <v>082164895397</v>
          </cell>
          <cell r="X100" t="str">
            <v>Jln Ahmad Yani No.89 Kel. Pasar Telukdalam, Nias Selatan</v>
          </cell>
        </row>
        <row r="101">
          <cell r="C101" t="str">
            <v>5.1.02.01.01.0052</v>
          </cell>
          <cell r="D101" t="str">
            <v>04. 06. 13.</v>
          </cell>
          <cell r="E101">
            <v>45666</v>
          </cell>
          <cell r="F101" t="str">
            <v>10/01/2025</v>
          </cell>
          <cell r="G101">
            <v>13</v>
          </cell>
          <cell r="H101" t="str">
            <v>11/01/2025</v>
          </cell>
          <cell r="J101" t="str">
            <v>23/01/2025</v>
          </cell>
          <cell r="K101" t="str">
            <v>BPU13</v>
          </cell>
          <cell r="L101" t="str">
            <v>Konsumsi pada Kegiatan Pelatihan Peningkatan Kompetensi Guru untuk memperkuat numerasi</v>
          </cell>
          <cell r="M101" t="str">
            <v>Nasi Kotak</v>
          </cell>
          <cell r="N101">
            <v>60</v>
          </cell>
          <cell r="O101" t="str">
            <v>kotak</v>
          </cell>
          <cell r="P101">
            <v>40000</v>
          </cell>
          <cell r="Q101">
            <v>2400000</v>
          </cell>
          <cell r="T101" t="str">
            <v>Resto JFC Esther</v>
          </cell>
          <cell r="V101" t="str">
            <v>Limaati Daeli</v>
          </cell>
          <cell r="W101" t="str">
            <v>085297578868</v>
          </cell>
          <cell r="X101" t="str">
            <v>Jl. Saonigeho Km. 2 Telukdalam - Nias Selatan</v>
          </cell>
        </row>
        <row r="102">
          <cell r="C102" t="str">
            <v>5.1.02.01.01.0052</v>
          </cell>
          <cell r="D102" t="str">
            <v>02.06.01.</v>
          </cell>
          <cell r="E102" t="str">
            <v>11/01/2025</v>
          </cell>
          <cell r="F102" t="str">
            <v>13/01/2025</v>
          </cell>
          <cell r="G102">
            <v>14</v>
          </cell>
          <cell r="H102" t="str">
            <v>14/01/2025</v>
          </cell>
          <cell r="J102" t="str">
            <v>23/01/2025</v>
          </cell>
          <cell r="K102" t="str">
            <v>BPU14</v>
          </cell>
          <cell r="L102" t="str">
            <v>Kudapan pada Kegiatan diskusi kolaborasi pengembangan RPP dalam Komunitas Belajar (termasuk KKG/MGMP/MGMPS/MGPMPK)</v>
          </cell>
          <cell r="M102" t="str">
            <v>Kue Besar</v>
          </cell>
          <cell r="N102">
            <v>120</v>
          </cell>
          <cell r="O102" t="str">
            <v>kotak</v>
          </cell>
          <cell r="P102">
            <v>15000</v>
          </cell>
          <cell r="Q102">
            <v>1800000</v>
          </cell>
          <cell r="T102" t="str">
            <v>Rumah Roti Helena</v>
          </cell>
          <cell r="V102" t="str">
            <v>Fudi Supiyanto</v>
          </cell>
          <cell r="W102" t="str">
            <v>082164895397</v>
          </cell>
          <cell r="X102" t="str">
            <v>Jln Ahmad Yani No.89 Kel. Pasar Telukdalam, Nias Selatan</v>
          </cell>
        </row>
        <row r="103">
          <cell r="C103" t="str">
            <v>5.1.02.01.01.0052</v>
          </cell>
          <cell r="D103" t="str">
            <v>02.06.01.</v>
          </cell>
          <cell r="E103" t="str">
            <v>11/01/2025</v>
          </cell>
          <cell r="F103" t="str">
            <v>13/01/2025</v>
          </cell>
          <cell r="G103">
            <v>15</v>
          </cell>
          <cell r="H103" t="str">
            <v>14/01/2025</v>
          </cell>
          <cell r="J103" t="str">
            <v>23/01/2025</v>
          </cell>
          <cell r="K103" t="str">
            <v>BPU15</v>
          </cell>
          <cell r="L103" t="str">
            <v>Konsumsi Kegiatan diskusi kolaborasi pengembangan RPP dalam Komunitas Belajar (termasuk KKG/MGMP/MGMPS/MGPMPK)</v>
          </cell>
          <cell r="M103" t="str">
            <v>Nasi Kotak</v>
          </cell>
          <cell r="N103">
            <v>60</v>
          </cell>
          <cell r="O103" t="str">
            <v>kotak</v>
          </cell>
          <cell r="P103">
            <v>40000</v>
          </cell>
          <cell r="Q103">
            <v>2400000</v>
          </cell>
          <cell r="T103" t="str">
            <v>Resto JFC Esther</v>
          </cell>
          <cell r="V103" t="str">
            <v>Limaati Daeli</v>
          </cell>
          <cell r="W103" t="str">
            <v>085297578868</v>
          </cell>
          <cell r="X103" t="str">
            <v>Jl. Saonigeho Km. 2 Telukdalam - Nias Selatan</v>
          </cell>
        </row>
        <row r="104">
          <cell r="C104" t="str">
            <v>5.1.02.01.01.0026</v>
          </cell>
          <cell r="D104" t="str">
            <v>03. 03. 21.</v>
          </cell>
          <cell r="E104">
            <v>45673</v>
          </cell>
          <cell r="F104" t="str">
            <v>17/01/2025</v>
          </cell>
          <cell r="G104">
            <v>16</v>
          </cell>
          <cell r="H104" t="str">
            <v>18/01/2025</v>
          </cell>
          <cell r="J104" t="str">
            <v>23/01/2025</v>
          </cell>
          <cell r="K104" t="str">
            <v>BPU16</v>
          </cell>
          <cell r="L104" t="str">
            <v>Spanduk Uk. 1 x 6 meter-</v>
          </cell>
          <cell r="M104" t="str">
            <v>Spanduk Uk. 1 x 6 meter-</v>
          </cell>
          <cell r="N104">
            <v>2</v>
          </cell>
          <cell r="O104" t="str">
            <v>buah</v>
          </cell>
          <cell r="P104">
            <v>300000</v>
          </cell>
          <cell r="Q104">
            <v>600000</v>
          </cell>
          <cell r="T104" t="str">
            <v>Ud. BALIZATO</v>
          </cell>
          <cell r="V104" t="str">
            <v>Pieter B.P. Loi</v>
          </cell>
          <cell r="W104" t="str">
            <v>082166506229</v>
          </cell>
          <cell r="X104" t="str">
            <v>Jl. Diponegoro Kel. Pasar Telukdalam - Nias Selatan</v>
          </cell>
        </row>
        <row r="105">
          <cell r="C105" t="str">
            <v>5.1.02.01.01.0052</v>
          </cell>
          <cell r="D105" t="str">
            <v>03. 03. 21.</v>
          </cell>
          <cell r="E105">
            <v>45673</v>
          </cell>
          <cell r="F105" t="str">
            <v>17/01/2025</v>
          </cell>
          <cell r="G105">
            <v>17</v>
          </cell>
          <cell r="H105" t="str">
            <v>18/01/2025</v>
          </cell>
          <cell r="J105" t="str">
            <v>23/01/2025</v>
          </cell>
          <cell r="K105" t="str">
            <v>BPU17</v>
          </cell>
          <cell r="L105" t="str">
            <v>Konsumsi Pada Kegiatan Syukuran Hari Raya Natal dan Tahun Baru 2024</v>
          </cell>
          <cell r="M105" t="str">
            <v>Nasi Kotak</v>
          </cell>
          <cell r="N105">
            <v>60</v>
          </cell>
          <cell r="O105" t="str">
            <v>kotak</v>
          </cell>
          <cell r="P105">
            <v>40000</v>
          </cell>
          <cell r="Q105">
            <v>2400000</v>
          </cell>
          <cell r="T105" t="str">
            <v>Resto JFC Esther</v>
          </cell>
          <cell r="V105" t="str">
            <v>Limaati Daeli</v>
          </cell>
          <cell r="W105" t="str">
            <v>085297578868</v>
          </cell>
          <cell r="X105" t="str">
            <v>Jl. Saonigeho Km. 2 Telukdalam - Nias Selatan</v>
          </cell>
        </row>
        <row r="106">
          <cell r="C106" t="str">
            <v>5.1.02.01.01.0052</v>
          </cell>
          <cell r="D106" t="str">
            <v>06. 05. 01.</v>
          </cell>
          <cell r="E106">
            <v>45674</v>
          </cell>
          <cell r="F106" t="str">
            <v>18/01/2025</v>
          </cell>
          <cell r="G106">
            <v>18</v>
          </cell>
          <cell r="H106" t="str">
            <v>20/01/2025</v>
          </cell>
          <cell r="J106" t="str">
            <v>23/01/2025</v>
          </cell>
          <cell r="K106" t="str">
            <v>BPU18</v>
          </cell>
          <cell r="L106" t="str">
            <v>Nasi Kotak Penyusunan RKAS Tahun 2025</v>
          </cell>
          <cell r="M106" t="str">
            <v>Nasi Kotak</v>
          </cell>
          <cell r="N106">
            <v>80</v>
          </cell>
          <cell r="O106" t="str">
            <v>kotak</v>
          </cell>
          <cell r="P106">
            <v>40000</v>
          </cell>
          <cell r="Q106">
            <v>3200000</v>
          </cell>
          <cell r="T106" t="str">
            <v>Resto JFC Esther</v>
          </cell>
          <cell r="V106" t="str">
            <v>Limaati Daeli</v>
          </cell>
          <cell r="W106" t="str">
            <v>085297578868</v>
          </cell>
          <cell r="X106" t="str">
            <v>Jl. Saonigeho Km. 2 Telukdalam - Nias Selatan</v>
          </cell>
        </row>
        <row r="107">
          <cell r="C107" t="str">
            <v>5.1.02.01.01.0052</v>
          </cell>
          <cell r="D107" t="str">
            <v>06. 05. 01.</v>
          </cell>
          <cell r="E107">
            <v>45674</v>
          </cell>
          <cell r="F107" t="str">
            <v>18/01/2025</v>
          </cell>
          <cell r="G107">
            <v>19</v>
          </cell>
          <cell r="H107" t="str">
            <v>20/01/2025</v>
          </cell>
          <cell r="J107" t="str">
            <v>23/01/2025</v>
          </cell>
          <cell r="K107" t="str">
            <v>BPU19</v>
          </cell>
          <cell r="L107" t="str">
            <v>Kudapan Penyusunan RKAS Tahun 2025</v>
          </cell>
          <cell r="M107" t="str">
            <v>Kue Besar</v>
          </cell>
          <cell r="N107">
            <v>80</v>
          </cell>
          <cell r="O107" t="str">
            <v>kotak</v>
          </cell>
          <cell r="P107">
            <v>15000</v>
          </cell>
          <cell r="Q107">
            <v>1200000</v>
          </cell>
          <cell r="T107" t="str">
            <v>Rumah Roti Helena</v>
          </cell>
          <cell r="V107" t="str">
            <v>Fudi Supiyanto</v>
          </cell>
          <cell r="W107" t="str">
            <v>082164895397</v>
          </cell>
          <cell r="X107" t="str">
            <v>Jln Ahmad Yani No.89 Kel. Pasar Telukdalam, Nias Selatan</v>
          </cell>
        </row>
        <row r="108">
          <cell r="C108" t="str">
            <v>5.1.02.01.01.0052</v>
          </cell>
          <cell r="D108" t="str">
            <v>08. 04. 10.</v>
          </cell>
          <cell r="E108">
            <v>45675</v>
          </cell>
          <cell r="F108" t="str">
            <v>20/01/2025</v>
          </cell>
          <cell r="G108">
            <v>20</v>
          </cell>
          <cell r="H108" t="str">
            <v>21/01/2025</v>
          </cell>
          <cell r="J108" t="str">
            <v>23/01/2025</v>
          </cell>
          <cell r="K108" t="str">
            <v>BPU20</v>
          </cell>
          <cell r="L108" t="str">
            <v>Kudapan pada kegiatan Rapat Penyusunan KKM</v>
          </cell>
          <cell r="M108" t="str">
            <v>Kue Besar</v>
          </cell>
          <cell r="N108">
            <v>60</v>
          </cell>
          <cell r="O108" t="str">
            <v>kotak</v>
          </cell>
          <cell r="P108">
            <v>15000</v>
          </cell>
          <cell r="Q108">
            <v>900000</v>
          </cell>
          <cell r="T108" t="str">
            <v>Rumah Roti Helena</v>
          </cell>
          <cell r="V108" t="str">
            <v>Fudi Supiyanto</v>
          </cell>
          <cell r="W108" t="str">
            <v>082164895397</v>
          </cell>
          <cell r="X108" t="str">
            <v>Jln Ahmad Yani No.89 Kel. Pasar Telukdalam, Nias Selatan</v>
          </cell>
        </row>
        <row r="109">
          <cell r="C109" t="str">
            <v>5.1.02.01.01.0052</v>
          </cell>
          <cell r="D109" t="str">
            <v>08. 04. 10.</v>
          </cell>
          <cell r="E109">
            <v>45675</v>
          </cell>
          <cell r="F109" t="str">
            <v>20/01/2025</v>
          </cell>
          <cell r="G109">
            <v>21</v>
          </cell>
          <cell r="H109" t="str">
            <v>21/01/2025</v>
          </cell>
          <cell r="J109" t="str">
            <v>23/01/2025</v>
          </cell>
          <cell r="K109" t="str">
            <v>BPU21</v>
          </cell>
          <cell r="L109" t="str">
            <v>Konsumsi pada kegiatan Rapat Penyusunan KKM</v>
          </cell>
          <cell r="M109" t="str">
            <v>Nasi Kotak</v>
          </cell>
          <cell r="N109">
            <v>60</v>
          </cell>
          <cell r="O109" t="str">
            <v>kotak</v>
          </cell>
          <cell r="P109">
            <v>40000</v>
          </cell>
          <cell r="Q109">
            <v>2400000</v>
          </cell>
          <cell r="T109" t="str">
            <v>Resto JFC Esther</v>
          </cell>
          <cell r="V109" t="str">
            <v>Limaati Daeli</v>
          </cell>
          <cell r="W109" t="str">
            <v>085297578868</v>
          </cell>
          <cell r="X109" t="str">
            <v>Jl. Saonigeho Km. 2 Telukdalam - Nias Selatan</v>
          </cell>
        </row>
        <row r="110">
          <cell r="C110" t="str">
            <v>5.1.02.02.01.0061</v>
          </cell>
          <cell r="D110" t="str">
            <v>06. 07. 01.</v>
          </cell>
          <cell r="E110">
            <v>45678</v>
          </cell>
          <cell r="F110" t="str">
            <v>23/01/2025</v>
          </cell>
          <cell r="G110">
            <v>22</v>
          </cell>
          <cell r="H110" t="str">
            <v>23/01/2025</v>
          </cell>
          <cell r="J110" t="str">
            <v>23/01/2025</v>
          </cell>
          <cell r="K110" t="str">
            <v>BPU22</v>
          </cell>
          <cell r="L110" t="str">
            <v>Biaya Rekening Listrik--</v>
          </cell>
          <cell r="M110" t="str">
            <v>Jasa Langganan Listrik</v>
          </cell>
          <cell r="N110">
            <v>1</v>
          </cell>
          <cell r="O110" t="str">
            <v>bulan</v>
          </cell>
          <cell r="P110">
            <v>2000000</v>
          </cell>
          <cell r="Q110">
            <v>2000000</v>
          </cell>
          <cell r="V110" t="e">
            <v>#N/A</v>
          </cell>
          <cell r="W110" t="e">
            <v>#N/A</v>
          </cell>
          <cell r="X110" t="e">
            <v>#N/A</v>
          </cell>
        </row>
        <row r="111">
          <cell r="C111" t="str">
            <v>5.1.02.02.01.0063</v>
          </cell>
          <cell r="D111" t="str">
            <v>06. 07. 05.</v>
          </cell>
          <cell r="E111">
            <v>45678</v>
          </cell>
          <cell r="F111" t="str">
            <v>23/01/2025</v>
          </cell>
          <cell r="G111">
            <v>23</v>
          </cell>
          <cell r="H111" t="str">
            <v>23/01/2025</v>
          </cell>
          <cell r="J111" t="str">
            <v>23/01/2025</v>
          </cell>
          <cell r="K111" t="str">
            <v>BPU23</v>
          </cell>
          <cell r="L111" t="str">
            <v>Biaya Langganan Internet--</v>
          </cell>
          <cell r="M111" t="str">
            <v>Jasa Langganan Indihome</v>
          </cell>
          <cell r="N111">
            <v>1</v>
          </cell>
          <cell r="O111" t="str">
            <v>bulan</v>
          </cell>
          <cell r="P111">
            <v>1500000</v>
          </cell>
          <cell r="Q111">
            <v>1500000</v>
          </cell>
          <cell r="V111" t="e">
            <v>#N/A</v>
          </cell>
          <cell r="W111" t="e">
            <v>#N/A</v>
          </cell>
          <cell r="X111" t="e">
            <v>#N/A</v>
          </cell>
        </row>
        <row r="112">
          <cell r="C112" t="str">
            <v>5.1.02.01.01.0052</v>
          </cell>
          <cell r="D112" t="str">
            <v>03. 03. 14.</v>
          </cell>
          <cell r="E112">
            <v>45680</v>
          </cell>
          <cell r="F112" t="str">
            <v>24/01/2025</v>
          </cell>
          <cell r="G112">
            <v>24</v>
          </cell>
          <cell r="H112" t="str">
            <v>25/01/2025</v>
          </cell>
          <cell r="J112" t="str">
            <v>25/01/2025</v>
          </cell>
          <cell r="K112" t="str">
            <v>BPU24</v>
          </cell>
          <cell r="L112" t="str">
            <v>Kudapan pada Kegiatan rubrik/Ibadah Bulanan</v>
          </cell>
          <cell r="M112" t="str">
            <v>Kue Besar</v>
          </cell>
          <cell r="N112">
            <v>100</v>
          </cell>
          <cell r="O112" t="str">
            <v>kotak</v>
          </cell>
          <cell r="P112">
            <v>15000</v>
          </cell>
          <cell r="Q112">
            <v>1500000</v>
          </cell>
          <cell r="T112" t="str">
            <v>Rumah Roti Helena</v>
          </cell>
          <cell r="V112" t="str">
            <v>Fudi Supiyanto</v>
          </cell>
          <cell r="W112" t="str">
            <v>082164895397</v>
          </cell>
          <cell r="X112" t="str">
            <v>Jln Ahmad Yani No.89 Kel. Pasar Telukdalam, Nias Selatan</v>
          </cell>
        </row>
        <row r="113">
          <cell r="C113" t="str">
            <v>5.1.02.01.01.0052</v>
          </cell>
          <cell r="D113" t="str">
            <v>06. 05. 02.</v>
          </cell>
          <cell r="E113">
            <v>45680</v>
          </cell>
          <cell r="F113" t="str">
            <v>24/01/2025</v>
          </cell>
          <cell r="G113">
            <v>25</v>
          </cell>
          <cell r="H113" t="str">
            <v>25/01/2025</v>
          </cell>
          <cell r="J113" t="str">
            <v>25/01/2025</v>
          </cell>
          <cell r="K113" t="str">
            <v>BPU25</v>
          </cell>
          <cell r="L113" t="str">
            <v>Kudapan Rapat Rutin Bulanan</v>
          </cell>
          <cell r="M113" t="str">
            <v>Kue Besar</v>
          </cell>
          <cell r="N113">
            <v>60</v>
          </cell>
          <cell r="O113" t="str">
            <v>buah</v>
          </cell>
          <cell r="P113">
            <v>15000</v>
          </cell>
          <cell r="Q113">
            <v>900000</v>
          </cell>
          <cell r="T113" t="str">
            <v>Rumah Roti Helena</v>
          </cell>
          <cell r="V113" t="str">
            <v>Fudi Supiyanto</v>
          </cell>
          <cell r="W113" t="str">
            <v>082164895397</v>
          </cell>
          <cell r="X113" t="str">
            <v>Jln Ahmad Yani No.89 Kel. Pasar Telukdalam, Nias Selatan</v>
          </cell>
        </row>
        <row r="114">
          <cell r="C114" t="str">
            <v>5.1.02.02.01.0013</v>
          </cell>
          <cell r="D114" t="str">
            <v>07. 12. 01.</v>
          </cell>
          <cell r="E114">
            <v>45682</v>
          </cell>
          <cell r="F114" t="str">
            <v>05/02/2025</v>
          </cell>
          <cell r="G114">
            <v>26</v>
          </cell>
          <cell r="H114" t="str">
            <v>05/02/2025</v>
          </cell>
          <cell r="J114" t="str">
            <v>05/02/2025</v>
          </cell>
          <cell r="K114" t="str">
            <v>BNU01</v>
          </cell>
          <cell r="L114" t="str">
            <v>Selatieli Nehe</v>
          </cell>
          <cell r="M114" t="str">
            <v>Gaji Guru Tidak Tetap Sekolah</v>
          </cell>
          <cell r="N114">
            <v>41</v>
          </cell>
          <cell r="O114" t="str">
            <v>jpl</v>
          </cell>
          <cell r="P114">
            <v>60000</v>
          </cell>
          <cell r="Q114">
            <v>2460000</v>
          </cell>
          <cell r="V114" t="e">
            <v>#N/A</v>
          </cell>
          <cell r="W114" t="e">
            <v>#N/A</v>
          </cell>
          <cell r="X114" t="e">
            <v>#N/A</v>
          </cell>
        </row>
        <row r="115">
          <cell r="C115" t="str">
            <v>5.1.02.02.01.0013</v>
          </cell>
          <cell r="D115" t="str">
            <v>07. 12. 01.</v>
          </cell>
          <cell r="E115">
            <v>45682</v>
          </cell>
          <cell r="F115" t="str">
            <v>05/02/2025</v>
          </cell>
          <cell r="G115">
            <v>27</v>
          </cell>
          <cell r="H115" t="str">
            <v>05/02/2025</v>
          </cell>
          <cell r="J115" t="str">
            <v>05/02/2025</v>
          </cell>
          <cell r="K115" t="str">
            <v>BNU02</v>
          </cell>
          <cell r="L115" t="str">
            <v>Arifin Metodi Bate'e</v>
          </cell>
          <cell r="M115" t="str">
            <v>Gaji Guru Tidak Tetap Sekolah</v>
          </cell>
          <cell r="N115">
            <v>34</v>
          </cell>
          <cell r="O115" t="str">
            <v>jpl</v>
          </cell>
          <cell r="P115">
            <v>60000</v>
          </cell>
          <cell r="Q115">
            <v>2040000</v>
          </cell>
          <cell r="V115" t="e">
            <v>#N/A</v>
          </cell>
          <cell r="W115" t="e">
            <v>#N/A</v>
          </cell>
          <cell r="X115" t="e">
            <v>#N/A</v>
          </cell>
        </row>
        <row r="116">
          <cell r="C116" t="str">
            <v>5.1.02.02.01.0013</v>
          </cell>
          <cell r="D116" t="str">
            <v>07. 12. 01.</v>
          </cell>
          <cell r="E116">
            <v>45682</v>
          </cell>
          <cell r="F116" t="str">
            <v>05/02/2025</v>
          </cell>
          <cell r="G116">
            <v>28</v>
          </cell>
          <cell r="H116" t="str">
            <v>05/02/2025</v>
          </cell>
          <cell r="J116" t="str">
            <v>05/02/2025</v>
          </cell>
          <cell r="K116" t="str">
            <v>BNU03</v>
          </cell>
          <cell r="L116" t="str">
            <v>Ferdiwati Wau</v>
          </cell>
          <cell r="M116" t="str">
            <v>Gaji Guru Tidak Tetap Sekolah</v>
          </cell>
          <cell r="N116">
            <v>34</v>
          </cell>
          <cell r="O116" t="str">
            <v>jpl</v>
          </cell>
          <cell r="P116">
            <v>60000</v>
          </cell>
          <cell r="Q116">
            <v>2040000</v>
          </cell>
          <cell r="V116" t="e">
            <v>#N/A</v>
          </cell>
          <cell r="W116" t="e">
            <v>#N/A</v>
          </cell>
          <cell r="X116" t="e">
            <v>#N/A</v>
          </cell>
        </row>
        <row r="117">
          <cell r="C117" t="str">
            <v>5.1.02.02.01.0013</v>
          </cell>
          <cell r="D117" t="str">
            <v>07. 12. 01.</v>
          </cell>
          <cell r="E117">
            <v>45682</v>
          </cell>
          <cell r="F117" t="str">
            <v>05/02/2025</v>
          </cell>
          <cell r="G117">
            <v>29</v>
          </cell>
          <cell r="H117" t="str">
            <v>05/02/2025</v>
          </cell>
          <cell r="J117" t="str">
            <v>05/02/2025</v>
          </cell>
          <cell r="K117" t="str">
            <v>BNU04</v>
          </cell>
          <cell r="L117" t="str">
            <v>Noni Alfanita Sarumaha, S.Pd</v>
          </cell>
          <cell r="M117" t="str">
            <v>Gaji Guru Tidak Tetap Sekolah</v>
          </cell>
          <cell r="N117">
            <v>37</v>
          </cell>
          <cell r="O117" t="str">
            <v>jpl</v>
          </cell>
          <cell r="P117">
            <v>60000</v>
          </cell>
          <cell r="Q117">
            <v>2220000</v>
          </cell>
          <cell r="V117" t="e">
            <v>#N/A</v>
          </cell>
          <cell r="W117" t="e">
            <v>#N/A</v>
          </cell>
          <cell r="X117" t="e">
            <v>#N/A</v>
          </cell>
        </row>
        <row r="118">
          <cell r="C118" t="str">
            <v>5.1.02.02.01.0013</v>
          </cell>
          <cell r="D118" t="str">
            <v>07. 12. 01.</v>
          </cell>
          <cell r="E118">
            <v>45682</v>
          </cell>
          <cell r="F118" t="str">
            <v>05/02/2025</v>
          </cell>
          <cell r="G118">
            <v>30</v>
          </cell>
          <cell r="H118" t="str">
            <v>05/02/2025</v>
          </cell>
          <cell r="J118" t="str">
            <v>05/02/2025</v>
          </cell>
          <cell r="K118" t="str">
            <v>BNU05</v>
          </cell>
          <cell r="L118" t="str">
            <v>EMILA HAFO</v>
          </cell>
          <cell r="M118" t="str">
            <v>Gaji Guru Tidak Tetap Sekolah</v>
          </cell>
          <cell r="N118">
            <v>35</v>
          </cell>
          <cell r="O118" t="str">
            <v>jpl</v>
          </cell>
          <cell r="P118">
            <v>60000</v>
          </cell>
          <cell r="Q118">
            <v>2100000</v>
          </cell>
          <cell r="V118" t="e">
            <v>#N/A</v>
          </cell>
          <cell r="W118" t="e">
            <v>#N/A</v>
          </cell>
          <cell r="X118" t="e">
            <v>#N/A</v>
          </cell>
        </row>
        <row r="119">
          <cell r="C119" t="str">
            <v>5.1.02.02.01.0013</v>
          </cell>
          <cell r="D119" t="str">
            <v>07. 12. 01.</v>
          </cell>
          <cell r="E119">
            <v>45682</v>
          </cell>
          <cell r="F119" t="str">
            <v>05/02/2025</v>
          </cell>
          <cell r="G119">
            <v>31</v>
          </cell>
          <cell r="H119" t="str">
            <v>05/02/2025</v>
          </cell>
          <cell r="J119" t="str">
            <v>05/02/2025</v>
          </cell>
          <cell r="K119" t="str">
            <v>BNU06</v>
          </cell>
          <cell r="L119" t="str">
            <v>Asep Nurhidayat</v>
          </cell>
          <cell r="M119" t="str">
            <v>Gaji Guru Tidak Tetap Sekolah</v>
          </cell>
          <cell r="N119">
            <v>21</v>
          </cell>
          <cell r="O119" t="str">
            <v>jpl</v>
          </cell>
          <cell r="P119">
            <v>60000</v>
          </cell>
          <cell r="Q119">
            <v>1260000</v>
          </cell>
          <cell r="V119" t="e">
            <v>#N/A</v>
          </cell>
          <cell r="W119" t="e">
            <v>#N/A</v>
          </cell>
          <cell r="X119" t="e">
            <v>#N/A</v>
          </cell>
        </row>
        <row r="120">
          <cell r="C120" t="str">
            <v>5.1.02.02.01.0013</v>
          </cell>
          <cell r="D120" t="str">
            <v>07. 12. 01.</v>
          </cell>
          <cell r="E120">
            <v>45682</v>
          </cell>
          <cell r="F120" t="str">
            <v>05/02/2025</v>
          </cell>
          <cell r="G120">
            <v>32</v>
          </cell>
          <cell r="H120" t="str">
            <v>05/02/2025</v>
          </cell>
          <cell r="J120" t="str">
            <v>05/02/2025</v>
          </cell>
          <cell r="K120" t="str">
            <v>BNU07</v>
          </cell>
          <cell r="L120" t="str">
            <v>Amonius Dakhi</v>
          </cell>
          <cell r="M120" t="str">
            <v>Gaji Guru Tidak Tetap Sekolah</v>
          </cell>
          <cell r="N120">
            <v>24</v>
          </cell>
          <cell r="O120" t="str">
            <v>orang / jam pelajaran</v>
          </cell>
          <cell r="P120">
            <v>50000</v>
          </cell>
          <cell r="Q120">
            <v>1200000</v>
          </cell>
          <cell r="V120" t="e">
            <v>#N/A</v>
          </cell>
          <cell r="W120" t="e">
            <v>#N/A</v>
          </cell>
          <cell r="X120" t="e">
            <v>#N/A</v>
          </cell>
        </row>
        <row r="121">
          <cell r="C121" t="str">
            <v>5.1.02.02.01.0013</v>
          </cell>
          <cell r="D121" t="str">
            <v>07. 12. 01.</v>
          </cell>
          <cell r="E121">
            <v>45682</v>
          </cell>
          <cell r="F121" t="str">
            <v>05/02/2025</v>
          </cell>
          <cell r="G121">
            <v>33</v>
          </cell>
          <cell r="H121" t="str">
            <v>05/02/2025</v>
          </cell>
          <cell r="J121" t="str">
            <v>05/02/2025</v>
          </cell>
          <cell r="K121" t="str">
            <v>BNU08</v>
          </cell>
          <cell r="L121" t="str">
            <v>NELPI KARIANA WATI GOHAE</v>
          </cell>
          <cell r="M121" t="str">
            <v>Gaji Guru Tidak Tetap Sekolah</v>
          </cell>
          <cell r="N121">
            <v>24</v>
          </cell>
          <cell r="O121" t="str">
            <v>orang / jam pelajaran</v>
          </cell>
          <cell r="P121">
            <v>50000</v>
          </cell>
          <cell r="Q121">
            <v>1200000</v>
          </cell>
          <cell r="V121" t="e">
            <v>#N/A</v>
          </cell>
          <cell r="W121" t="e">
            <v>#N/A</v>
          </cell>
          <cell r="X121" t="e">
            <v>#N/A</v>
          </cell>
        </row>
        <row r="122">
          <cell r="C122" t="str">
            <v>5.1.02.02.01.0013</v>
          </cell>
          <cell r="D122" t="str">
            <v>07. 12. 01.</v>
          </cell>
          <cell r="E122">
            <v>45682</v>
          </cell>
          <cell r="F122" t="str">
            <v>05/02/2025</v>
          </cell>
          <cell r="G122">
            <v>34</v>
          </cell>
          <cell r="H122" t="str">
            <v>05/02/2025</v>
          </cell>
          <cell r="J122" t="str">
            <v>05/02/2025</v>
          </cell>
          <cell r="K122" t="str">
            <v>BNU09</v>
          </cell>
          <cell r="L122" t="str">
            <v>MERCY GRACE KARTIKA SARI ZAGOTO (1558776677230122)</v>
          </cell>
          <cell r="M122" t="str">
            <v>Gaji Guru Tidak Tetap Sekolah</v>
          </cell>
          <cell r="N122">
            <v>35</v>
          </cell>
          <cell r="O122" t="str">
            <v>orang / jam pelajaran</v>
          </cell>
          <cell r="P122">
            <v>50000</v>
          </cell>
          <cell r="Q122">
            <v>1750000</v>
          </cell>
          <cell r="V122" t="e">
            <v>#N/A</v>
          </cell>
          <cell r="W122" t="e">
            <v>#N/A</v>
          </cell>
          <cell r="X122" t="e">
            <v>#N/A</v>
          </cell>
        </row>
        <row r="123">
          <cell r="C123" t="str">
            <v>5.1.02.02.01.0026</v>
          </cell>
          <cell r="D123" t="str">
            <v>07. 12. 02.</v>
          </cell>
          <cell r="E123">
            <v>45682</v>
          </cell>
          <cell r="F123" t="str">
            <v>05/02/2025</v>
          </cell>
          <cell r="G123">
            <v>35</v>
          </cell>
          <cell r="H123" t="str">
            <v>05/02/2025</v>
          </cell>
          <cell r="J123" t="str">
            <v>05/02/2025</v>
          </cell>
          <cell r="K123" t="str">
            <v>BNU10</v>
          </cell>
          <cell r="L123" t="str">
            <v>Estera Nehe</v>
          </cell>
          <cell r="M123" t="str">
            <v>Gaji Pegawai Tidak Tetap Sekolah</v>
          </cell>
          <cell r="N123">
            <v>1</v>
          </cell>
          <cell r="O123" t="str">
            <v>bulan</v>
          </cell>
          <cell r="P123">
            <v>2000000</v>
          </cell>
          <cell r="Q123">
            <v>2000000</v>
          </cell>
          <cell r="V123" t="e">
            <v>#N/A</v>
          </cell>
          <cell r="W123" t="e">
            <v>#N/A</v>
          </cell>
          <cell r="X123" t="e">
            <v>#N/A</v>
          </cell>
        </row>
        <row r="124">
          <cell r="C124" t="str">
            <v>5.1.02.02.01.0026</v>
          </cell>
          <cell r="D124" t="str">
            <v>07. 12. 02.</v>
          </cell>
          <cell r="E124">
            <v>45682</v>
          </cell>
          <cell r="F124" t="str">
            <v>05/02/2025</v>
          </cell>
          <cell r="G124">
            <v>36</v>
          </cell>
          <cell r="H124" t="str">
            <v>05/02/2025</v>
          </cell>
          <cell r="J124" t="str">
            <v>05/02/2025</v>
          </cell>
          <cell r="K124" t="str">
            <v>BNU11</v>
          </cell>
          <cell r="L124" t="str">
            <v>Hatieli Buulolo</v>
          </cell>
          <cell r="M124" t="str">
            <v>Gaji Pegawai Tidak Tetap Sekolah</v>
          </cell>
          <cell r="N124">
            <v>1</v>
          </cell>
          <cell r="O124" t="str">
            <v>bulan</v>
          </cell>
          <cell r="P124">
            <v>2500000</v>
          </cell>
          <cell r="Q124">
            <v>2500000</v>
          </cell>
          <cell r="V124" t="e">
            <v>#N/A</v>
          </cell>
          <cell r="W124" t="e">
            <v>#N/A</v>
          </cell>
          <cell r="X124" t="e">
            <v>#N/A</v>
          </cell>
        </row>
        <row r="125">
          <cell r="C125" t="str">
            <v>5.1.02.02.01.0026</v>
          </cell>
          <cell r="D125" t="str">
            <v>07. 12. 02.</v>
          </cell>
          <cell r="E125">
            <v>45682</v>
          </cell>
          <cell r="F125" t="str">
            <v>05/02/2025</v>
          </cell>
          <cell r="G125">
            <v>37</v>
          </cell>
          <cell r="H125" t="str">
            <v>05/02/2025</v>
          </cell>
          <cell r="J125" t="str">
            <v>05/02/2025</v>
          </cell>
          <cell r="K125" t="str">
            <v>BNU12</v>
          </cell>
          <cell r="L125" t="str">
            <v>David J. Sitinjak</v>
          </cell>
          <cell r="M125" t="str">
            <v>Gaji Pegawai Tidak Tetap Sekolah</v>
          </cell>
          <cell r="N125">
            <v>1</v>
          </cell>
          <cell r="O125" t="str">
            <v>bulan</v>
          </cell>
          <cell r="P125">
            <v>2500000</v>
          </cell>
          <cell r="Q125">
            <v>2500000</v>
          </cell>
          <cell r="V125" t="e">
            <v>#N/A</v>
          </cell>
          <cell r="W125" t="e">
            <v>#N/A</v>
          </cell>
          <cell r="X125" t="e">
            <v>#N/A</v>
          </cell>
        </row>
        <row r="126">
          <cell r="C126" t="str">
            <v>5.1.02.02.01.0026</v>
          </cell>
          <cell r="D126" t="str">
            <v>07. 12. 02.</v>
          </cell>
          <cell r="E126">
            <v>45682</v>
          </cell>
          <cell r="F126" t="str">
            <v>05/02/2025</v>
          </cell>
          <cell r="G126">
            <v>38</v>
          </cell>
          <cell r="H126" t="str">
            <v>05/02/2025</v>
          </cell>
          <cell r="J126" t="str">
            <v>05/02/2025</v>
          </cell>
          <cell r="K126" t="str">
            <v>BNU13</v>
          </cell>
          <cell r="L126" t="str">
            <v>Siona Ziraluo</v>
          </cell>
          <cell r="M126" t="str">
            <v>Gaji Pegawai Tidak Tetap Sekolah</v>
          </cell>
          <cell r="N126">
            <v>1</v>
          </cell>
          <cell r="O126" t="str">
            <v>bulan</v>
          </cell>
          <cell r="P126">
            <v>2000000</v>
          </cell>
          <cell r="Q126">
            <v>2000000</v>
          </cell>
          <cell r="V126" t="e">
            <v>#N/A</v>
          </cell>
          <cell r="W126" t="e">
            <v>#N/A</v>
          </cell>
          <cell r="X126" t="e">
            <v>#N/A</v>
          </cell>
        </row>
        <row r="127">
          <cell r="C127" t="str">
            <v>5.1.02.02.01.0026</v>
          </cell>
          <cell r="D127" t="str">
            <v>07. 12. 02.</v>
          </cell>
          <cell r="E127">
            <v>45682</v>
          </cell>
          <cell r="F127" t="str">
            <v>05/02/2025</v>
          </cell>
          <cell r="G127">
            <v>39</v>
          </cell>
          <cell r="H127" t="str">
            <v>05/02/2025</v>
          </cell>
          <cell r="J127" t="str">
            <v>05/02/2025</v>
          </cell>
          <cell r="K127" t="str">
            <v>BNU14</v>
          </cell>
          <cell r="L127" t="str">
            <v>Merdina Ziraluo</v>
          </cell>
          <cell r="M127" t="str">
            <v>Gaji Pegawai Tidak Tetap Sekolah</v>
          </cell>
          <cell r="N127">
            <v>1</v>
          </cell>
          <cell r="O127" t="str">
            <v>bulan</v>
          </cell>
          <cell r="P127">
            <v>2500000</v>
          </cell>
          <cell r="Q127">
            <v>2500000</v>
          </cell>
          <cell r="V127" t="e">
            <v>#N/A</v>
          </cell>
          <cell r="W127" t="e">
            <v>#N/A</v>
          </cell>
          <cell r="X127" t="e">
            <v>#N/A</v>
          </cell>
        </row>
        <row r="128">
          <cell r="C128" t="str">
            <v>5.1.02.02.01.0026</v>
          </cell>
          <cell r="D128" t="str">
            <v>07. 12. 02.</v>
          </cell>
          <cell r="E128">
            <v>45682</v>
          </cell>
          <cell r="F128" t="str">
            <v>05/02/2025</v>
          </cell>
          <cell r="G128">
            <v>40</v>
          </cell>
          <cell r="H128" t="str">
            <v>05/02/2025</v>
          </cell>
          <cell r="J128" t="str">
            <v>05/02/2025</v>
          </cell>
          <cell r="K128" t="str">
            <v>BNU15</v>
          </cell>
          <cell r="L128" t="str">
            <v>Oksilia Buulolo, S.S</v>
          </cell>
          <cell r="M128" t="str">
            <v>Gaji Pegawai Tidak Tetap Sekolah</v>
          </cell>
          <cell r="N128">
            <v>1</v>
          </cell>
          <cell r="O128" t="str">
            <v>bulan/orang</v>
          </cell>
          <cell r="P128">
            <v>2000000</v>
          </cell>
          <cell r="Q128">
            <v>2000000</v>
          </cell>
          <cell r="V128" t="e">
            <v>#N/A</v>
          </cell>
          <cell r="W128" t="e">
            <v>#N/A</v>
          </cell>
          <cell r="X128" t="e">
            <v>#N/A</v>
          </cell>
        </row>
        <row r="129">
          <cell r="C129" t="str">
            <v>5.1.02.02.01.0026</v>
          </cell>
          <cell r="D129" t="str">
            <v>07. 12. 02.</v>
          </cell>
          <cell r="E129">
            <v>45682</v>
          </cell>
          <cell r="F129" t="str">
            <v>05/02/2025</v>
          </cell>
          <cell r="G129">
            <v>41</v>
          </cell>
          <cell r="H129" t="str">
            <v>05/02/2025</v>
          </cell>
          <cell r="J129" t="str">
            <v>05/02/2025</v>
          </cell>
          <cell r="K129" t="str">
            <v>BNU16</v>
          </cell>
          <cell r="L129" t="str">
            <v>Novika Efdimasari Halawa, S.S.I</v>
          </cell>
          <cell r="M129" t="str">
            <v>Gaji Pegawai Tidak Tetap Sekolah</v>
          </cell>
          <cell r="N129">
            <v>1</v>
          </cell>
          <cell r="O129" t="str">
            <v>bulan/orang</v>
          </cell>
          <cell r="P129">
            <v>2000000</v>
          </cell>
          <cell r="Q129">
            <v>2000000</v>
          </cell>
          <cell r="V129" t="e">
            <v>#N/A</v>
          </cell>
          <cell r="W129" t="e">
            <v>#N/A</v>
          </cell>
          <cell r="X129" t="e">
            <v>#N/A</v>
          </cell>
        </row>
        <row r="130">
          <cell r="C130" t="str">
            <v>5.1.02.02.01.0016</v>
          </cell>
          <cell r="D130" t="str">
            <v>07. 12. 04.</v>
          </cell>
          <cell r="E130">
            <v>45682</v>
          </cell>
          <cell r="F130" t="str">
            <v>05/02/2025</v>
          </cell>
          <cell r="G130">
            <v>42</v>
          </cell>
          <cell r="H130" t="str">
            <v>05/02/2025</v>
          </cell>
          <cell r="J130" t="str">
            <v>05/02/2025</v>
          </cell>
          <cell r="K130" t="str">
            <v>BNU17</v>
          </cell>
          <cell r="L130" t="str">
            <v>Zefrianus Zai</v>
          </cell>
          <cell r="M130" t="str">
            <v>Gaji Pegawai Tidak Tetap Sekolah</v>
          </cell>
          <cell r="N130">
            <v>1</v>
          </cell>
          <cell r="O130" t="str">
            <v>bulan/orang</v>
          </cell>
          <cell r="P130">
            <v>2000000</v>
          </cell>
          <cell r="Q130">
            <v>2000000</v>
          </cell>
          <cell r="V130" t="e">
            <v>#N/A</v>
          </cell>
          <cell r="W130" t="e">
            <v>#N/A</v>
          </cell>
          <cell r="X130" t="e">
            <v>#N/A</v>
          </cell>
        </row>
        <row r="131">
          <cell r="C131" t="str">
            <v>5.1.02.02.01.0030</v>
          </cell>
          <cell r="D131" t="str">
            <v>07. 12. 04.</v>
          </cell>
          <cell r="E131">
            <v>45682</v>
          </cell>
          <cell r="F131" t="str">
            <v>05/02/2025</v>
          </cell>
          <cell r="G131">
            <v>43</v>
          </cell>
          <cell r="H131" t="str">
            <v>05/02/2025</v>
          </cell>
          <cell r="J131" t="str">
            <v>05/02/2025</v>
          </cell>
          <cell r="K131" t="str">
            <v>BPU32</v>
          </cell>
          <cell r="L131" t="str">
            <v>Thomas Hondro</v>
          </cell>
          <cell r="M131" t="str">
            <v>Gaji Pegawai Tidak Tetap Sekolah</v>
          </cell>
          <cell r="N131">
            <v>1</v>
          </cell>
          <cell r="O131" t="str">
            <v>bulan</v>
          </cell>
          <cell r="P131">
            <v>1000000</v>
          </cell>
          <cell r="Q131">
            <v>1000000</v>
          </cell>
          <cell r="V131" t="e">
            <v>#N/A</v>
          </cell>
          <cell r="W131" t="e">
            <v>#N/A</v>
          </cell>
          <cell r="X131" t="e">
            <v>#N/A</v>
          </cell>
        </row>
        <row r="132">
          <cell r="K132">
            <v>0</v>
          </cell>
          <cell r="V132" t="e">
            <v>#N/A</v>
          </cell>
          <cell r="W132" t="e">
            <v>#N/A</v>
          </cell>
          <cell r="X132" t="e">
            <v>#N/A</v>
          </cell>
        </row>
        <row r="133">
          <cell r="C133" t="str">
            <v>5.2.05.01.01.0001</v>
          </cell>
          <cell r="D133" t="str">
            <v>05. 02. 03.</v>
          </cell>
          <cell r="E133">
            <v>45667</v>
          </cell>
          <cell r="F133" t="str">
            <v>11/03/2025</v>
          </cell>
          <cell r="G133">
            <v>100</v>
          </cell>
          <cell r="H133" t="str">
            <v>12/03/2025</v>
          </cell>
          <cell r="J133" t="str">
            <v>14/03/2025</v>
          </cell>
          <cell r="K133" t="str">
            <v>BNU36</v>
          </cell>
          <cell r="L133" t="str">
            <v>PROYEK PENGUATAN PROFIL PELAJAR PANCASILA (P5) KELAS 10 SMA</v>
          </cell>
          <cell r="M133" t="str">
            <v>Buku Paket</v>
          </cell>
          <cell r="N133">
            <v>320</v>
          </cell>
          <cell r="O133" t="str">
            <v>eksemplar</v>
          </cell>
          <cell r="P133">
            <v>106500</v>
          </cell>
          <cell r="Q133">
            <v>34080000</v>
          </cell>
          <cell r="V133" t="e">
            <v>#N/A</v>
          </cell>
          <cell r="W133" t="e">
            <v>#N/A</v>
          </cell>
          <cell r="X133" t="e">
            <v>#N/A</v>
          </cell>
        </row>
        <row r="134">
          <cell r="C134" t="str">
            <v>5.2.05.01.01.0001</v>
          </cell>
          <cell r="D134" t="str">
            <v>05. 02. 03.</v>
          </cell>
          <cell r="E134">
            <v>45667</v>
          </cell>
          <cell r="F134" t="str">
            <v>11/03/2025</v>
          </cell>
          <cell r="G134">
            <v>101</v>
          </cell>
          <cell r="H134" t="str">
            <v>12/03/2025</v>
          </cell>
          <cell r="J134" t="str">
            <v>14/03/2025</v>
          </cell>
          <cell r="K134" t="str">
            <v>BNU37</v>
          </cell>
          <cell r="L134" t="str">
            <v>PROYEK PENGUATAN PROFIL PELAJAR PANCASILA (P5) KELAS 11 SMA</v>
          </cell>
          <cell r="M134" t="str">
            <v>Buku Paket</v>
          </cell>
          <cell r="N134">
            <v>180</v>
          </cell>
          <cell r="O134" t="str">
            <v>eksemplar</v>
          </cell>
          <cell r="P134">
            <v>106500</v>
          </cell>
          <cell r="Q134">
            <v>19170000</v>
          </cell>
          <cell r="V134" t="e">
            <v>#N/A</v>
          </cell>
          <cell r="W134" t="e">
            <v>#N/A</v>
          </cell>
          <cell r="X134" t="e">
            <v>#N/A</v>
          </cell>
        </row>
        <row r="135">
          <cell r="C135" t="str">
            <v>5.2.05.01.01.0001</v>
          </cell>
          <cell r="D135" t="str">
            <v>05. 02. 03.</v>
          </cell>
          <cell r="E135">
            <v>45667</v>
          </cell>
          <cell r="F135" t="str">
            <v>11/03/2025</v>
          </cell>
          <cell r="G135">
            <v>102</v>
          </cell>
          <cell r="H135" t="str">
            <v>12/03/2025</v>
          </cell>
          <cell r="J135" t="str">
            <v>14/03/2025</v>
          </cell>
          <cell r="K135" t="str">
            <v>BNU35</v>
          </cell>
          <cell r="L135" t="str">
            <v>Buku Perpustakaan-Buku Perpustakaan</v>
          </cell>
          <cell r="M135" t="str">
            <v>Buku Paket</v>
          </cell>
          <cell r="N135">
            <v>224</v>
          </cell>
          <cell r="O135" t="str">
            <v>eksemplar</v>
          </cell>
          <cell r="P135">
            <v>106500</v>
          </cell>
          <cell r="Q135">
            <v>23856000</v>
          </cell>
          <cell r="V135" t="e">
            <v>#N/A</v>
          </cell>
          <cell r="W135" t="e">
            <v>#N/A</v>
          </cell>
          <cell r="X135" t="e">
            <v>#N/A</v>
          </cell>
        </row>
        <row r="136">
          <cell r="C136" t="str">
            <v>5.2.05.01.01.0007</v>
          </cell>
          <cell r="D136" t="str">
            <v>05. 02. 05.</v>
          </cell>
          <cell r="E136">
            <v>45668</v>
          </cell>
          <cell r="F136" t="str">
            <v>12/03/2025</v>
          </cell>
          <cell r="H136" t="str">
            <v>15/04/2025</v>
          </cell>
          <cell r="J136" t="str">
            <v>16/04/2025</v>
          </cell>
          <cell r="K136" t="e">
            <v>#N/A</v>
          </cell>
          <cell r="L136" t="str">
            <v>Buku Literasi - Buku Bacaan Umum SMA/SMK (Paket)</v>
          </cell>
          <cell r="M136" t="str">
            <v>Buku Paket</v>
          </cell>
          <cell r="N136">
            <v>36</v>
          </cell>
          <cell r="O136" t="str">
            <v>paket</v>
          </cell>
          <cell r="P136">
            <v>75000</v>
          </cell>
          <cell r="Q136">
            <v>2700000</v>
          </cell>
          <cell r="V136" t="e">
            <v>#N/A</v>
          </cell>
          <cell r="W136" t="e">
            <v>#N/A</v>
          </cell>
          <cell r="X136" t="e">
            <v>#N/A</v>
          </cell>
        </row>
        <row r="137">
          <cell r="C137" t="str">
            <v>5.2.05.01.01.0007</v>
          </cell>
          <cell r="D137" t="str">
            <v>05. 02. 05.</v>
          </cell>
          <cell r="E137">
            <v>45668</v>
          </cell>
          <cell r="F137" t="str">
            <v>12/03/2025</v>
          </cell>
          <cell r="H137" t="str">
            <v>15/04/2025</v>
          </cell>
          <cell r="J137" t="str">
            <v>16/04/2025</v>
          </cell>
          <cell r="K137" t="e">
            <v>#N/A</v>
          </cell>
          <cell r="L137" t="str">
            <v>Buku Literasi - Buku Bacaan Umum SMA/SMK (Paket)</v>
          </cell>
          <cell r="M137" t="str">
            <v>Buku Paket</v>
          </cell>
          <cell r="N137">
            <v>36</v>
          </cell>
          <cell r="O137" t="str">
            <v>paket</v>
          </cell>
          <cell r="P137">
            <v>138000</v>
          </cell>
          <cell r="Q137">
            <v>4968000</v>
          </cell>
          <cell r="V137" t="e">
            <v>#N/A</v>
          </cell>
          <cell r="W137" t="e">
            <v>#N/A</v>
          </cell>
          <cell r="X137" t="e">
            <v>#N/A</v>
          </cell>
        </row>
        <row r="138">
          <cell r="C138" t="str">
            <v>5.2.05.01.01.0007</v>
          </cell>
          <cell r="D138" t="str">
            <v>05. 02. 05.</v>
          </cell>
          <cell r="E138">
            <v>45668</v>
          </cell>
          <cell r="F138" t="str">
            <v>12/03/2025</v>
          </cell>
          <cell r="H138" t="str">
            <v>15/04/2025</v>
          </cell>
          <cell r="J138" t="str">
            <v>16/04/2025</v>
          </cell>
          <cell r="K138" t="e">
            <v>#N/A</v>
          </cell>
          <cell r="L138" t="str">
            <v>Buku Literasi - Buku Bacaan Umum SMA/SMK (Paket)</v>
          </cell>
          <cell r="M138" t="str">
            <v>Buku Paket</v>
          </cell>
          <cell r="N138">
            <v>36</v>
          </cell>
          <cell r="O138" t="str">
            <v>paket</v>
          </cell>
          <cell r="P138">
            <v>85000</v>
          </cell>
          <cell r="Q138">
            <v>3060000</v>
          </cell>
          <cell r="V138" t="e">
            <v>#N/A</v>
          </cell>
          <cell r="W138" t="e">
            <v>#N/A</v>
          </cell>
          <cell r="X138" t="e">
            <v>#N/A</v>
          </cell>
        </row>
        <row r="139">
          <cell r="K139">
            <v>0</v>
          </cell>
          <cell r="V139" t="e">
            <v>#N/A</v>
          </cell>
          <cell r="W139" t="e">
            <v>#N/A</v>
          </cell>
          <cell r="X139" t="e">
            <v>#N/A</v>
          </cell>
        </row>
        <row r="140">
          <cell r="C140" t="str">
            <v>5.1.02.01.01.0052</v>
          </cell>
          <cell r="D140" t="str">
            <v>05. 05. 02.</v>
          </cell>
          <cell r="E140">
            <v>45687</v>
          </cell>
          <cell r="F140" t="str">
            <v>01/02/2025</v>
          </cell>
          <cell r="G140">
            <v>44</v>
          </cell>
          <cell r="H140" t="str">
            <v>03/02/2025</v>
          </cell>
          <cell r="J140" t="str">
            <v>03/02/2025</v>
          </cell>
          <cell r="K140" t="str">
            <v>BPU26</v>
          </cell>
          <cell r="L140" t="str">
            <v>Air Mineral pada pelaksanaan kegiatan bulanan Gerakan Bersih Lingkungan Sekolah</v>
          </cell>
          <cell r="M140" t="str">
            <v>Aqua Cup</v>
          </cell>
          <cell r="N140">
            <v>25</v>
          </cell>
          <cell r="O140" t="str">
            <v>dus</v>
          </cell>
          <cell r="P140">
            <v>50000</v>
          </cell>
          <cell r="Q140">
            <v>1250000</v>
          </cell>
          <cell r="T140" t="str">
            <v>Rumah Roti Helena</v>
          </cell>
          <cell r="V140" t="str">
            <v>Fudi Supiyanto</v>
          </cell>
          <cell r="W140" t="str">
            <v>082164895397</v>
          </cell>
          <cell r="X140" t="str">
            <v>Jln Ahmad Yani No.89 Kel. Pasar Telukdalam, Nias Selatan</v>
          </cell>
        </row>
        <row r="141">
          <cell r="C141" t="str">
            <v>5.1.02.01.01.0024</v>
          </cell>
          <cell r="D141" t="str">
            <v>06. 05. 08.</v>
          </cell>
          <cell r="E141">
            <v>45687</v>
          </cell>
          <cell r="F141" t="str">
            <v>01/02/2025</v>
          </cell>
          <cell r="G141">
            <v>45</v>
          </cell>
          <cell r="H141" t="str">
            <v>01/02/2025</v>
          </cell>
          <cell r="J141" t="str">
            <v>04/02/2025</v>
          </cell>
          <cell r="K141" t="str">
            <v>BPU27</v>
          </cell>
          <cell r="L141" t="str">
            <v>Plastik Mika</v>
          </cell>
          <cell r="M141" t="str">
            <v>Plastik Mika</v>
          </cell>
          <cell r="N141">
            <v>5</v>
          </cell>
          <cell r="O141" t="str">
            <v>bungkus</v>
          </cell>
          <cell r="P141">
            <v>60000</v>
          </cell>
          <cell r="Q141">
            <v>300000</v>
          </cell>
          <cell r="T141" t="str">
            <v>UD. JOSUA</v>
          </cell>
          <cell r="V141" t="str">
            <v>Gestiwan Bazikho</v>
          </cell>
          <cell r="W141" t="str">
            <v>081375309828</v>
          </cell>
          <cell r="X141" t="str">
            <v>Jl. Diponegoro Kel. Pasar Telukdalam - Nias Selatan</v>
          </cell>
        </row>
        <row r="142">
          <cell r="C142" t="str">
            <v>5.1.02.01.01.0024</v>
          </cell>
          <cell r="D142" t="str">
            <v>06. 05. 08.</v>
          </cell>
          <cell r="E142">
            <v>45687</v>
          </cell>
          <cell r="F142" t="str">
            <v>01/02/2025</v>
          </cell>
          <cell r="G142">
            <v>45</v>
          </cell>
          <cell r="H142" t="str">
            <v>01/02/2025</v>
          </cell>
          <cell r="J142" t="str">
            <v>04/02/2025</v>
          </cell>
          <cell r="K142" t="str">
            <v>BPU27</v>
          </cell>
          <cell r="L142" t="str">
            <v>Kertas Warna Blank Folio, Ukuran : 8,5 x 14",  70 gram</v>
          </cell>
          <cell r="M142" t="str">
            <v>Kertas Warna Blank Folio, Ukuran : 8,5 x 14",  70 gram</v>
          </cell>
          <cell r="N142">
            <v>2</v>
          </cell>
          <cell r="O142" t="str">
            <v>rim</v>
          </cell>
          <cell r="P142">
            <v>90000</v>
          </cell>
          <cell r="Q142">
            <v>180000</v>
          </cell>
          <cell r="T142" t="str">
            <v>UD. JOSUA</v>
          </cell>
          <cell r="V142" t="str">
            <v>Gestiwan Bazikho</v>
          </cell>
          <cell r="W142" t="str">
            <v>081375309828</v>
          </cell>
          <cell r="X142" t="str">
            <v>Jl. Diponegoro Kel. Pasar Telukdalam - Nias Selatan</v>
          </cell>
        </row>
        <row r="143">
          <cell r="C143" t="str">
            <v>5.1.02.01.01.0024</v>
          </cell>
          <cell r="D143" t="str">
            <v>06. 05. 08.</v>
          </cell>
          <cell r="E143">
            <v>45687</v>
          </cell>
          <cell r="F143" t="str">
            <v>01/02/2025</v>
          </cell>
          <cell r="G143">
            <v>45</v>
          </cell>
          <cell r="H143" t="str">
            <v>01/02/2025</v>
          </cell>
          <cell r="J143" t="str">
            <v>04/02/2025</v>
          </cell>
          <cell r="K143" t="str">
            <v>BPU27</v>
          </cell>
          <cell r="L143" t="str">
            <v>Kertas Lain-Lain Kertas Buffalo</v>
          </cell>
          <cell r="M143" t="str">
            <v>Kertas Lain-Lain Kertas Buffalo</v>
          </cell>
          <cell r="N143">
            <v>5</v>
          </cell>
          <cell r="O143" t="str">
            <v>bungkus</v>
          </cell>
          <cell r="P143">
            <v>31000</v>
          </cell>
          <cell r="Q143">
            <v>155000</v>
          </cell>
          <cell r="T143" t="str">
            <v>UD. JOSUA</v>
          </cell>
          <cell r="V143" t="str">
            <v>Gestiwan Bazikho</v>
          </cell>
          <cell r="W143" t="str">
            <v>081375309828</v>
          </cell>
          <cell r="X143" t="str">
            <v>Jl. Diponegoro Kel. Pasar Telukdalam - Nias Selatan</v>
          </cell>
        </row>
        <row r="144">
          <cell r="C144" t="str">
            <v>5.1.02.01.01.0024</v>
          </cell>
          <cell r="D144" t="str">
            <v>06. 05. 08.</v>
          </cell>
          <cell r="E144">
            <v>45687</v>
          </cell>
          <cell r="F144" t="str">
            <v>01/02/2025</v>
          </cell>
          <cell r="G144">
            <v>45</v>
          </cell>
          <cell r="H144" t="str">
            <v>01/02/2025</v>
          </cell>
          <cell r="J144" t="str">
            <v>04/02/2025</v>
          </cell>
          <cell r="K144" t="str">
            <v>BPU27</v>
          </cell>
          <cell r="L144" t="str">
            <v>Kertas Post-It Warna Warni  Sign Here</v>
          </cell>
          <cell r="M144" t="str">
            <v>Kertas Post-It Warna Warni  Sign Here</v>
          </cell>
          <cell r="N144">
            <v>5</v>
          </cell>
          <cell r="O144" t="str">
            <v>buah</v>
          </cell>
          <cell r="P144">
            <v>22800</v>
          </cell>
          <cell r="Q144">
            <v>114000</v>
          </cell>
          <cell r="T144" t="str">
            <v>UD. JOSUA</v>
          </cell>
          <cell r="V144" t="str">
            <v>Gestiwan Bazikho</v>
          </cell>
          <cell r="W144" t="str">
            <v>081375309828</v>
          </cell>
          <cell r="X144" t="str">
            <v>Jl. Diponegoro Kel. Pasar Telukdalam - Nias Selatan</v>
          </cell>
        </row>
        <row r="145">
          <cell r="C145" t="str">
            <v>5.1.02.01.01.0024</v>
          </cell>
          <cell r="D145" t="str">
            <v>06. 05. 08.</v>
          </cell>
          <cell r="E145">
            <v>45687</v>
          </cell>
          <cell r="F145" t="str">
            <v>01/02/2025</v>
          </cell>
          <cell r="G145">
            <v>45</v>
          </cell>
          <cell r="H145" t="str">
            <v>01/02/2025</v>
          </cell>
          <cell r="J145" t="str">
            <v>04/02/2025</v>
          </cell>
          <cell r="K145" t="str">
            <v>BPU27</v>
          </cell>
          <cell r="L145" t="str">
            <v>Kertas HVS 60 gram Merk : Paper One HVS F4 uk. 8.27"x11.69"</v>
          </cell>
          <cell r="M145" t="str">
            <v>Kertas HVS 60 gram Merk : Paper One HVS F4 uk. 8.27"x11.69"</v>
          </cell>
          <cell r="N145">
            <v>10</v>
          </cell>
          <cell r="O145" t="str">
            <v>rim</v>
          </cell>
          <cell r="P145">
            <v>48500</v>
          </cell>
          <cell r="Q145">
            <v>485000</v>
          </cell>
          <cell r="T145" t="str">
            <v>UD. JOSUA</v>
          </cell>
          <cell r="V145" t="str">
            <v>Gestiwan Bazikho</v>
          </cell>
          <cell r="W145" t="str">
            <v>081375309828</v>
          </cell>
          <cell r="X145" t="str">
            <v>Jl. Diponegoro Kel. Pasar Telukdalam - Nias Selatan</v>
          </cell>
        </row>
        <row r="146">
          <cell r="C146" t="str">
            <v>5.1.02.01.01.0024</v>
          </cell>
          <cell r="D146" t="str">
            <v>06. 05. 08.</v>
          </cell>
          <cell r="E146">
            <v>45687</v>
          </cell>
          <cell r="F146" t="str">
            <v>01/02/2025</v>
          </cell>
          <cell r="G146">
            <v>45</v>
          </cell>
          <cell r="H146" t="str">
            <v>01/02/2025</v>
          </cell>
          <cell r="J146" t="str">
            <v>04/02/2025</v>
          </cell>
          <cell r="K146" t="str">
            <v>BPU27</v>
          </cell>
          <cell r="L146" t="str">
            <v>Kertas HVS 80 gram Merk : Paper One A4, Ukuran : 8,27" x 11,69", Isi : 500 lembar</v>
          </cell>
          <cell r="M146" t="str">
            <v>Kertas HVS 80 gram Merk : Paper One A4, Ukuran : 8,27" x 11,69", Isi : 500 lembar</v>
          </cell>
          <cell r="N146">
            <v>40</v>
          </cell>
          <cell r="O146" t="str">
            <v>rim</v>
          </cell>
          <cell r="P146">
            <v>50000</v>
          </cell>
          <cell r="Q146">
            <v>2000000</v>
          </cell>
          <cell r="T146" t="str">
            <v>UD. JOSUA</v>
          </cell>
          <cell r="V146" t="str">
            <v>Gestiwan Bazikho</v>
          </cell>
          <cell r="W146" t="str">
            <v>081375309828</v>
          </cell>
          <cell r="X146" t="str">
            <v>Jl. Diponegoro Kel. Pasar Telukdalam - Nias Selatan</v>
          </cell>
        </row>
        <row r="147">
          <cell r="C147" t="str">
            <v>5.1.02.01.01.0024</v>
          </cell>
          <cell r="D147" t="str">
            <v>06. 05. 08.</v>
          </cell>
          <cell r="E147">
            <v>45687</v>
          </cell>
          <cell r="F147" t="str">
            <v>01/02/2025</v>
          </cell>
          <cell r="G147">
            <v>45</v>
          </cell>
          <cell r="H147" t="str">
            <v>01/02/2025</v>
          </cell>
          <cell r="J147" t="str">
            <v>04/02/2025</v>
          </cell>
          <cell r="K147" t="str">
            <v>BPU27</v>
          </cell>
          <cell r="L147" t="str">
            <v>Kertas StensiI</v>
          </cell>
          <cell r="M147" t="str">
            <v>Kertas StensiI</v>
          </cell>
          <cell r="N147">
            <v>10</v>
          </cell>
          <cell r="O147" t="str">
            <v>bungkus</v>
          </cell>
          <cell r="P147">
            <v>50000</v>
          </cell>
          <cell r="Q147">
            <v>500000</v>
          </cell>
          <cell r="T147" t="str">
            <v>UD. JOSUA</v>
          </cell>
          <cell r="V147" t="str">
            <v>Gestiwan Bazikho</v>
          </cell>
          <cell r="W147" t="str">
            <v>081375309828</v>
          </cell>
          <cell r="X147" t="str">
            <v>Jl. Diponegoro Kel. Pasar Telukdalam - Nias Selatan</v>
          </cell>
        </row>
        <row r="148">
          <cell r="C148" t="str">
            <v>5.1.02.01.01.0024</v>
          </cell>
          <cell r="D148" t="str">
            <v>06. 05. 08.</v>
          </cell>
          <cell r="E148">
            <v>45687</v>
          </cell>
          <cell r="F148" t="str">
            <v>01/02/2025</v>
          </cell>
          <cell r="G148">
            <v>45</v>
          </cell>
          <cell r="H148" t="str">
            <v>01/02/2025</v>
          </cell>
          <cell r="J148" t="str">
            <v>04/02/2025</v>
          </cell>
          <cell r="K148" t="str">
            <v>BPU27</v>
          </cell>
          <cell r="L148" t="str">
            <v>Kertas Label</v>
          </cell>
          <cell r="M148" t="str">
            <v>Kertas Label</v>
          </cell>
          <cell r="N148">
            <v>5</v>
          </cell>
          <cell r="O148" t="str">
            <v>lembar</v>
          </cell>
          <cell r="P148">
            <v>25000</v>
          </cell>
          <cell r="Q148">
            <v>125000</v>
          </cell>
          <cell r="T148" t="str">
            <v>UD. JOSUA</v>
          </cell>
          <cell r="V148" t="str">
            <v>Gestiwan Bazikho</v>
          </cell>
          <cell r="W148" t="str">
            <v>081375309828</v>
          </cell>
          <cell r="X148" t="str">
            <v>Jl. Diponegoro Kel. Pasar Telukdalam - Nias Selatan</v>
          </cell>
        </row>
        <row r="149">
          <cell r="C149" t="str">
            <v>5.1.02.01.01.0024</v>
          </cell>
          <cell r="D149" t="str">
            <v>06. 05. 08.</v>
          </cell>
          <cell r="E149">
            <v>45687</v>
          </cell>
          <cell r="F149" t="str">
            <v>01/02/2025</v>
          </cell>
          <cell r="G149">
            <v>45</v>
          </cell>
          <cell r="H149" t="str">
            <v>01/02/2025</v>
          </cell>
          <cell r="J149" t="str">
            <v>04/02/2025</v>
          </cell>
          <cell r="K149" t="str">
            <v>BPU27</v>
          </cell>
          <cell r="L149" t="str">
            <v>Amplop Coklat Merk : GSU Ukuran : 1/2 folio, bergaris</v>
          </cell>
          <cell r="M149" t="str">
            <v>Amplop Coklat Merk : GSU Ukuran : 1/2 folio, bergaris</v>
          </cell>
          <cell r="N149">
            <v>1</v>
          </cell>
          <cell r="O149" t="str">
            <v>bungkus</v>
          </cell>
          <cell r="P149">
            <v>45000</v>
          </cell>
          <cell r="Q149">
            <v>45000</v>
          </cell>
          <cell r="T149" t="str">
            <v>UD. JOSUA</v>
          </cell>
          <cell r="V149" t="str">
            <v>Gestiwan Bazikho</v>
          </cell>
          <cell r="W149" t="str">
            <v>081375309828</v>
          </cell>
          <cell r="X149" t="str">
            <v>Jl. Diponegoro Kel. Pasar Telukdalam - Nias Selatan</v>
          </cell>
        </row>
        <row r="150">
          <cell r="C150" t="str">
            <v>5.1.02.01.01.0024</v>
          </cell>
          <cell r="D150" t="str">
            <v>06. 05. 08.</v>
          </cell>
          <cell r="E150">
            <v>45687</v>
          </cell>
          <cell r="F150" t="str">
            <v>01/02/2025</v>
          </cell>
          <cell r="G150">
            <v>45</v>
          </cell>
          <cell r="H150" t="str">
            <v>01/02/2025</v>
          </cell>
          <cell r="J150" t="str">
            <v>04/02/2025</v>
          </cell>
          <cell r="K150" t="str">
            <v>BPU27</v>
          </cell>
          <cell r="L150" t="str">
            <v>Amplop Coklat Merk : Garda Ukuran Cabinet</v>
          </cell>
          <cell r="M150" t="str">
            <v>Amplop Coklat Merk : Garda Ukuran Cabinet</v>
          </cell>
          <cell r="N150">
            <v>3</v>
          </cell>
          <cell r="O150" t="str">
            <v>bungkus</v>
          </cell>
          <cell r="P150">
            <v>23000</v>
          </cell>
          <cell r="Q150">
            <v>69000</v>
          </cell>
          <cell r="T150" t="str">
            <v>UD. JOSUA</v>
          </cell>
          <cell r="V150" t="str">
            <v>Gestiwan Bazikho</v>
          </cell>
          <cell r="W150" t="str">
            <v>081375309828</v>
          </cell>
          <cell r="X150" t="str">
            <v>Jl. Diponegoro Kel. Pasar Telukdalam - Nias Selatan</v>
          </cell>
        </row>
        <row r="151">
          <cell r="C151" t="str">
            <v>5.1.02.01.01.0024</v>
          </cell>
          <cell r="D151" t="str">
            <v>06. 05. 08.</v>
          </cell>
          <cell r="E151">
            <v>45687</v>
          </cell>
          <cell r="F151" t="str">
            <v>01/02/2025</v>
          </cell>
          <cell r="G151">
            <v>45</v>
          </cell>
          <cell r="H151" t="str">
            <v>01/02/2025</v>
          </cell>
          <cell r="J151" t="str">
            <v>04/02/2025</v>
          </cell>
          <cell r="K151" t="str">
            <v>BPU27</v>
          </cell>
          <cell r="L151" t="str">
            <v>Amplop Coklat Merk : GSU Ukuran Folio polos</v>
          </cell>
          <cell r="M151" t="str">
            <v>Amplop Coklat Merk : GSU Ukuran Folio polos</v>
          </cell>
          <cell r="N151">
            <v>2</v>
          </cell>
          <cell r="O151" t="str">
            <v>bungkus</v>
          </cell>
          <cell r="P151">
            <v>60000</v>
          </cell>
          <cell r="Q151">
            <v>120000</v>
          </cell>
          <cell r="T151" t="str">
            <v>UD. JOSUA</v>
          </cell>
          <cell r="V151" t="str">
            <v>Gestiwan Bazikho</v>
          </cell>
          <cell r="W151" t="str">
            <v>081375309828</v>
          </cell>
          <cell r="X151" t="str">
            <v>Jl. Diponegoro Kel. Pasar Telukdalam - Nias Selatan</v>
          </cell>
        </row>
        <row r="152">
          <cell r="C152" t="str">
            <v>5.1.02.01.01.0024</v>
          </cell>
          <cell r="D152" t="str">
            <v>06. 05. 08.</v>
          </cell>
          <cell r="E152">
            <v>45687</v>
          </cell>
          <cell r="F152" t="str">
            <v>01/02/2025</v>
          </cell>
          <cell r="G152">
            <v>45</v>
          </cell>
          <cell r="H152" t="str">
            <v>01/02/2025</v>
          </cell>
          <cell r="J152" t="str">
            <v>04/02/2025</v>
          </cell>
          <cell r="K152" t="str">
            <v>BPU27</v>
          </cell>
          <cell r="L152" t="str">
            <v>Amplop Panjang Putih Polos Merk : Jaya Ukuran : 11 x 23 cm</v>
          </cell>
          <cell r="M152" t="str">
            <v>Amplop Panjang Putih Polos Merk : Jaya Ukuran : 11 x 23 cm</v>
          </cell>
          <cell r="N152">
            <v>1</v>
          </cell>
          <cell r="O152" t="str">
            <v>kotak</v>
          </cell>
          <cell r="P152">
            <v>48000</v>
          </cell>
          <cell r="Q152">
            <v>48000</v>
          </cell>
          <cell r="T152" t="str">
            <v>UD. JOSUA</v>
          </cell>
          <cell r="V152" t="str">
            <v>Gestiwan Bazikho</v>
          </cell>
          <cell r="W152" t="str">
            <v>081375309828</v>
          </cell>
          <cell r="X152" t="str">
            <v>Jl. Diponegoro Kel. Pasar Telukdalam - Nias Selatan</v>
          </cell>
        </row>
        <row r="153">
          <cell r="C153" t="str">
            <v>5.1.02.01.01.0024</v>
          </cell>
          <cell r="D153" t="str">
            <v>06. 05. 08.</v>
          </cell>
          <cell r="E153">
            <v>45687</v>
          </cell>
          <cell r="F153" t="str">
            <v>01/02/2025</v>
          </cell>
          <cell r="G153">
            <v>45</v>
          </cell>
          <cell r="H153" t="str">
            <v>01/02/2025</v>
          </cell>
          <cell r="J153" t="str">
            <v>04/02/2025</v>
          </cell>
          <cell r="K153" t="str">
            <v>BPU27</v>
          </cell>
          <cell r="L153" t="str">
            <v>Ballpoint Drawing Pen 0,1 Snowman</v>
          </cell>
          <cell r="M153" t="str">
            <v>Ballpoint Drawing Pen 0,1 Snowman</v>
          </cell>
          <cell r="N153">
            <v>1</v>
          </cell>
          <cell r="O153" t="str">
            <v>lusin</v>
          </cell>
          <cell r="P153">
            <v>95000</v>
          </cell>
          <cell r="Q153">
            <v>95000</v>
          </cell>
          <cell r="T153" t="str">
            <v>UD. JOSUA</v>
          </cell>
          <cell r="V153" t="str">
            <v>Gestiwan Bazikho</v>
          </cell>
          <cell r="W153" t="str">
            <v>081375309828</v>
          </cell>
          <cell r="X153" t="str">
            <v>Jl. Diponegoro Kel. Pasar Telukdalam - Nias Selatan</v>
          </cell>
        </row>
        <row r="154">
          <cell r="C154" t="str">
            <v>5.1.02.01.01.0024</v>
          </cell>
          <cell r="D154" t="str">
            <v>06. 05. 08.</v>
          </cell>
          <cell r="E154">
            <v>45687</v>
          </cell>
          <cell r="F154" t="str">
            <v>01/02/2025</v>
          </cell>
          <cell r="G154">
            <v>45</v>
          </cell>
          <cell r="H154" t="str">
            <v>01/02/2025</v>
          </cell>
          <cell r="J154" t="str">
            <v>04/02/2025</v>
          </cell>
          <cell r="K154" t="str">
            <v>BPU27</v>
          </cell>
          <cell r="L154" t="str">
            <v>Ballpoint Standard AE7</v>
          </cell>
          <cell r="M154" t="str">
            <v>Ballpoint Standard AE7</v>
          </cell>
          <cell r="N154">
            <v>2</v>
          </cell>
          <cell r="O154" t="str">
            <v>lusin</v>
          </cell>
          <cell r="P154">
            <v>20000</v>
          </cell>
          <cell r="Q154">
            <v>40000</v>
          </cell>
          <cell r="T154" t="str">
            <v>UD. JOSUA</v>
          </cell>
          <cell r="V154" t="str">
            <v>Gestiwan Bazikho</v>
          </cell>
          <cell r="W154" t="str">
            <v>081375309828</v>
          </cell>
          <cell r="X154" t="str">
            <v>Jl. Diponegoro Kel. Pasar Telukdalam - Nias Selatan</v>
          </cell>
        </row>
        <row r="155">
          <cell r="C155" t="str">
            <v>5.1.02.01.01.0024</v>
          </cell>
          <cell r="D155" t="str">
            <v>06. 05. 08.</v>
          </cell>
          <cell r="E155">
            <v>45687</v>
          </cell>
          <cell r="F155" t="str">
            <v>01/02/2025</v>
          </cell>
          <cell r="G155">
            <v>45</v>
          </cell>
          <cell r="H155" t="str">
            <v>01/02/2025</v>
          </cell>
          <cell r="J155" t="str">
            <v>04/02/2025</v>
          </cell>
          <cell r="K155" t="str">
            <v>BPU27</v>
          </cell>
          <cell r="L155" t="str">
            <v>Ballpoint Pilot G2</v>
          </cell>
          <cell r="M155" t="str">
            <v>Ballpoint Pilot G2</v>
          </cell>
          <cell r="N155">
            <v>1</v>
          </cell>
          <cell r="O155" t="str">
            <v>lusin</v>
          </cell>
          <cell r="P155">
            <v>235000</v>
          </cell>
          <cell r="Q155">
            <v>235000</v>
          </cell>
          <cell r="T155" t="str">
            <v>UD. JOSUA</v>
          </cell>
          <cell r="V155" t="str">
            <v>Gestiwan Bazikho</v>
          </cell>
          <cell r="W155" t="str">
            <v>081375309828</v>
          </cell>
          <cell r="X155" t="str">
            <v>Jl. Diponegoro Kel. Pasar Telukdalam - Nias Selatan</v>
          </cell>
        </row>
        <row r="156">
          <cell r="C156" t="str">
            <v>5.1.02.01.01.0024</v>
          </cell>
          <cell r="D156" t="str">
            <v>06. 05. 08.</v>
          </cell>
          <cell r="E156">
            <v>45687</v>
          </cell>
          <cell r="F156" t="str">
            <v>01/02/2025</v>
          </cell>
          <cell r="G156">
            <v>45</v>
          </cell>
          <cell r="H156" t="str">
            <v>01/02/2025</v>
          </cell>
          <cell r="J156" t="str">
            <v>04/02/2025</v>
          </cell>
          <cell r="K156" t="str">
            <v>BPU27</v>
          </cell>
          <cell r="L156" t="str">
            <v>Binder Klip  nomor 107</v>
          </cell>
          <cell r="M156" t="str">
            <v>Binder Klip  nomor 107</v>
          </cell>
          <cell r="N156">
            <v>5</v>
          </cell>
          <cell r="O156" t="str">
            <v>kotak</v>
          </cell>
          <cell r="P156">
            <v>7800</v>
          </cell>
          <cell r="Q156">
            <v>39000</v>
          </cell>
          <cell r="T156" t="str">
            <v>UD. JOSUA</v>
          </cell>
          <cell r="V156" t="str">
            <v>Gestiwan Bazikho</v>
          </cell>
          <cell r="W156" t="str">
            <v>081375309828</v>
          </cell>
          <cell r="X156" t="str">
            <v>Jl. Diponegoro Kel. Pasar Telukdalam - Nias Selatan</v>
          </cell>
        </row>
        <row r="157">
          <cell r="C157" t="str">
            <v>5.1.02.01.01.0024</v>
          </cell>
          <cell r="D157" t="str">
            <v>06. 05. 08.</v>
          </cell>
          <cell r="E157">
            <v>45687</v>
          </cell>
          <cell r="F157" t="str">
            <v>01/02/2025</v>
          </cell>
          <cell r="G157">
            <v>45</v>
          </cell>
          <cell r="H157" t="str">
            <v>01/02/2025</v>
          </cell>
          <cell r="J157" t="str">
            <v>04/02/2025</v>
          </cell>
          <cell r="K157" t="str">
            <v>BPU27</v>
          </cell>
          <cell r="L157" t="str">
            <v>Binder Klip  nomor 111</v>
          </cell>
          <cell r="M157" t="str">
            <v>Binder Klip  nomor 111</v>
          </cell>
          <cell r="N157">
            <v>5</v>
          </cell>
          <cell r="O157" t="str">
            <v>kotak</v>
          </cell>
          <cell r="P157">
            <v>11000</v>
          </cell>
          <cell r="Q157">
            <v>55000</v>
          </cell>
          <cell r="T157" t="str">
            <v>UD. JOSUA</v>
          </cell>
          <cell r="V157" t="str">
            <v>Gestiwan Bazikho</v>
          </cell>
          <cell r="W157" t="str">
            <v>081375309828</v>
          </cell>
          <cell r="X157" t="str">
            <v>Jl. Diponegoro Kel. Pasar Telukdalam - Nias Selatan</v>
          </cell>
        </row>
        <row r="158">
          <cell r="C158" t="str">
            <v>5.1.02.01.01.0024</v>
          </cell>
          <cell r="D158" t="str">
            <v>06. 05. 08.</v>
          </cell>
          <cell r="E158">
            <v>45687</v>
          </cell>
          <cell r="F158" t="str">
            <v>01/02/2025</v>
          </cell>
          <cell r="G158">
            <v>45</v>
          </cell>
          <cell r="H158" t="str">
            <v>01/02/2025</v>
          </cell>
          <cell r="J158" t="str">
            <v>04/02/2025</v>
          </cell>
          <cell r="K158" t="str">
            <v>BPU27</v>
          </cell>
          <cell r="L158" t="str">
            <v>Binder Klip  nomor 200</v>
          </cell>
          <cell r="M158" t="str">
            <v>Binder Klip  nomor 200</v>
          </cell>
          <cell r="N158">
            <v>10</v>
          </cell>
          <cell r="O158" t="str">
            <v>kotak</v>
          </cell>
          <cell r="P158">
            <v>16500</v>
          </cell>
          <cell r="Q158">
            <v>165000</v>
          </cell>
          <cell r="T158" t="str">
            <v>UD. JOSUA</v>
          </cell>
          <cell r="V158" t="str">
            <v>Gestiwan Bazikho</v>
          </cell>
          <cell r="W158" t="str">
            <v>081375309828</v>
          </cell>
          <cell r="X158" t="str">
            <v>Jl. Diponegoro Kel. Pasar Telukdalam - Nias Selatan</v>
          </cell>
        </row>
        <row r="159">
          <cell r="C159" t="str">
            <v>5.1.02.01.01.0024</v>
          </cell>
          <cell r="D159" t="str">
            <v>06. 05. 08.</v>
          </cell>
          <cell r="E159">
            <v>45687</v>
          </cell>
          <cell r="F159" t="str">
            <v>01/02/2025</v>
          </cell>
          <cell r="G159">
            <v>45</v>
          </cell>
          <cell r="H159" t="str">
            <v>01/02/2025</v>
          </cell>
          <cell r="J159" t="str">
            <v>04/02/2025</v>
          </cell>
          <cell r="K159" t="str">
            <v>BPU27</v>
          </cell>
          <cell r="L159" t="str">
            <v>Binder Klip  nomor 260</v>
          </cell>
          <cell r="M159" t="str">
            <v>Binder Klip  nomor 260</v>
          </cell>
          <cell r="N159">
            <v>10</v>
          </cell>
          <cell r="O159" t="str">
            <v>kotak</v>
          </cell>
          <cell r="P159">
            <v>20000</v>
          </cell>
          <cell r="Q159">
            <v>200000</v>
          </cell>
          <cell r="T159" t="str">
            <v>UD. JOSUA</v>
          </cell>
          <cell r="V159" t="str">
            <v>Gestiwan Bazikho</v>
          </cell>
          <cell r="W159" t="str">
            <v>081375309828</v>
          </cell>
          <cell r="X159" t="str">
            <v>Jl. Diponegoro Kel. Pasar Telukdalam - Nias Selatan</v>
          </cell>
        </row>
        <row r="160">
          <cell r="C160" t="str">
            <v>5.1.02.01.01.0024</v>
          </cell>
          <cell r="D160" t="str">
            <v>06. 05. 08.</v>
          </cell>
          <cell r="E160">
            <v>45687</v>
          </cell>
          <cell r="F160" t="str">
            <v>01/02/2025</v>
          </cell>
          <cell r="G160">
            <v>45</v>
          </cell>
          <cell r="H160" t="str">
            <v>01/02/2025</v>
          </cell>
          <cell r="J160" t="str">
            <v>04/02/2025</v>
          </cell>
          <cell r="K160" t="str">
            <v>BPU27</v>
          </cell>
          <cell r="L160" t="str">
            <v>Binder Klip Merk : KENKO nomor 105</v>
          </cell>
          <cell r="M160" t="str">
            <v>Binder Klip Merk : KENKO nomor 105</v>
          </cell>
          <cell r="N160">
            <v>2</v>
          </cell>
          <cell r="O160" t="str">
            <v>kotak</v>
          </cell>
          <cell r="P160">
            <v>5000</v>
          </cell>
          <cell r="Q160">
            <v>10000</v>
          </cell>
          <cell r="T160" t="str">
            <v>UD. JOSUA</v>
          </cell>
          <cell r="V160" t="str">
            <v>Gestiwan Bazikho</v>
          </cell>
          <cell r="W160" t="str">
            <v>081375309828</v>
          </cell>
          <cell r="X160" t="str">
            <v>Jl. Diponegoro Kel. Pasar Telukdalam - Nias Selatan</v>
          </cell>
        </row>
        <row r="161">
          <cell r="C161" t="str">
            <v>5.1.02.01.01.0024</v>
          </cell>
          <cell r="D161" t="str">
            <v>06. 05. 08.</v>
          </cell>
          <cell r="E161">
            <v>45687</v>
          </cell>
          <cell r="F161" t="str">
            <v>01/02/2025</v>
          </cell>
          <cell r="G161">
            <v>45</v>
          </cell>
          <cell r="H161" t="str">
            <v>01/02/2025</v>
          </cell>
          <cell r="J161" t="str">
            <v>04/02/2025</v>
          </cell>
          <cell r="K161" t="str">
            <v>BPU27</v>
          </cell>
          <cell r="L161" t="str">
            <v>Map Binder</v>
          </cell>
          <cell r="M161" t="str">
            <v>Map Binder</v>
          </cell>
          <cell r="N161">
            <v>12</v>
          </cell>
          <cell r="O161" t="str">
            <v>buah</v>
          </cell>
          <cell r="P161">
            <v>35500</v>
          </cell>
          <cell r="Q161">
            <v>426000</v>
          </cell>
          <cell r="T161" t="str">
            <v>UD. JOSUA</v>
          </cell>
          <cell r="V161" t="str">
            <v>Gestiwan Bazikho</v>
          </cell>
          <cell r="W161" t="str">
            <v>081375309828</v>
          </cell>
          <cell r="X161" t="str">
            <v>Jl. Diponegoro Kel. Pasar Telukdalam - Nias Selatan</v>
          </cell>
        </row>
        <row r="162">
          <cell r="C162" t="str">
            <v>5.1.02.01.01.0024</v>
          </cell>
          <cell r="D162" t="str">
            <v>06. 05. 08.</v>
          </cell>
          <cell r="E162">
            <v>45687</v>
          </cell>
          <cell r="F162" t="str">
            <v>01/02/2025</v>
          </cell>
          <cell r="G162">
            <v>45</v>
          </cell>
          <cell r="H162" t="str">
            <v>01/02/2025</v>
          </cell>
          <cell r="J162" t="str">
            <v>04/02/2025</v>
          </cell>
          <cell r="K162" t="str">
            <v>BPU27</v>
          </cell>
          <cell r="L162" t="str">
            <v>Stofmap Kertas</v>
          </cell>
          <cell r="M162" t="str">
            <v>Stofmap Kertas</v>
          </cell>
          <cell r="N162">
            <v>1</v>
          </cell>
          <cell r="O162" t="str">
            <v>pak</v>
          </cell>
          <cell r="P162">
            <v>88000</v>
          </cell>
          <cell r="Q162">
            <v>88000</v>
          </cell>
          <cell r="T162" t="str">
            <v>UD. JOSUA</v>
          </cell>
          <cell r="V162" t="str">
            <v>Gestiwan Bazikho</v>
          </cell>
          <cell r="W162" t="str">
            <v>081375309828</v>
          </cell>
          <cell r="X162" t="str">
            <v>Jl. Diponegoro Kel. Pasar Telukdalam - Nias Selatan</v>
          </cell>
        </row>
        <row r="163">
          <cell r="C163" t="str">
            <v>5.1.02.01.01.0024</v>
          </cell>
          <cell r="D163" t="str">
            <v>06. 05. 08.</v>
          </cell>
          <cell r="E163">
            <v>45687</v>
          </cell>
          <cell r="F163" t="str">
            <v>01/02/2025</v>
          </cell>
          <cell r="G163">
            <v>45</v>
          </cell>
          <cell r="H163" t="str">
            <v>01/02/2025</v>
          </cell>
          <cell r="J163" t="str">
            <v>04/02/2025</v>
          </cell>
          <cell r="K163" t="str">
            <v>BPU27</v>
          </cell>
          <cell r="L163" t="str">
            <v>Stofmap Transparan tali</v>
          </cell>
          <cell r="M163" t="str">
            <v>Stofmap Transparan tali</v>
          </cell>
          <cell r="N163">
            <v>100</v>
          </cell>
          <cell r="O163" t="str">
            <v>buah</v>
          </cell>
          <cell r="P163">
            <v>5500</v>
          </cell>
          <cell r="Q163">
            <v>550000</v>
          </cell>
          <cell r="T163" t="str">
            <v>UD. JOSUA</v>
          </cell>
          <cell r="V163" t="str">
            <v>Gestiwan Bazikho</v>
          </cell>
          <cell r="W163" t="str">
            <v>081375309828</v>
          </cell>
          <cell r="X163" t="str">
            <v>Jl. Diponegoro Kel. Pasar Telukdalam - Nias Selatan</v>
          </cell>
        </row>
        <row r="164">
          <cell r="C164" t="str">
            <v>5.1.02.01.01.0024</v>
          </cell>
          <cell r="D164" t="str">
            <v>06. 05. 08.</v>
          </cell>
          <cell r="E164">
            <v>45687</v>
          </cell>
          <cell r="F164" t="str">
            <v>01/02/2025</v>
          </cell>
          <cell r="G164">
            <v>45</v>
          </cell>
          <cell r="H164" t="str">
            <v>01/02/2025</v>
          </cell>
          <cell r="J164" t="str">
            <v>04/02/2025</v>
          </cell>
          <cell r="K164" t="str">
            <v>BPU27</v>
          </cell>
          <cell r="L164" t="str">
            <v>Stofmap Transparan</v>
          </cell>
          <cell r="M164" t="str">
            <v>Stofmap Transparan</v>
          </cell>
          <cell r="N164">
            <v>100</v>
          </cell>
          <cell r="O164" t="str">
            <v>buah</v>
          </cell>
          <cell r="P164">
            <v>5500</v>
          </cell>
          <cell r="Q164">
            <v>550000</v>
          </cell>
          <cell r="T164" t="str">
            <v>UD. JOSUA</v>
          </cell>
          <cell r="V164" t="str">
            <v>Gestiwan Bazikho</v>
          </cell>
          <cell r="W164" t="str">
            <v>081375309828</v>
          </cell>
          <cell r="X164" t="str">
            <v>Jl. Diponegoro Kel. Pasar Telukdalam - Nias Selatan</v>
          </cell>
        </row>
        <row r="165">
          <cell r="C165" t="str">
            <v>5.1.02.01.01.0024</v>
          </cell>
          <cell r="D165" t="str">
            <v>06. 05. 08.</v>
          </cell>
          <cell r="E165">
            <v>45687</v>
          </cell>
          <cell r="F165" t="str">
            <v>01/02/2025</v>
          </cell>
          <cell r="G165">
            <v>45</v>
          </cell>
          <cell r="H165" t="str">
            <v>01/02/2025</v>
          </cell>
          <cell r="J165" t="str">
            <v>04/02/2025</v>
          </cell>
          <cell r="K165" t="str">
            <v>BPU27</v>
          </cell>
          <cell r="L165" t="str">
            <v>Binder Klip Ordner</v>
          </cell>
          <cell r="M165" t="str">
            <v>Binder Klip Ordner</v>
          </cell>
          <cell r="N165">
            <v>6</v>
          </cell>
          <cell r="O165" t="str">
            <v>buah</v>
          </cell>
          <cell r="P165">
            <v>49500</v>
          </cell>
          <cell r="Q165">
            <v>297000</v>
          </cell>
          <cell r="T165" t="str">
            <v>UD. JOSUA</v>
          </cell>
          <cell r="V165" t="str">
            <v>Gestiwan Bazikho</v>
          </cell>
          <cell r="W165" t="str">
            <v>081375309828</v>
          </cell>
          <cell r="X165" t="str">
            <v>Jl. Diponegoro Kel. Pasar Telukdalam - Nias Selatan</v>
          </cell>
        </row>
        <row r="166">
          <cell r="C166" t="str">
            <v>5.1.02.01.01.0024</v>
          </cell>
          <cell r="D166" t="str">
            <v>06. 05. 08.</v>
          </cell>
          <cell r="E166">
            <v>45687</v>
          </cell>
          <cell r="F166" t="str">
            <v>01/02/2025</v>
          </cell>
          <cell r="G166">
            <v>45</v>
          </cell>
          <cell r="H166" t="str">
            <v>01/02/2025</v>
          </cell>
          <cell r="J166" t="str">
            <v>04/02/2025</v>
          </cell>
          <cell r="K166" t="str">
            <v>BPU27</v>
          </cell>
          <cell r="L166" t="str">
            <v>Box File Merk : Bantex Ukuran : 115x270x325 mm</v>
          </cell>
          <cell r="M166" t="str">
            <v>Box File Merk : Bantex Ukuran : 115x270x325 mm</v>
          </cell>
          <cell r="N166">
            <v>4</v>
          </cell>
          <cell r="O166" t="str">
            <v>buah</v>
          </cell>
          <cell r="P166">
            <v>59000</v>
          </cell>
          <cell r="Q166">
            <v>236000</v>
          </cell>
          <cell r="T166" t="str">
            <v>UD. JOSUA</v>
          </cell>
          <cell r="V166" t="str">
            <v>Gestiwan Bazikho</v>
          </cell>
          <cell r="W166" t="str">
            <v>081375309828</v>
          </cell>
          <cell r="X166" t="str">
            <v>Jl. Diponegoro Kel. Pasar Telukdalam - Nias Selatan</v>
          </cell>
        </row>
        <row r="167">
          <cell r="C167" t="str">
            <v>5.1.02.01.01.0024</v>
          </cell>
          <cell r="D167" t="str">
            <v>06. 05. 08.</v>
          </cell>
          <cell r="E167">
            <v>45687</v>
          </cell>
          <cell r="F167" t="str">
            <v>01/02/2025</v>
          </cell>
          <cell r="G167">
            <v>45</v>
          </cell>
          <cell r="H167" t="str">
            <v>01/02/2025</v>
          </cell>
          <cell r="J167" t="str">
            <v>04/02/2025</v>
          </cell>
          <cell r="K167" t="str">
            <v>BPU27</v>
          </cell>
          <cell r="L167" t="str">
            <v>Sampul Plastik</v>
          </cell>
          <cell r="M167" t="str">
            <v>Sampul Plastik</v>
          </cell>
          <cell r="N167">
            <v>5</v>
          </cell>
          <cell r="O167" t="str">
            <v>bungkus</v>
          </cell>
          <cell r="P167">
            <v>65000</v>
          </cell>
          <cell r="Q167">
            <v>325000</v>
          </cell>
          <cell r="T167" t="str">
            <v>UD. JOSUA</v>
          </cell>
          <cell r="V167" t="str">
            <v>Gestiwan Bazikho</v>
          </cell>
          <cell r="W167" t="str">
            <v>081375309828</v>
          </cell>
          <cell r="X167" t="str">
            <v>Jl. Diponegoro Kel. Pasar Telukdalam - Nias Selatan</v>
          </cell>
        </row>
        <row r="168">
          <cell r="C168" t="str">
            <v>5.1.02.01.01.0024</v>
          </cell>
          <cell r="D168" t="str">
            <v>06. 05. 08.</v>
          </cell>
          <cell r="E168">
            <v>45687</v>
          </cell>
          <cell r="F168" t="str">
            <v>01/02/2025</v>
          </cell>
          <cell r="G168">
            <v>45</v>
          </cell>
          <cell r="H168" t="str">
            <v>01/02/2025</v>
          </cell>
          <cell r="J168" t="str">
            <v>04/02/2025</v>
          </cell>
          <cell r="K168" t="str">
            <v>BPU27</v>
          </cell>
          <cell r="L168" t="str">
            <v>Tinta Printer Canon 740 Hitam-740 Hitam</v>
          </cell>
          <cell r="M168" t="str">
            <v>Tinta Printer Canon 740 Hitam-740 Hitam</v>
          </cell>
          <cell r="N168">
            <v>8</v>
          </cell>
          <cell r="O168" t="str">
            <v>botol</v>
          </cell>
          <cell r="P168">
            <v>30000</v>
          </cell>
          <cell r="Q168">
            <v>240000</v>
          </cell>
          <cell r="T168" t="str">
            <v>UD. JOSUA</v>
          </cell>
          <cell r="V168" t="str">
            <v>Gestiwan Bazikho</v>
          </cell>
          <cell r="W168" t="str">
            <v>081375309828</v>
          </cell>
          <cell r="X168" t="str">
            <v>Jl. Diponegoro Kel. Pasar Telukdalam - Nias Selatan</v>
          </cell>
        </row>
        <row r="169">
          <cell r="C169" t="str">
            <v>5.1.02.01.01.0024</v>
          </cell>
          <cell r="D169" t="str">
            <v>06. 05. 08.</v>
          </cell>
          <cell r="E169">
            <v>45687</v>
          </cell>
          <cell r="F169" t="str">
            <v>01/02/2025</v>
          </cell>
          <cell r="G169">
            <v>45</v>
          </cell>
          <cell r="H169" t="str">
            <v>01/02/2025</v>
          </cell>
          <cell r="J169" t="str">
            <v>04/02/2025</v>
          </cell>
          <cell r="K169" t="str">
            <v>BPU27</v>
          </cell>
          <cell r="L169" t="str">
            <v>Tinta Printer Canon 741 Warna-741 Warna</v>
          </cell>
          <cell r="M169" t="str">
            <v>Tinta Printer Canon 741 Warna-741 Warna</v>
          </cell>
          <cell r="N169">
            <v>12</v>
          </cell>
          <cell r="O169" t="str">
            <v>botol</v>
          </cell>
          <cell r="P169">
            <v>33000</v>
          </cell>
          <cell r="Q169">
            <v>396000</v>
          </cell>
          <cell r="T169" t="str">
            <v>UD. JOSUA</v>
          </cell>
          <cell r="V169" t="str">
            <v>Gestiwan Bazikho</v>
          </cell>
          <cell r="W169" t="str">
            <v>081375309828</v>
          </cell>
          <cell r="X169" t="str">
            <v>Jl. Diponegoro Kel. Pasar Telukdalam - Nias Selatan</v>
          </cell>
        </row>
        <row r="170">
          <cell r="C170" t="str">
            <v>5.1.02.01.01.0024</v>
          </cell>
          <cell r="D170" t="str">
            <v>06. 05. 08.</v>
          </cell>
          <cell r="E170">
            <v>45687</v>
          </cell>
          <cell r="F170" t="str">
            <v>01/02/2025</v>
          </cell>
          <cell r="G170">
            <v>45</v>
          </cell>
          <cell r="H170" t="str">
            <v>01/02/2025</v>
          </cell>
          <cell r="J170" t="str">
            <v>04/02/2025</v>
          </cell>
          <cell r="K170" t="str">
            <v>BPU27</v>
          </cell>
          <cell r="L170" t="str">
            <v>C. Tinta Printer EPSON Toner Epson 664 Black</v>
          </cell>
          <cell r="M170" t="str">
            <v>C. Tinta Printer EPSON Toner Epson 664 Black</v>
          </cell>
          <cell r="N170">
            <v>6</v>
          </cell>
          <cell r="O170" t="str">
            <v>botol</v>
          </cell>
          <cell r="P170">
            <v>85000</v>
          </cell>
          <cell r="Q170">
            <v>510000</v>
          </cell>
          <cell r="T170" t="str">
            <v>UD. JOSUA</v>
          </cell>
          <cell r="V170" t="str">
            <v>Gestiwan Bazikho</v>
          </cell>
          <cell r="W170" t="str">
            <v>081375309828</v>
          </cell>
          <cell r="X170" t="str">
            <v>Jl. Diponegoro Kel. Pasar Telukdalam - Nias Selatan</v>
          </cell>
        </row>
        <row r="171">
          <cell r="C171" t="str">
            <v>5.1.02.01.01.0024</v>
          </cell>
          <cell r="D171" t="str">
            <v>06. 05. 08.</v>
          </cell>
          <cell r="E171">
            <v>45687</v>
          </cell>
          <cell r="F171" t="str">
            <v>01/02/2025</v>
          </cell>
          <cell r="G171">
            <v>45</v>
          </cell>
          <cell r="H171" t="str">
            <v>01/02/2025</v>
          </cell>
          <cell r="J171" t="str">
            <v>04/02/2025</v>
          </cell>
          <cell r="K171" t="str">
            <v>BPU27</v>
          </cell>
          <cell r="L171" t="str">
            <v>C. Tinta Printer EPSON Tinta Printer Epson Yellow</v>
          </cell>
          <cell r="M171" t="str">
            <v>C. Tinta Printer EPSON Tinta Printer Epson Yellow</v>
          </cell>
          <cell r="N171">
            <v>4</v>
          </cell>
          <cell r="O171" t="str">
            <v>botol</v>
          </cell>
          <cell r="P171">
            <v>110000</v>
          </cell>
          <cell r="Q171">
            <v>440000</v>
          </cell>
          <cell r="T171" t="str">
            <v>UD. JOSUA</v>
          </cell>
          <cell r="V171" t="str">
            <v>Gestiwan Bazikho</v>
          </cell>
          <cell r="W171" t="str">
            <v>081375309828</v>
          </cell>
          <cell r="X171" t="str">
            <v>Jl. Diponegoro Kel. Pasar Telukdalam - Nias Selatan</v>
          </cell>
        </row>
        <row r="172">
          <cell r="C172" t="str">
            <v>5.1.02.01.01.0024</v>
          </cell>
          <cell r="D172" t="str">
            <v>06. 05. 08.</v>
          </cell>
          <cell r="E172">
            <v>45687</v>
          </cell>
          <cell r="F172" t="str">
            <v>01/02/2025</v>
          </cell>
          <cell r="G172">
            <v>45</v>
          </cell>
          <cell r="H172" t="str">
            <v>01/02/2025</v>
          </cell>
          <cell r="J172" t="str">
            <v>04/02/2025</v>
          </cell>
          <cell r="K172" t="str">
            <v>BPU27</v>
          </cell>
          <cell r="L172" t="str">
            <v>C. Tinta Printer EPSON Tinta Printer Epson Blue</v>
          </cell>
          <cell r="M172" t="str">
            <v>C. Tinta Printer EPSON Tinta Printer Epson Blue</v>
          </cell>
          <cell r="N172">
            <v>4</v>
          </cell>
          <cell r="O172" t="str">
            <v>botol</v>
          </cell>
          <cell r="P172">
            <v>110000</v>
          </cell>
          <cell r="Q172">
            <v>440000</v>
          </cell>
          <cell r="T172" t="str">
            <v>UD. JOSUA</v>
          </cell>
          <cell r="V172" t="str">
            <v>Gestiwan Bazikho</v>
          </cell>
          <cell r="W172" t="str">
            <v>081375309828</v>
          </cell>
          <cell r="X172" t="str">
            <v>Jl. Diponegoro Kel. Pasar Telukdalam - Nias Selatan</v>
          </cell>
        </row>
        <row r="173">
          <cell r="C173" t="str">
            <v>5.1.02.01.01.0024</v>
          </cell>
          <cell r="D173" t="str">
            <v>06. 05. 08.</v>
          </cell>
          <cell r="E173">
            <v>45687</v>
          </cell>
          <cell r="F173" t="str">
            <v>01/02/2025</v>
          </cell>
          <cell r="G173">
            <v>45</v>
          </cell>
          <cell r="H173" t="str">
            <v>01/02/2025</v>
          </cell>
          <cell r="J173" t="str">
            <v>04/02/2025</v>
          </cell>
          <cell r="K173" t="str">
            <v>BPU27</v>
          </cell>
          <cell r="L173" t="str">
            <v>C. Tinta Printer EPSON Tinta Printer Epson Read</v>
          </cell>
          <cell r="M173" t="str">
            <v>C. Tinta Printer EPSON Tinta Printer Epson Read</v>
          </cell>
          <cell r="N173">
            <v>4</v>
          </cell>
          <cell r="O173" t="str">
            <v>botol</v>
          </cell>
          <cell r="P173">
            <v>110000</v>
          </cell>
          <cell r="Q173">
            <v>440000</v>
          </cell>
          <cell r="T173" t="str">
            <v>UD. JOSUA</v>
          </cell>
          <cell r="V173" t="str">
            <v>Gestiwan Bazikho</v>
          </cell>
          <cell r="W173" t="str">
            <v>081375309828</v>
          </cell>
          <cell r="X173" t="str">
            <v>Jl. Diponegoro Kel. Pasar Telukdalam - Nias Selatan</v>
          </cell>
        </row>
        <row r="174">
          <cell r="C174" t="str">
            <v>5.1.02.01.01.0024</v>
          </cell>
          <cell r="D174" t="str">
            <v>06. 05. 08.</v>
          </cell>
          <cell r="E174">
            <v>45687</v>
          </cell>
          <cell r="F174" t="str">
            <v>01/02/2025</v>
          </cell>
          <cell r="G174">
            <v>45</v>
          </cell>
          <cell r="H174" t="str">
            <v>01/02/2025</v>
          </cell>
          <cell r="J174" t="str">
            <v>04/02/2025</v>
          </cell>
          <cell r="K174" t="str">
            <v>BPU27</v>
          </cell>
          <cell r="L174" t="str">
            <v>Lakban Besar</v>
          </cell>
          <cell r="M174" t="str">
            <v>Lakban Besar</v>
          </cell>
          <cell r="N174">
            <v>5</v>
          </cell>
          <cell r="O174" t="str">
            <v>buah</v>
          </cell>
          <cell r="P174">
            <v>25000</v>
          </cell>
          <cell r="Q174">
            <v>125000</v>
          </cell>
          <cell r="T174" t="str">
            <v>UD. JOSUA</v>
          </cell>
          <cell r="V174" t="str">
            <v>Gestiwan Bazikho</v>
          </cell>
          <cell r="W174" t="str">
            <v>081375309828</v>
          </cell>
          <cell r="X174" t="str">
            <v>Jl. Diponegoro Kel. Pasar Telukdalam - Nias Selatan</v>
          </cell>
        </row>
        <row r="175">
          <cell r="C175" t="str">
            <v>5.1.02.01.01.0024</v>
          </cell>
          <cell r="D175" t="str">
            <v>06. 05. 08.</v>
          </cell>
          <cell r="E175">
            <v>45687</v>
          </cell>
          <cell r="F175" t="str">
            <v>01/02/2025</v>
          </cell>
          <cell r="G175">
            <v>45</v>
          </cell>
          <cell r="H175" t="str">
            <v>01/02/2025</v>
          </cell>
          <cell r="J175" t="str">
            <v>04/02/2025</v>
          </cell>
          <cell r="K175" t="str">
            <v>BPU27</v>
          </cell>
          <cell r="L175" t="str">
            <v>Lakban Bening Sedang</v>
          </cell>
          <cell r="M175" t="str">
            <v>Lakban Bening Sedang</v>
          </cell>
          <cell r="N175">
            <v>5</v>
          </cell>
          <cell r="O175" t="str">
            <v>buah</v>
          </cell>
          <cell r="P175">
            <v>15000</v>
          </cell>
          <cell r="Q175">
            <v>75000</v>
          </cell>
          <cell r="T175" t="str">
            <v>UD. JOSUA</v>
          </cell>
          <cell r="V175" t="str">
            <v>Gestiwan Bazikho</v>
          </cell>
          <cell r="W175" t="str">
            <v>081375309828</v>
          </cell>
          <cell r="X175" t="str">
            <v>Jl. Diponegoro Kel. Pasar Telukdalam - Nias Selatan</v>
          </cell>
        </row>
        <row r="176">
          <cell r="C176" t="str">
            <v>5.1.02.01.01.0024</v>
          </cell>
          <cell r="D176" t="str">
            <v>06. 05. 08.</v>
          </cell>
          <cell r="E176">
            <v>45687</v>
          </cell>
          <cell r="F176" t="str">
            <v>01/02/2025</v>
          </cell>
          <cell r="G176">
            <v>45</v>
          </cell>
          <cell r="H176" t="str">
            <v>01/02/2025</v>
          </cell>
          <cell r="J176" t="str">
            <v>04/02/2025</v>
          </cell>
          <cell r="K176" t="str">
            <v>BPU27</v>
          </cell>
          <cell r="L176" t="str">
            <v>Lakban Bening</v>
          </cell>
          <cell r="M176" t="str">
            <v>Lakban Bening</v>
          </cell>
          <cell r="N176">
            <v>5</v>
          </cell>
          <cell r="O176" t="str">
            <v>buah</v>
          </cell>
          <cell r="P176">
            <v>10000</v>
          </cell>
          <cell r="Q176">
            <v>50000</v>
          </cell>
          <cell r="T176" t="str">
            <v>UD. JOSUA</v>
          </cell>
          <cell r="V176" t="str">
            <v>Gestiwan Bazikho</v>
          </cell>
          <cell r="W176" t="str">
            <v>081375309828</v>
          </cell>
          <cell r="X176" t="str">
            <v>Jl. Diponegoro Kel. Pasar Telukdalam - Nias Selatan</v>
          </cell>
        </row>
        <row r="177">
          <cell r="C177" t="str">
            <v>5.1.02.01.01.0024</v>
          </cell>
          <cell r="D177" t="str">
            <v>06. 05. 08.</v>
          </cell>
          <cell r="E177">
            <v>45687</v>
          </cell>
          <cell r="F177" t="str">
            <v>01/02/2025</v>
          </cell>
          <cell r="G177">
            <v>45</v>
          </cell>
          <cell r="H177" t="str">
            <v>01/02/2025</v>
          </cell>
          <cell r="J177" t="str">
            <v>04/02/2025</v>
          </cell>
          <cell r="K177" t="str">
            <v>BPU27</v>
          </cell>
          <cell r="L177" t="str">
            <v>Lakban Hitam--</v>
          </cell>
          <cell r="M177" t="str">
            <v>Lakban Hitam--</v>
          </cell>
          <cell r="N177">
            <v>5</v>
          </cell>
          <cell r="O177" t="str">
            <v>buah</v>
          </cell>
          <cell r="P177">
            <v>15000</v>
          </cell>
          <cell r="Q177">
            <v>75000</v>
          </cell>
          <cell r="T177" t="str">
            <v>UD. JOSUA</v>
          </cell>
          <cell r="V177" t="str">
            <v>Gestiwan Bazikho</v>
          </cell>
          <cell r="W177" t="str">
            <v>081375309828</v>
          </cell>
          <cell r="X177" t="str">
            <v>Jl. Diponegoro Kel. Pasar Telukdalam - Nias Selatan</v>
          </cell>
        </row>
        <row r="178">
          <cell r="C178" t="str">
            <v>5.1.02.01.01.0024</v>
          </cell>
          <cell r="D178" t="str">
            <v>06. 05. 08.</v>
          </cell>
          <cell r="E178">
            <v>45687</v>
          </cell>
          <cell r="F178" t="str">
            <v>01/02/2025</v>
          </cell>
          <cell r="G178">
            <v>45</v>
          </cell>
          <cell r="H178" t="str">
            <v>01/02/2025</v>
          </cell>
          <cell r="J178" t="str">
            <v>04/02/2025</v>
          </cell>
          <cell r="K178" t="str">
            <v>BPU27</v>
          </cell>
          <cell r="L178" t="str">
            <v>lakban hitam-ukuran : lebar 2 inch, panjang 12m, bahan : kain</v>
          </cell>
          <cell r="M178" t="str">
            <v>lakban hitam-ukuran : lebar 2 inch, panjang 12m, bahan : kain</v>
          </cell>
          <cell r="N178">
            <v>4</v>
          </cell>
          <cell r="O178" t="str">
            <v>buah</v>
          </cell>
          <cell r="P178">
            <v>12500</v>
          </cell>
          <cell r="Q178">
            <v>50000</v>
          </cell>
          <cell r="T178" t="str">
            <v>UD. JOSUA</v>
          </cell>
          <cell r="V178" t="str">
            <v>Gestiwan Bazikho</v>
          </cell>
          <cell r="W178" t="str">
            <v>081375309828</v>
          </cell>
          <cell r="X178" t="str">
            <v>Jl. Diponegoro Kel. Pasar Telukdalam - Nias Selatan</v>
          </cell>
        </row>
        <row r="179">
          <cell r="C179" t="str">
            <v>5.1.02.01.01.0024</v>
          </cell>
          <cell r="D179" t="str">
            <v>06. 05. 08.</v>
          </cell>
          <cell r="E179">
            <v>45687</v>
          </cell>
          <cell r="F179" t="str">
            <v>01/02/2025</v>
          </cell>
          <cell r="G179">
            <v>45</v>
          </cell>
          <cell r="H179" t="str">
            <v>01/02/2025</v>
          </cell>
          <cell r="J179" t="str">
            <v>04/02/2025</v>
          </cell>
          <cell r="K179" t="str">
            <v>BPU27</v>
          </cell>
          <cell r="L179" t="str">
            <v>Lakban Hitam uk 2 " Warna hitam uk. 2 "</v>
          </cell>
          <cell r="M179" t="str">
            <v>Lakban Hitam uk 2 " Warna hitam uk. 2 "</v>
          </cell>
          <cell r="N179">
            <v>5</v>
          </cell>
          <cell r="O179" t="str">
            <v>buah</v>
          </cell>
          <cell r="P179">
            <v>25000</v>
          </cell>
          <cell r="Q179">
            <v>125000</v>
          </cell>
          <cell r="T179" t="str">
            <v>UD. JOSUA</v>
          </cell>
          <cell r="V179" t="str">
            <v>Gestiwan Bazikho</v>
          </cell>
          <cell r="W179" t="str">
            <v>081375309828</v>
          </cell>
          <cell r="X179" t="str">
            <v>Jl. Diponegoro Kel. Pasar Telukdalam - Nias Selatan</v>
          </cell>
        </row>
        <row r="180">
          <cell r="C180" t="str">
            <v>5.1.02.01.01.0024</v>
          </cell>
          <cell r="D180" t="str">
            <v>06. 05. 08.</v>
          </cell>
          <cell r="E180">
            <v>45687</v>
          </cell>
          <cell r="F180" t="str">
            <v>01/02/2025</v>
          </cell>
          <cell r="G180">
            <v>45</v>
          </cell>
          <cell r="H180" t="str">
            <v>01/02/2025</v>
          </cell>
          <cell r="J180" t="str">
            <v>04/02/2025</v>
          </cell>
          <cell r="K180" t="str">
            <v>BPU27</v>
          </cell>
          <cell r="L180" t="str">
            <v>Lakban warna Uk 2" Warna Coklat Cofiie</v>
          </cell>
          <cell r="M180" t="str">
            <v>Lakban warna Uk 2" Warna Coklat Cofiie</v>
          </cell>
          <cell r="N180">
            <v>3</v>
          </cell>
          <cell r="O180" t="str">
            <v>buah</v>
          </cell>
          <cell r="P180">
            <v>20000</v>
          </cell>
          <cell r="Q180">
            <v>60000</v>
          </cell>
          <cell r="T180" t="str">
            <v>UD. JOSUA</v>
          </cell>
          <cell r="V180" t="str">
            <v>Gestiwan Bazikho</v>
          </cell>
          <cell r="W180" t="str">
            <v>081375309828</v>
          </cell>
          <cell r="X180" t="str">
            <v>Jl. Diponegoro Kel. Pasar Telukdalam - Nias Selatan</v>
          </cell>
        </row>
        <row r="181">
          <cell r="C181" t="str">
            <v>5.1.02.01.01.0024</v>
          </cell>
          <cell r="D181" t="str">
            <v>06. 05. 08.</v>
          </cell>
          <cell r="E181">
            <v>45687</v>
          </cell>
          <cell r="F181" t="str">
            <v>01/02/2025</v>
          </cell>
          <cell r="G181">
            <v>45</v>
          </cell>
          <cell r="H181" t="str">
            <v>01/02/2025</v>
          </cell>
          <cell r="J181" t="str">
            <v>04/02/2025</v>
          </cell>
          <cell r="K181" t="str">
            <v>BPU27</v>
          </cell>
          <cell r="L181" t="str">
            <v>Spidol Refil Spidol White Board Snowman</v>
          </cell>
          <cell r="M181" t="str">
            <v>Spidol Refil Spidol White Board Snowman</v>
          </cell>
          <cell r="N181">
            <v>10</v>
          </cell>
          <cell r="O181" t="str">
            <v>buah</v>
          </cell>
          <cell r="P181">
            <v>20900</v>
          </cell>
          <cell r="Q181">
            <v>209000</v>
          </cell>
          <cell r="T181" t="str">
            <v>UD. JOSUA</v>
          </cell>
          <cell r="V181" t="str">
            <v>Gestiwan Bazikho</v>
          </cell>
          <cell r="W181" t="str">
            <v>081375309828</v>
          </cell>
          <cell r="X181" t="str">
            <v>Jl. Diponegoro Kel. Pasar Telukdalam - Nias Selatan</v>
          </cell>
        </row>
        <row r="182">
          <cell r="C182" t="str">
            <v>5.1.02.01.01.0024</v>
          </cell>
          <cell r="D182" t="str">
            <v>06. 05. 08.</v>
          </cell>
          <cell r="E182">
            <v>45687</v>
          </cell>
          <cell r="F182" t="str">
            <v>01/02/2025</v>
          </cell>
          <cell r="G182">
            <v>45</v>
          </cell>
          <cell r="H182" t="str">
            <v>01/02/2025</v>
          </cell>
          <cell r="J182" t="str">
            <v>04/02/2025</v>
          </cell>
          <cell r="K182" t="str">
            <v>BPU27</v>
          </cell>
          <cell r="L182" t="str">
            <v>Spidol White board</v>
          </cell>
          <cell r="M182" t="str">
            <v>Spidol White board</v>
          </cell>
          <cell r="N182">
            <v>2</v>
          </cell>
          <cell r="O182" t="str">
            <v>lusin</v>
          </cell>
          <cell r="P182">
            <v>120000</v>
          </cell>
          <cell r="Q182">
            <v>240000</v>
          </cell>
          <cell r="T182" t="str">
            <v>UD. JOSUA</v>
          </cell>
          <cell r="V182" t="str">
            <v>Gestiwan Bazikho</v>
          </cell>
          <cell r="W182" t="str">
            <v>081375309828</v>
          </cell>
          <cell r="X182" t="str">
            <v>Jl. Diponegoro Kel. Pasar Telukdalam - Nias Selatan</v>
          </cell>
        </row>
        <row r="183">
          <cell r="C183" t="str">
            <v>5.1.02.01.01.0024</v>
          </cell>
          <cell r="D183" t="str">
            <v>06. 05. 08.</v>
          </cell>
          <cell r="E183">
            <v>45687</v>
          </cell>
          <cell r="F183" t="str">
            <v>01/02/2025</v>
          </cell>
          <cell r="G183">
            <v>45</v>
          </cell>
          <cell r="H183" t="str">
            <v>01/02/2025</v>
          </cell>
          <cell r="J183" t="str">
            <v>04/02/2025</v>
          </cell>
          <cell r="K183" t="str">
            <v>BPU27</v>
          </cell>
          <cell r="L183" t="str">
            <v>Stapler HD-10--</v>
          </cell>
          <cell r="M183" t="str">
            <v>Stapler HD-10--</v>
          </cell>
          <cell r="N183">
            <v>2</v>
          </cell>
          <cell r="O183" t="str">
            <v>buah</v>
          </cell>
          <cell r="P183">
            <v>20000</v>
          </cell>
          <cell r="Q183">
            <v>40000</v>
          </cell>
          <cell r="T183" t="str">
            <v>UD. JOSUA</v>
          </cell>
          <cell r="V183" t="str">
            <v>Gestiwan Bazikho</v>
          </cell>
          <cell r="W183" t="str">
            <v>081375309828</v>
          </cell>
          <cell r="X183" t="str">
            <v>Jl. Diponegoro Kel. Pasar Telukdalam - Nias Selatan</v>
          </cell>
        </row>
        <row r="184">
          <cell r="C184" t="str">
            <v>5.1.02.01.01.0024</v>
          </cell>
          <cell r="D184" t="str">
            <v>06. 05. 08.</v>
          </cell>
          <cell r="E184">
            <v>45687</v>
          </cell>
          <cell r="F184" t="str">
            <v>01/02/2025</v>
          </cell>
          <cell r="G184">
            <v>45</v>
          </cell>
          <cell r="H184" t="str">
            <v>01/02/2025</v>
          </cell>
          <cell r="J184" t="str">
            <v>04/02/2025</v>
          </cell>
          <cell r="K184" t="str">
            <v>BPU27</v>
          </cell>
          <cell r="L184" t="str">
            <v>Stapler Stapler No, 50 MAX</v>
          </cell>
          <cell r="M184" t="str">
            <v>Stapler Stapler No, 50 MAX</v>
          </cell>
          <cell r="N184">
            <v>2</v>
          </cell>
          <cell r="O184" t="str">
            <v>buah</v>
          </cell>
          <cell r="P184">
            <v>25000</v>
          </cell>
          <cell r="Q184">
            <v>50000</v>
          </cell>
          <cell r="T184" t="str">
            <v>UD. JOSUA</v>
          </cell>
          <cell r="V184" t="str">
            <v>Gestiwan Bazikho</v>
          </cell>
          <cell r="W184" t="str">
            <v>081375309828</v>
          </cell>
          <cell r="X184" t="str">
            <v>Jl. Diponegoro Kel. Pasar Telukdalam - Nias Selatan</v>
          </cell>
        </row>
        <row r="185">
          <cell r="C185" t="str">
            <v>5.1.02.01.01.0024</v>
          </cell>
          <cell r="D185" t="str">
            <v>06. 05. 08.</v>
          </cell>
          <cell r="E185">
            <v>45687</v>
          </cell>
          <cell r="F185" t="str">
            <v>01/02/2025</v>
          </cell>
          <cell r="G185">
            <v>45</v>
          </cell>
          <cell r="H185" t="str">
            <v>01/02/2025</v>
          </cell>
          <cell r="J185" t="str">
            <v>04/02/2025</v>
          </cell>
          <cell r="K185" t="str">
            <v>BPU27</v>
          </cell>
          <cell r="L185" t="str">
            <v>PAPER CLIP  Paper Clip No 1</v>
          </cell>
          <cell r="M185" t="str">
            <v>PAPER CLIP  Paper Clip No 1</v>
          </cell>
          <cell r="N185">
            <v>5</v>
          </cell>
          <cell r="O185" t="str">
            <v>kotak</v>
          </cell>
          <cell r="P185">
            <v>6000</v>
          </cell>
          <cell r="Q185">
            <v>30000</v>
          </cell>
          <cell r="T185" t="str">
            <v>UD. JOSUA</v>
          </cell>
          <cell r="V185" t="str">
            <v>Gestiwan Bazikho</v>
          </cell>
          <cell r="W185" t="str">
            <v>081375309828</v>
          </cell>
          <cell r="X185" t="str">
            <v>Jl. Diponegoro Kel. Pasar Telukdalam - Nias Selatan</v>
          </cell>
        </row>
        <row r="186">
          <cell r="C186" t="str">
            <v>5.1.02.01.01.0024</v>
          </cell>
          <cell r="D186" t="str">
            <v>06. 05. 08.</v>
          </cell>
          <cell r="E186">
            <v>45687</v>
          </cell>
          <cell r="F186" t="str">
            <v>01/02/2025</v>
          </cell>
          <cell r="G186">
            <v>45</v>
          </cell>
          <cell r="H186" t="str">
            <v>01/02/2025</v>
          </cell>
          <cell r="J186" t="str">
            <v>04/02/2025</v>
          </cell>
          <cell r="K186" t="str">
            <v>BPU27</v>
          </cell>
          <cell r="L186" t="str">
            <v>Paper Clip No 1  Paper Clip No 3</v>
          </cell>
          <cell r="M186" t="str">
            <v>Paper Clip No 1  Paper Clip No 3</v>
          </cell>
          <cell r="N186">
            <v>5</v>
          </cell>
          <cell r="O186" t="str">
            <v>kotak</v>
          </cell>
          <cell r="P186">
            <v>6000</v>
          </cell>
          <cell r="Q186">
            <v>30000</v>
          </cell>
          <cell r="T186" t="str">
            <v>UD. JOSUA</v>
          </cell>
          <cell r="V186" t="str">
            <v>Gestiwan Bazikho</v>
          </cell>
          <cell r="W186" t="str">
            <v>081375309828</v>
          </cell>
          <cell r="X186" t="str">
            <v>Jl. Diponegoro Kel. Pasar Telukdalam - Nias Selatan</v>
          </cell>
        </row>
        <row r="187">
          <cell r="C187" t="str">
            <v>5.1.02.01.01.0024</v>
          </cell>
          <cell r="D187" t="str">
            <v>06. 05. 08.</v>
          </cell>
          <cell r="E187">
            <v>45687</v>
          </cell>
          <cell r="F187" t="str">
            <v>01/02/2025</v>
          </cell>
          <cell r="G187">
            <v>45</v>
          </cell>
          <cell r="H187" t="str">
            <v>01/02/2025</v>
          </cell>
          <cell r="J187" t="str">
            <v>04/02/2025</v>
          </cell>
          <cell r="K187" t="str">
            <v>BPU27</v>
          </cell>
          <cell r="L187" t="str">
            <v>gunting kertas-ukuran : panjang 21cm x lebar 8cm, stainless steel</v>
          </cell>
          <cell r="M187" t="str">
            <v>gunting kertas-ukuran : panjang 21cm x lebar 8cm, stainless steel</v>
          </cell>
          <cell r="N187">
            <v>2</v>
          </cell>
          <cell r="O187" t="str">
            <v>buah</v>
          </cell>
          <cell r="P187">
            <v>20000</v>
          </cell>
          <cell r="Q187">
            <v>40000</v>
          </cell>
          <cell r="T187" t="str">
            <v>UD. JOSUA</v>
          </cell>
          <cell r="V187" t="str">
            <v>Gestiwan Bazikho</v>
          </cell>
          <cell r="W187" t="str">
            <v>081375309828</v>
          </cell>
          <cell r="X187" t="str">
            <v>Jl. Diponegoro Kel. Pasar Telukdalam - Nias Selatan</v>
          </cell>
        </row>
        <row r="188">
          <cell r="C188" t="str">
            <v>5.1.02.01.01.0024</v>
          </cell>
          <cell r="D188" t="str">
            <v>06. 05. 08.</v>
          </cell>
          <cell r="E188">
            <v>45687</v>
          </cell>
          <cell r="F188" t="str">
            <v>01/02/2025</v>
          </cell>
          <cell r="G188">
            <v>45</v>
          </cell>
          <cell r="H188" t="str">
            <v>01/02/2025</v>
          </cell>
          <cell r="J188" t="str">
            <v>04/02/2025</v>
          </cell>
          <cell r="K188" t="str">
            <v>BPU27</v>
          </cell>
          <cell r="L188" t="str">
            <v>Pisau Cutter Kenko L-500</v>
          </cell>
          <cell r="M188" t="str">
            <v>Pisau Cutter Kenko L-500</v>
          </cell>
          <cell r="N188">
            <v>2</v>
          </cell>
          <cell r="O188" t="str">
            <v>buah</v>
          </cell>
          <cell r="P188">
            <v>15000</v>
          </cell>
          <cell r="Q188">
            <v>30000</v>
          </cell>
          <cell r="T188" t="str">
            <v>UD. JOSUA</v>
          </cell>
          <cell r="V188" t="str">
            <v>Gestiwan Bazikho</v>
          </cell>
          <cell r="W188" t="str">
            <v>081375309828</v>
          </cell>
          <cell r="X188" t="str">
            <v>Jl. Diponegoro Kel. Pasar Telukdalam - Nias Selatan</v>
          </cell>
        </row>
        <row r="189">
          <cell r="C189" t="str">
            <v>5.1.02.01.01.0024</v>
          </cell>
          <cell r="D189" t="str">
            <v>06. 05. 08.</v>
          </cell>
          <cell r="E189">
            <v>45687</v>
          </cell>
          <cell r="F189" t="str">
            <v>01/02/2025</v>
          </cell>
          <cell r="G189">
            <v>45</v>
          </cell>
          <cell r="H189" t="str">
            <v>01/02/2025</v>
          </cell>
          <cell r="J189" t="str">
            <v>04/02/2025</v>
          </cell>
          <cell r="K189" t="str">
            <v>BPU27</v>
          </cell>
          <cell r="L189" t="str">
            <v>Baterey Kecil</v>
          </cell>
          <cell r="M189" t="str">
            <v>Baterey Kecil</v>
          </cell>
          <cell r="N189">
            <v>5</v>
          </cell>
          <cell r="O189" t="str">
            <v>pasang</v>
          </cell>
          <cell r="P189">
            <v>20000</v>
          </cell>
          <cell r="Q189">
            <v>100000</v>
          </cell>
          <cell r="T189" t="str">
            <v>UD. JOSUA</v>
          </cell>
          <cell r="V189" t="str">
            <v>Gestiwan Bazikho</v>
          </cell>
          <cell r="W189" t="str">
            <v>081375309828</v>
          </cell>
          <cell r="X189" t="str">
            <v>Jl. Diponegoro Kel. Pasar Telukdalam - Nias Selatan</v>
          </cell>
        </row>
        <row r="190">
          <cell r="C190" t="str">
            <v>5.1.02.01.01.0026</v>
          </cell>
          <cell r="D190" t="str">
            <v>06. 05. 08.</v>
          </cell>
          <cell r="E190">
            <v>45687</v>
          </cell>
          <cell r="F190" t="str">
            <v>01/02/2025</v>
          </cell>
          <cell r="G190">
            <v>46</v>
          </cell>
          <cell r="H190" t="str">
            <v>01/02/2025</v>
          </cell>
          <cell r="J190" t="str">
            <v>04/02/2025</v>
          </cell>
          <cell r="K190" t="str">
            <v>BPU28</v>
          </cell>
          <cell r="L190" t="str">
            <v>Foto Copy Filio dan Kuarto</v>
          </cell>
          <cell r="M190" t="str">
            <v>Foto Copy Filio dan Kuarto</v>
          </cell>
          <cell r="N190">
            <v>4900</v>
          </cell>
          <cell r="O190" t="str">
            <v>lembar</v>
          </cell>
          <cell r="P190">
            <v>350</v>
          </cell>
          <cell r="Q190">
            <v>1715000</v>
          </cell>
          <cell r="T190" t="str">
            <v>UD. JOSUA</v>
          </cell>
          <cell r="V190" t="str">
            <v>Gestiwan Bazikho</v>
          </cell>
          <cell r="W190" t="str">
            <v>081375309828</v>
          </cell>
          <cell r="X190" t="str">
            <v>Jl. Diponegoro Kel. Pasar Telukdalam - Nias Selatan</v>
          </cell>
        </row>
        <row r="191">
          <cell r="C191" t="str">
            <v>5.1.02.01.01.0030</v>
          </cell>
          <cell r="D191" t="str">
            <v>06. 05. 09.</v>
          </cell>
          <cell r="E191">
            <v>45687</v>
          </cell>
          <cell r="F191" t="str">
            <v>01/02/2025</v>
          </cell>
          <cell r="G191">
            <v>47</v>
          </cell>
          <cell r="H191" t="str">
            <v>01/02/2025</v>
          </cell>
          <cell r="J191" t="str">
            <v>04/02/2025</v>
          </cell>
          <cell r="K191" t="str">
            <v>BPU29</v>
          </cell>
          <cell r="L191" t="str">
            <v>Tisu--</v>
          </cell>
          <cell r="M191" t="str">
            <v>Tisu--</v>
          </cell>
          <cell r="N191">
            <v>12</v>
          </cell>
          <cell r="O191" t="str">
            <v>buah</v>
          </cell>
          <cell r="P191">
            <v>12500</v>
          </cell>
          <cell r="Q191">
            <v>150000</v>
          </cell>
          <cell r="T191" t="str">
            <v>UD. JOSUA</v>
          </cell>
          <cell r="V191" t="str">
            <v>Gestiwan Bazikho</v>
          </cell>
          <cell r="W191" t="str">
            <v>081375309828</v>
          </cell>
          <cell r="X191" t="str">
            <v>Jl. Diponegoro Kel. Pasar Telukdalam - Nias Selatan</v>
          </cell>
        </row>
        <row r="192">
          <cell r="C192" t="str">
            <v>5.1.02.01.01.0030</v>
          </cell>
          <cell r="D192" t="str">
            <v>06. 05. 09.</v>
          </cell>
          <cell r="E192">
            <v>45687</v>
          </cell>
          <cell r="F192" t="str">
            <v>01/02/2025</v>
          </cell>
          <cell r="G192">
            <v>47</v>
          </cell>
          <cell r="H192" t="str">
            <v>01/02/2025</v>
          </cell>
          <cell r="J192" t="str">
            <v>04/02/2025</v>
          </cell>
          <cell r="K192" t="str">
            <v>BPU29</v>
          </cell>
          <cell r="L192" t="str">
            <v>vixal 500ml</v>
          </cell>
          <cell r="M192" t="str">
            <v>vixal 500ml</v>
          </cell>
          <cell r="N192">
            <v>10</v>
          </cell>
          <cell r="O192" t="str">
            <v>botol</v>
          </cell>
          <cell r="P192">
            <v>30000</v>
          </cell>
          <cell r="Q192">
            <v>300000</v>
          </cell>
          <cell r="T192" t="str">
            <v>UD. JOSUA</v>
          </cell>
          <cell r="V192" t="str">
            <v>Gestiwan Bazikho</v>
          </cell>
          <cell r="W192" t="str">
            <v>081375309828</v>
          </cell>
          <cell r="X192" t="str">
            <v>Jl. Diponegoro Kel. Pasar Telukdalam - Nias Selatan</v>
          </cell>
        </row>
        <row r="193">
          <cell r="C193" t="str">
            <v>5.1.02.01.01.0030</v>
          </cell>
          <cell r="D193" t="str">
            <v>06. 05. 09.</v>
          </cell>
          <cell r="E193">
            <v>45687</v>
          </cell>
          <cell r="F193" t="str">
            <v>01/02/2025</v>
          </cell>
          <cell r="G193">
            <v>47</v>
          </cell>
          <cell r="H193" t="str">
            <v>01/02/2025</v>
          </cell>
          <cell r="J193" t="str">
            <v>04/02/2025</v>
          </cell>
          <cell r="K193" t="str">
            <v>BPU29</v>
          </cell>
          <cell r="L193" t="str">
            <v>Perlengkapan Kebersihan Pembersih Lantai Super Pel Varian 800ml</v>
          </cell>
          <cell r="N193">
            <v>15</v>
          </cell>
          <cell r="O193" t="str">
            <v>buah</v>
          </cell>
          <cell r="P193">
            <v>13500</v>
          </cell>
          <cell r="Q193">
            <v>202500</v>
          </cell>
          <cell r="T193" t="str">
            <v>UD. JOSUA</v>
          </cell>
          <cell r="V193" t="str">
            <v>Gestiwan Bazikho</v>
          </cell>
          <cell r="W193" t="str">
            <v>081375309828</v>
          </cell>
          <cell r="X193" t="str">
            <v>Jl. Diponegoro Kel. Pasar Telukdalam - Nias Selatan</v>
          </cell>
        </row>
        <row r="194">
          <cell r="C194" t="str">
            <v>5.1.02.01.01.0030</v>
          </cell>
          <cell r="D194" t="str">
            <v>06. 05. 09.</v>
          </cell>
          <cell r="E194">
            <v>45687</v>
          </cell>
          <cell r="F194" t="str">
            <v>01/02/2025</v>
          </cell>
          <cell r="G194">
            <v>47</v>
          </cell>
          <cell r="H194" t="str">
            <v>01/02/2025</v>
          </cell>
          <cell r="J194" t="str">
            <v>04/02/2025</v>
          </cell>
          <cell r="K194" t="str">
            <v>BPU29</v>
          </cell>
          <cell r="L194" t="str">
            <v>Cairan Pembersih Kaca</v>
          </cell>
          <cell r="N194">
            <v>5</v>
          </cell>
          <cell r="O194" t="str">
            <v>buah</v>
          </cell>
          <cell r="P194">
            <v>12000</v>
          </cell>
          <cell r="Q194">
            <v>60000</v>
          </cell>
          <cell r="T194" t="str">
            <v>UD. JOSUA</v>
          </cell>
          <cell r="V194" t="str">
            <v>Gestiwan Bazikho</v>
          </cell>
          <cell r="W194" t="str">
            <v>081375309828</v>
          </cell>
          <cell r="X194" t="str">
            <v>Jl. Diponegoro Kel. Pasar Telukdalam - Nias Selatan</v>
          </cell>
        </row>
        <row r="195">
          <cell r="C195" t="str">
            <v>5.1.02.01.01.0030</v>
          </cell>
          <cell r="D195" t="str">
            <v>06. 05. 09.</v>
          </cell>
          <cell r="E195">
            <v>45687</v>
          </cell>
          <cell r="F195" t="str">
            <v>01/02/2025</v>
          </cell>
          <cell r="G195">
            <v>47</v>
          </cell>
          <cell r="H195" t="str">
            <v>01/02/2025</v>
          </cell>
          <cell r="J195" t="str">
            <v>04/02/2025</v>
          </cell>
          <cell r="K195" t="str">
            <v>BPU29</v>
          </cell>
          <cell r="L195" t="str">
            <v>Perlengkapan Kebersihan Pembersih Pakaian Sunlight Refil 800ml</v>
          </cell>
          <cell r="N195">
            <v>3</v>
          </cell>
          <cell r="O195" t="str">
            <v>buah</v>
          </cell>
          <cell r="P195">
            <v>15000</v>
          </cell>
          <cell r="Q195">
            <v>45000</v>
          </cell>
          <cell r="T195" t="str">
            <v>UD. JOSUA</v>
          </cell>
          <cell r="V195" t="str">
            <v>Gestiwan Bazikho</v>
          </cell>
          <cell r="W195" t="str">
            <v>081375309828</v>
          </cell>
          <cell r="X195" t="str">
            <v>Jl. Diponegoro Kel. Pasar Telukdalam - Nias Selatan</v>
          </cell>
        </row>
        <row r="196">
          <cell r="C196" t="str">
            <v>5.1.02.01.01.0030</v>
          </cell>
          <cell r="D196" t="str">
            <v>06. 05. 09.</v>
          </cell>
          <cell r="E196">
            <v>45687</v>
          </cell>
          <cell r="F196" t="str">
            <v>01/02/2025</v>
          </cell>
          <cell r="G196">
            <v>47</v>
          </cell>
          <cell r="H196" t="str">
            <v>01/02/2025</v>
          </cell>
          <cell r="J196" t="str">
            <v>04/02/2025</v>
          </cell>
          <cell r="K196" t="str">
            <v>BPU29</v>
          </cell>
          <cell r="L196" t="str">
            <v>Spon Cuci</v>
          </cell>
          <cell r="N196">
            <v>5</v>
          </cell>
          <cell r="O196" t="str">
            <v>buah</v>
          </cell>
          <cell r="P196">
            <v>12000</v>
          </cell>
          <cell r="Q196">
            <v>60000</v>
          </cell>
          <cell r="T196" t="str">
            <v>UD. JOSUA</v>
          </cell>
          <cell r="V196" t="str">
            <v>Gestiwan Bazikho</v>
          </cell>
          <cell r="W196" t="str">
            <v>081375309828</v>
          </cell>
          <cell r="X196" t="str">
            <v>Jl. Diponegoro Kel. Pasar Telukdalam - Nias Selatan</v>
          </cell>
        </row>
        <row r="197">
          <cell r="C197" t="str">
            <v>5.1.02.01.01.0030</v>
          </cell>
          <cell r="D197" t="str">
            <v>06. 05. 09.</v>
          </cell>
          <cell r="E197">
            <v>45687</v>
          </cell>
          <cell r="F197" t="str">
            <v>01/02/2025</v>
          </cell>
          <cell r="G197">
            <v>47</v>
          </cell>
          <cell r="H197" t="str">
            <v>01/02/2025</v>
          </cell>
          <cell r="J197" t="str">
            <v>04/02/2025</v>
          </cell>
          <cell r="K197" t="str">
            <v>BPU29</v>
          </cell>
          <cell r="L197" t="str">
            <v>Handsoap/Pencuci Tangan</v>
          </cell>
          <cell r="N197">
            <v>5</v>
          </cell>
          <cell r="O197" t="str">
            <v>botol</v>
          </cell>
          <cell r="P197">
            <v>67000</v>
          </cell>
          <cell r="Q197">
            <v>335000</v>
          </cell>
          <cell r="T197" t="str">
            <v>UD. JOSUA</v>
          </cell>
          <cell r="V197" t="str">
            <v>Gestiwan Bazikho</v>
          </cell>
          <cell r="W197" t="str">
            <v>081375309828</v>
          </cell>
          <cell r="X197" t="str">
            <v>Jl. Diponegoro Kel. Pasar Telukdalam - Nias Selatan</v>
          </cell>
        </row>
        <row r="198">
          <cell r="C198" t="str">
            <v>5.1.02.01.01.0030</v>
          </cell>
          <cell r="D198" t="str">
            <v>06. 05. 09.</v>
          </cell>
          <cell r="E198">
            <v>45687</v>
          </cell>
          <cell r="F198" t="str">
            <v>01/02/2025</v>
          </cell>
          <cell r="G198">
            <v>47</v>
          </cell>
          <cell r="H198" t="str">
            <v>01/02/2025</v>
          </cell>
          <cell r="J198" t="str">
            <v>04/02/2025</v>
          </cell>
          <cell r="K198" t="str">
            <v>BPU29</v>
          </cell>
          <cell r="L198" t="str">
            <v>Pengharum Ruangan</v>
          </cell>
          <cell r="N198">
            <v>10</v>
          </cell>
          <cell r="O198" t="str">
            <v>buah</v>
          </cell>
          <cell r="P198">
            <v>12100</v>
          </cell>
          <cell r="Q198">
            <v>121000</v>
          </cell>
          <cell r="T198" t="str">
            <v>UD. JOSUA</v>
          </cell>
          <cell r="V198" t="str">
            <v>Gestiwan Bazikho</v>
          </cell>
          <cell r="W198" t="str">
            <v>081375309828</v>
          </cell>
          <cell r="X198" t="str">
            <v>Jl. Diponegoro Kel. Pasar Telukdalam - Nias Selatan</v>
          </cell>
        </row>
        <row r="199">
          <cell r="C199" t="str">
            <v>5.1.02.01.01.0030</v>
          </cell>
          <cell r="D199" t="str">
            <v>06. 05. 09.</v>
          </cell>
          <cell r="E199">
            <v>45687</v>
          </cell>
          <cell r="F199" t="str">
            <v>01/02/2025</v>
          </cell>
          <cell r="G199">
            <v>47</v>
          </cell>
          <cell r="H199" t="str">
            <v>01/02/2025</v>
          </cell>
          <cell r="J199" t="str">
            <v>04/02/2025</v>
          </cell>
          <cell r="K199" t="str">
            <v>BPU29</v>
          </cell>
          <cell r="L199" t="str">
            <v>Hand Sanitizer-Unit</v>
          </cell>
          <cell r="N199">
            <v>5</v>
          </cell>
          <cell r="O199" t="str">
            <v>unit</v>
          </cell>
          <cell r="P199">
            <v>70000</v>
          </cell>
          <cell r="Q199">
            <v>350000</v>
          </cell>
          <cell r="T199" t="str">
            <v>UD. JOSUA</v>
          </cell>
          <cell r="V199" t="str">
            <v>Gestiwan Bazikho</v>
          </cell>
          <cell r="W199" t="str">
            <v>081375309828</v>
          </cell>
          <cell r="X199" t="str">
            <v>Jl. Diponegoro Kel. Pasar Telukdalam - Nias Selatan</v>
          </cell>
        </row>
        <row r="200">
          <cell r="C200" t="str">
            <v>5.1.02.01.01.0052</v>
          </cell>
          <cell r="D200" t="str">
            <v>03. 03. 08.</v>
          </cell>
          <cell r="E200">
            <v>45689</v>
          </cell>
          <cell r="F200" t="str">
            <v>03/02/2025</v>
          </cell>
          <cell r="G200">
            <v>48</v>
          </cell>
          <cell r="H200" t="str">
            <v>04/02/2025</v>
          </cell>
          <cell r="J200" t="str">
            <v>04/02/2025</v>
          </cell>
          <cell r="K200" t="str">
            <v>BPU30</v>
          </cell>
          <cell r="L200" t="str">
            <v>Kudapan pada Kegiatan Rapat Penyusunan Program Kesiswaan TP 2024/2025</v>
          </cell>
          <cell r="M200" t="str">
            <v>Kue Besar</v>
          </cell>
          <cell r="N200">
            <v>90</v>
          </cell>
          <cell r="O200" t="str">
            <v>kotak</v>
          </cell>
          <cell r="P200">
            <v>15000</v>
          </cell>
          <cell r="Q200">
            <v>1350000</v>
          </cell>
          <cell r="T200" t="str">
            <v>Rumah Roti Helena</v>
          </cell>
          <cell r="V200" t="str">
            <v>Fudi Supiyanto</v>
          </cell>
          <cell r="W200" t="str">
            <v>082164895397</v>
          </cell>
          <cell r="X200" t="str">
            <v>Jln Ahmad Yani No.89 Kel. Pasar Telukdalam, Nias Selatan</v>
          </cell>
        </row>
        <row r="201">
          <cell r="C201" t="str">
            <v>5.1.02.01.01.0052</v>
          </cell>
          <cell r="D201" t="str">
            <v>03. 03. 08.</v>
          </cell>
          <cell r="E201">
            <v>45689</v>
          </cell>
          <cell r="F201" t="str">
            <v>03/02/2025</v>
          </cell>
          <cell r="G201">
            <v>49</v>
          </cell>
          <cell r="H201" t="str">
            <v>04/02/2025</v>
          </cell>
          <cell r="J201" t="str">
            <v>04/02/2025</v>
          </cell>
          <cell r="K201" t="str">
            <v>BPU31</v>
          </cell>
          <cell r="L201" t="str">
            <v>Konsumsi pada Kegiatan Rapat Penyusunan Program Kesiswaan TP 2024/2025</v>
          </cell>
          <cell r="M201" t="str">
            <v>Nasi Kotak</v>
          </cell>
          <cell r="N201">
            <v>90</v>
          </cell>
          <cell r="O201" t="str">
            <v>kotak</v>
          </cell>
          <cell r="P201">
            <v>40000</v>
          </cell>
          <cell r="Q201">
            <v>3600000</v>
          </cell>
          <cell r="T201" t="str">
            <v>Resto JFC Esther</v>
          </cell>
          <cell r="V201" t="str">
            <v>Limaati Daeli</v>
          </cell>
          <cell r="W201" t="str">
            <v>085297578868</v>
          </cell>
          <cell r="X201" t="str">
            <v>Jl. Saonigeho Km. 2 Telukdalam - Nias Selatan</v>
          </cell>
        </row>
        <row r="202">
          <cell r="C202" t="str">
            <v>5.1.02.02.01.0061</v>
          </cell>
          <cell r="D202" t="str">
            <v>06. 07. 01.</v>
          </cell>
          <cell r="E202">
            <v>45706</v>
          </cell>
          <cell r="F202" t="str">
            <v>20/02/2025</v>
          </cell>
          <cell r="G202">
            <v>70</v>
          </cell>
          <cell r="H202" t="str">
            <v>20/02/2025</v>
          </cell>
          <cell r="J202" t="str">
            <v>20/02/2025</v>
          </cell>
          <cell r="K202" t="str">
            <v>BPU33</v>
          </cell>
          <cell r="L202" t="str">
            <v>Biaya Rekening Listrik--</v>
          </cell>
          <cell r="M202" t="str">
            <v>Jasa Langganan Listrik</v>
          </cell>
          <cell r="N202">
            <v>1</v>
          </cell>
          <cell r="O202" t="str">
            <v>bulan</v>
          </cell>
          <cell r="P202">
            <v>2000000</v>
          </cell>
          <cell r="Q202">
            <v>2000000</v>
          </cell>
          <cell r="V202" t="e">
            <v>#N/A</v>
          </cell>
          <cell r="W202" t="e">
            <v>#N/A</v>
          </cell>
          <cell r="X202" t="e">
            <v>#N/A</v>
          </cell>
        </row>
        <row r="203">
          <cell r="C203" t="str">
            <v>5.1.02.02.01.0063</v>
          </cell>
          <cell r="D203" t="str">
            <v>06. 07. 05.</v>
          </cell>
          <cell r="E203">
            <v>45706</v>
          </cell>
          <cell r="F203" t="str">
            <v>20/02/2025</v>
          </cell>
          <cell r="G203">
            <v>71</v>
          </cell>
          <cell r="H203" t="str">
            <v>20/02/2025</v>
          </cell>
          <cell r="J203" t="str">
            <v>20/02/2025</v>
          </cell>
          <cell r="K203" t="str">
            <v>BPU34</v>
          </cell>
          <cell r="L203" t="str">
            <v>Biaya Langganan Internet--</v>
          </cell>
          <cell r="M203" t="str">
            <v>Jasa Langganan Indihome</v>
          </cell>
          <cell r="N203">
            <v>1</v>
          </cell>
          <cell r="O203" t="str">
            <v>bulan</v>
          </cell>
          <cell r="P203">
            <v>1500000</v>
          </cell>
          <cell r="Q203">
            <v>1500000</v>
          </cell>
          <cell r="V203" t="e">
            <v>#N/A</v>
          </cell>
          <cell r="W203" t="e">
            <v>#N/A</v>
          </cell>
          <cell r="X203" t="e">
            <v>#N/A</v>
          </cell>
        </row>
        <row r="204">
          <cell r="C204" t="str">
            <v>5.1.02.01.01.0052</v>
          </cell>
          <cell r="D204" t="str">
            <v>03. 03. 14.</v>
          </cell>
          <cell r="E204">
            <v>45707</v>
          </cell>
          <cell r="F204" t="str">
            <v>21/02/2025</v>
          </cell>
          <cell r="G204">
            <v>72</v>
          </cell>
          <cell r="H204" t="str">
            <v>22/02/2025</v>
          </cell>
          <cell r="J204" t="str">
            <v>22/02/2025</v>
          </cell>
          <cell r="K204" t="str">
            <v>BPU35</v>
          </cell>
          <cell r="L204" t="str">
            <v>Kudapan pada Kegiatan rubrik/Ibadah Bulanan</v>
          </cell>
          <cell r="M204" t="str">
            <v>Kue Besar</v>
          </cell>
          <cell r="N204">
            <v>100</v>
          </cell>
          <cell r="O204" t="str">
            <v>kotak</v>
          </cell>
          <cell r="P204">
            <v>15000</v>
          </cell>
          <cell r="Q204">
            <v>1500000</v>
          </cell>
          <cell r="T204" t="str">
            <v>Rumah Roti Helena</v>
          </cell>
          <cell r="V204" t="str">
            <v>Fudi Supiyanto</v>
          </cell>
          <cell r="W204" t="str">
            <v>082164895397</v>
          </cell>
          <cell r="X204" t="str">
            <v>Jln Ahmad Yani No.89 Kel. Pasar Telukdalam, Nias Selatan</v>
          </cell>
        </row>
        <row r="205">
          <cell r="C205" t="str">
            <v>5.1.02.01.01.0026</v>
          </cell>
          <cell r="D205" t="str">
            <v>03. 03. 21.</v>
          </cell>
          <cell r="E205">
            <v>45708</v>
          </cell>
          <cell r="F205" t="str">
            <v>22/02/2025</v>
          </cell>
          <cell r="G205">
            <v>73</v>
          </cell>
          <cell r="H205" t="str">
            <v>24/02/2025</v>
          </cell>
          <cell r="J205" t="str">
            <v>24/02/2025</v>
          </cell>
          <cell r="K205" t="str">
            <v>BPU36</v>
          </cell>
          <cell r="L205" t="str">
            <v>Spanduk Uk. 1 x 6 meter-</v>
          </cell>
          <cell r="M205" t="str">
            <v>Spanduk Uk. 1 x 6 meter-</v>
          </cell>
          <cell r="N205">
            <v>2</v>
          </cell>
          <cell r="O205" t="str">
            <v>buah</v>
          </cell>
          <cell r="P205">
            <v>300000</v>
          </cell>
          <cell r="Q205">
            <v>600000</v>
          </cell>
          <cell r="T205" t="str">
            <v>UD. BALIZATO</v>
          </cell>
          <cell r="V205" t="str">
            <v>Pieter B.P. Loi</v>
          </cell>
          <cell r="W205" t="str">
            <v>082166506229</v>
          </cell>
          <cell r="X205" t="str">
            <v>Jl. Diponegoro Kel. Pasar Telukdalam - Nias Selatan</v>
          </cell>
        </row>
        <row r="206">
          <cell r="C206" t="str">
            <v>5.1.02.01.01.0052</v>
          </cell>
          <cell r="D206" t="str">
            <v>04. 06. 07.</v>
          </cell>
          <cell r="E206">
            <v>45708</v>
          </cell>
          <cell r="F206" t="str">
            <v>22/02/2025</v>
          </cell>
          <cell r="G206">
            <v>74</v>
          </cell>
          <cell r="H206" t="str">
            <v>24/02/2025</v>
          </cell>
          <cell r="J206" t="str">
            <v>24/02/2025</v>
          </cell>
          <cell r="K206" t="str">
            <v>BPU37</v>
          </cell>
          <cell r="L206" t="str">
            <v>Kudapan pada Kegiatan Bimtek Tenaga Pelaksana Sekolah (Tenaga Ekstrakurikuler, TU, Laboratorium, Perustakaan, dan UKS)</v>
          </cell>
          <cell r="M206" t="str">
            <v>Kue Besar</v>
          </cell>
          <cell r="N206">
            <v>288</v>
          </cell>
          <cell r="O206" t="str">
            <v>kotak</v>
          </cell>
          <cell r="P206">
            <v>15000</v>
          </cell>
          <cell r="Q206">
            <v>4320000</v>
          </cell>
          <cell r="T206" t="str">
            <v>Rumah Roti Helena</v>
          </cell>
          <cell r="V206" t="str">
            <v>Fudi Supiyanto</v>
          </cell>
          <cell r="W206" t="str">
            <v>082164895397</v>
          </cell>
          <cell r="X206" t="str">
            <v>Jln Ahmad Yani No.89 Kel. Pasar Telukdalam, Nias Selatan</v>
          </cell>
        </row>
        <row r="207">
          <cell r="C207" t="str">
            <v>5.1.02.01.01.0052</v>
          </cell>
          <cell r="D207" t="str">
            <v>06. 05. 02.</v>
          </cell>
          <cell r="E207">
            <v>45713</v>
          </cell>
          <cell r="F207" t="str">
            <v>27/02/2025</v>
          </cell>
          <cell r="G207">
            <v>75</v>
          </cell>
          <cell r="H207" t="str">
            <v>28/02/2025</v>
          </cell>
          <cell r="J207" t="str">
            <v>28/02/2025</v>
          </cell>
          <cell r="K207" t="str">
            <v>BPU38</v>
          </cell>
          <cell r="L207" t="str">
            <v>Kudapan Rapat Rutin Bulanan</v>
          </cell>
          <cell r="M207" t="str">
            <v>Kue Besar</v>
          </cell>
          <cell r="N207">
            <v>60</v>
          </cell>
          <cell r="O207" t="str">
            <v>buah</v>
          </cell>
          <cell r="P207">
            <v>15000</v>
          </cell>
          <cell r="Q207">
            <v>900000</v>
          </cell>
          <cell r="T207" t="str">
            <v>Rumah Roti Helena</v>
          </cell>
          <cell r="V207" t="str">
            <v>Fudi Supiyanto</v>
          </cell>
          <cell r="W207" t="str">
            <v>082164895397</v>
          </cell>
          <cell r="X207" t="str">
            <v>Jln Ahmad Yani No.89 Kel. Pasar Telukdalam, Nias Selatan</v>
          </cell>
        </row>
        <row r="208">
          <cell r="C208" t="str">
            <v>5.1.02.02.01.0013</v>
          </cell>
          <cell r="D208" t="str">
            <v>07. 12. 01.</v>
          </cell>
          <cell r="E208">
            <v>45714</v>
          </cell>
          <cell r="F208" t="str">
            <v>28/02/2025</v>
          </cell>
          <cell r="G208">
            <v>76</v>
          </cell>
          <cell r="H208" t="str">
            <v>28/02/2025</v>
          </cell>
          <cell r="J208" t="str">
            <v>28/02/2025</v>
          </cell>
          <cell r="K208" t="str">
            <v>BNU18</v>
          </cell>
          <cell r="L208" t="str">
            <v>Selatieli Nehe</v>
          </cell>
          <cell r="M208" t="str">
            <v>Gaji Guru Tidak Tetap Sekolah</v>
          </cell>
          <cell r="N208">
            <v>41</v>
          </cell>
          <cell r="O208" t="str">
            <v>jpl</v>
          </cell>
          <cell r="P208">
            <v>60000</v>
          </cell>
          <cell r="Q208">
            <v>2460000</v>
          </cell>
          <cell r="V208" t="e">
            <v>#N/A</v>
          </cell>
          <cell r="W208" t="e">
            <v>#N/A</v>
          </cell>
          <cell r="X208" t="e">
            <v>#N/A</v>
          </cell>
        </row>
        <row r="209">
          <cell r="C209" t="str">
            <v>5.1.02.02.01.0013</v>
          </cell>
          <cell r="D209" t="str">
            <v>07. 12. 01.</v>
          </cell>
          <cell r="E209">
            <v>45714</v>
          </cell>
          <cell r="F209" t="str">
            <v>28/02/2025</v>
          </cell>
          <cell r="G209">
            <v>77</v>
          </cell>
          <cell r="H209" t="str">
            <v>28/02/2025</v>
          </cell>
          <cell r="J209" t="str">
            <v>28/02/2025</v>
          </cell>
          <cell r="K209" t="str">
            <v>BNU19</v>
          </cell>
          <cell r="L209" t="str">
            <v>Arifin Metodi Bate'e</v>
          </cell>
          <cell r="M209" t="str">
            <v>Gaji Guru Tidak Tetap Sekolah</v>
          </cell>
          <cell r="N209">
            <v>34</v>
          </cell>
          <cell r="O209" t="str">
            <v>jpl</v>
          </cell>
          <cell r="P209">
            <v>60000</v>
          </cell>
          <cell r="Q209">
            <v>2040000</v>
          </cell>
          <cell r="V209" t="e">
            <v>#N/A</v>
          </cell>
          <cell r="W209" t="e">
            <v>#N/A</v>
          </cell>
          <cell r="X209" t="e">
            <v>#N/A</v>
          </cell>
        </row>
        <row r="210">
          <cell r="C210" t="str">
            <v>5.1.02.02.01.0013</v>
          </cell>
          <cell r="D210" t="str">
            <v>07. 12. 01.</v>
          </cell>
          <cell r="E210">
            <v>45714</v>
          </cell>
          <cell r="F210" t="str">
            <v>28/02/2025</v>
          </cell>
          <cell r="G210">
            <v>78</v>
          </cell>
          <cell r="H210" t="str">
            <v>28/02/2025</v>
          </cell>
          <cell r="J210" t="str">
            <v>28/02/2025</v>
          </cell>
          <cell r="K210" t="str">
            <v>BNU20</v>
          </cell>
          <cell r="L210" t="str">
            <v>Ferdiwati Wau</v>
          </cell>
          <cell r="M210" t="str">
            <v>Gaji Guru Tidak Tetap Sekolah</v>
          </cell>
          <cell r="N210">
            <v>34</v>
          </cell>
          <cell r="O210" t="str">
            <v>jpl</v>
          </cell>
          <cell r="P210">
            <v>60000</v>
          </cell>
          <cell r="Q210">
            <v>2040000</v>
          </cell>
          <cell r="V210" t="e">
            <v>#N/A</v>
          </cell>
          <cell r="W210" t="e">
            <v>#N/A</v>
          </cell>
          <cell r="X210" t="e">
            <v>#N/A</v>
          </cell>
        </row>
        <row r="211">
          <cell r="C211" t="str">
            <v>5.1.02.02.01.0013</v>
          </cell>
          <cell r="D211" t="str">
            <v>07. 12. 01.</v>
          </cell>
          <cell r="E211">
            <v>45714</v>
          </cell>
          <cell r="F211" t="str">
            <v>28/02/2025</v>
          </cell>
          <cell r="G211">
            <v>79</v>
          </cell>
          <cell r="H211" t="str">
            <v>28/02/2025</v>
          </cell>
          <cell r="J211" t="str">
            <v>28/02/2025</v>
          </cell>
          <cell r="K211" t="str">
            <v>BNU21</v>
          </cell>
          <cell r="L211" t="str">
            <v>Noni Alfanita Sarumaha, S.Pd</v>
          </cell>
          <cell r="M211" t="str">
            <v>Gaji Guru Tidak Tetap Sekolah</v>
          </cell>
          <cell r="N211">
            <v>37</v>
          </cell>
          <cell r="O211" t="str">
            <v>jpl</v>
          </cell>
          <cell r="P211">
            <v>60000</v>
          </cell>
          <cell r="Q211">
            <v>2220000</v>
          </cell>
          <cell r="V211" t="e">
            <v>#N/A</v>
          </cell>
          <cell r="W211" t="e">
            <v>#N/A</v>
          </cell>
          <cell r="X211" t="e">
            <v>#N/A</v>
          </cell>
        </row>
        <row r="212">
          <cell r="C212" t="str">
            <v>5.1.02.02.01.0013</v>
          </cell>
          <cell r="D212" t="str">
            <v>07. 12. 01.</v>
          </cell>
          <cell r="E212">
            <v>45714</v>
          </cell>
          <cell r="F212" t="str">
            <v>28/02/2025</v>
          </cell>
          <cell r="G212">
            <v>80</v>
          </cell>
          <cell r="H212" t="str">
            <v>28/02/2025</v>
          </cell>
          <cell r="J212" t="str">
            <v>28/02/2025</v>
          </cell>
          <cell r="K212" t="str">
            <v>BNU22</v>
          </cell>
          <cell r="L212" t="str">
            <v>EMILA HAFO</v>
          </cell>
          <cell r="M212" t="str">
            <v>Gaji Guru Tidak Tetap Sekolah</v>
          </cell>
          <cell r="N212">
            <v>35</v>
          </cell>
          <cell r="O212" t="str">
            <v>jpl</v>
          </cell>
          <cell r="P212">
            <v>60000</v>
          </cell>
          <cell r="Q212">
            <v>2100000</v>
          </cell>
          <cell r="V212" t="e">
            <v>#N/A</v>
          </cell>
          <cell r="W212" t="e">
            <v>#N/A</v>
          </cell>
          <cell r="X212" t="e">
            <v>#N/A</v>
          </cell>
        </row>
        <row r="213">
          <cell r="C213" t="str">
            <v>5.1.02.02.01.0013</v>
          </cell>
          <cell r="D213" t="str">
            <v>07. 12. 01.</v>
          </cell>
          <cell r="E213">
            <v>45714</v>
          </cell>
          <cell r="F213" t="str">
            <v>28/02/2025</v>
          </cell>
          <cell r="G213">
            <v>81</v>
          </cell>
          <cell r="H213" t="str">
            <v>28/02/2025</v>
          </cell>
          <cell r="J213" t="str">
            <v>28/02/2025</v>
          </cell>
          <cell r="K213" t="str">
            <v>BNU23</v>
          </cell>
          <cell r="L213" t="str">
            <v>Asep Nurhidayat</v>
          </cell>
          <cell r="M213" t="str">
            <v>Gaji Guru Tidak Tetap Sekolah</v>
          </cell>
          <cell r="N213">
            <v>21</v>
          </cell>
          <cell r="O213" t="str">
            <v>jpl</v>
          </cell>
          <cell r="P213">
            <v>60000</v>
          </cell>
          <cell r="Q213">
            <v>1260000</v>
          </cell>
          <cell r="V213" t="e">
            <v>#N/A</v>
          </cell>
          <cell r="W213" t="e">
            <v>#N/A</v>
          </cell>
          <cell r="X213" t="e">
            <v>#N/A</v>
          </cell>
        </row>
        <row r="214">
          <cell r="C214" t="str">
            <v>5.1.02.02.01.0013</v>
          </cell>
          <cell r="D214" t="str">
            <v>07. 12. 01.</v>
          </cell>
          <cell r="E214">
            <v>45714</v>
          </cell>
          <cell r="F214" t="str">
            <v>28/02/2025</v>
          </cell>
          <cell r="G214">
            <v>82</v>
          </cell>
          <cell r="H214" t="str">
            <v>28/02/2025</v>
          </cell>
          <cell r="J214" t="str">
            <v>28/02/2025</v>
          </cell>
          <cell r="K214" t="str">
            <v>BNU24</v>
          </cell>
          <cell r="L214" t="str">
            <v>Amonius Dakhi</v>
          </cell>
          <cell r="M214" t="str">
            <v>Gaji Guru Tidak Tetap Sekolah</v>
          </cell>
          <cell r="N214">
            <v>24</v>
          </cell>
          <cell r="O214" t="str">
            <v>orang / jam pelajaran</v>
          </cell>
          <cell r="P214">
            <v>50000</v>
          </cell>
          <cell r="Q214">
            <v>1200000</v>
          </cell>
          <cell r="V214" t="e">
            <v>#N/A</v>
          </cell>
          <cell r="W214" t="e">
            <v>#N/A</v>
          </cell>
          <cell r="X214" t="e">
            <v>#N/A</v>
          </cell>
        </row>
        <row r="215">
          <cell r="C215" t="str">
            <v>5.1.02.02.01.0013</v>
          </cell>
          <cell r="D215" t="str">
            <v>07. 12. 01.</v>
          </cell>
          <cell r="E215">
            <v>45714</v>
          </cell>
          <cell r="F215" t="str">
            <v>28/02/2025</v>
          </cell>
          <cell r="G215">
            <v>83</v>
          </cell>
          <cell r="H215" t="str">
            <v>28/02/2025</v>
          </cell>
          <cell r="J215" t="str">
            <v>28/02/2025</v>
          </cell>
          <cell r="K215" t="str">
            <v>BNU25</v>
          </cell>
          <cell r="L215" t="str">
            <v>NELPI KARIANA WATI GOHAE</v>
          </cell>
          <cell r="M215" t="str">
            <v>Gaji Guru Tidak Tetap Sekolah</v>
          </cell>
          <cell r="N215">
            <v>24</v>
          </cell>
          <cell r="O215" t="str">
            <v>orang / jam pelajaran</v>
          </cell>
          <cell r="P215">
            <v>50000</v>
          </cell>
          <cell r="Q215">
            <v>1200000</v>
          </cell>
          <cell r="V215" t="e">
            <v>#N/A</v>
          </cell>
          <cell r="W215" t="e">
            <v>#N/A</v>
          </cell>
          <cell r="X215" t="e">
            <v>#N/A</v>
          </cell>
        </row>
        <row r="216">
          <cell r="C216" t="str">
            <v>5.1.02.02.01.0013</v>
          </cell>
          <cell r="D216" t="str">
            <v>07. 12. 01.</v>
          </cell>
          <cell r="E216">
            <v>45714</v>
          </cell>
          <cell r="F216" t="str">
            <v>28/02/2025</v>
          </cell>
          <cell r="G216">
            <v>84</v>
          </cell>
          <cell r="H216" t="str">
            <v>28/02/2025</v>
          </cell>
          <cell r="J216" t="str">
            <v>28/02/2025</v>
          </cell>
          <cell r="K216" t="str">
            <v>BNU26</v>
          </cell>
          <cell r="L216" t="str">
            <v>MERCY GRACE KARTIKA SARI ZAGOTO (1558776677230122)</v>
          </cell>
          <cell r="M216" t="str">
            <v>Gaji Guru Tidak Tetap Sekolah</v>
          </cell>
          <cell r="N216">
            <v>35</v>
          </cell>
          <cell r="O216" t="str">
            <v>orang / jam pelajaran</v>
          </cell>
          <cell r="P216">
            <v>50000</v>
          </cell>
          <cell r="Q216">
            <v>1750000</v>
          </cell>
          <cell r="V216" t="e">
            <v>#N/A</v>
          </cell>
          <cell r="W216" t="e">
            <v>#N/A</v>
          </cell>
          <cell r="X216" t="e">
            <v>#N/A</v>
          </cell>
        </row>
        <row r="217">
          <cell r="C217" t="str">
            <v>5.1.02.02.01.0026</v>
          </cell>
          <cell r="D217" t="str">
            <v>07. 12. 02.</v>
          </cell>
          <cell r="E217">
            <v>45714</v>
          </cell>
          <cell r="F217" t="str">
            <v>28/02/2025</v>
          </cell>
          <cell r="G217">
            <v>85</v>
          </cell>
          <cell r="H217" t="str">
            <v>28/02/2025</v>
          </cell>
          <cell r="J217" t="str">
            <v>28/02/2025</v>
          </cell>
          <cell r="K217" t="str">
            <v>BNU27</v>
          </cell>
          <cell r="L217" t="str">
            <v>Estera Nehe</v>
          </cell>
          <cell r="M217" t="str">
            <v>Gaji Pegawai Tidak Tetap Sekolah</v>
          </cell>
          <cell r="N217">
            <v>1</v>
          </cell>
          <cell r="O217" t="str">
            <v>bulan</v>
          </cell>
          <cell r="P217">
            <v>2000000</v>
          </cell>
          <cell r="Q217">
            <v>2000000</v>
          </cell>
          <cell r="V217" t="e">
            <v>#N/A</v>
          </cell>
          <cell r="W217" t="e">
            <v>#N/A</v>
          </cell>
          <cell r="X217" t="e">
            <v>#N/A</v>
          </cell>
        </row>
        <row r="218">
          <cell r="C218" t="str">
            <v>5.1.02.02.01.0026</v>
          </cell>
          <cell r="D218" t="str">
            <v>07. 12. 02.</v>
          </cell>
          <cell r="E218">
            <v>45714</v>
          </cell>
          <cell r="F218" t="str">
            <v>28/02/2025</v>
          </cell>
          <cell r="G218">
            <v>86</v>
          </cell>
          <cell r="H218" t="str">
            <v>28/02/2025</v>
          </cell>
          <cell r="J218" t="str">
            <v>28/02/2025</v>
          </cell>
          <cell r="K218" t="str">
            <v>BNU28</v>
          </cell>
          <cell r="L218" t="str">
            <v>Hatieli Buulolo</v>
          </cell>
          <cell r="M218" t="str">
            <v>Gaji Pegawai Tidak Tetap Sekolah</v>
          </cell>
          <cell r="N218">
            <v>1</v>
          </cell>
          <cell r="O218" t="str">
            <v>bulan</v>
          </cell>
          <cell r="P218">
            <v>2500000</v>
          </cell>
          <cell r="Q218">
            <v>2500000</v>
          </cell>
          <cell r="V218" t="e">
            <v>#N/A</v>
          </cell>
          <cell r="W218" t="e">
            <v>#N/A</v>
          </cell>
          <cell r="X218" t="e">
            <v>#N/A</v>
          </cell>
        </row>
        <row r="219">
          <cell r="C219" t="str">
            <v>5.1.02.02.01.0026</v>
          </cell>
          <cell r="D219" t="str">
            <v>07. 12. 02.</v>
          </cell>
          <cell r="E219">
            <v>45714</v>
          </cell>
          <cell r="F219" t="str">
            <v>28/02/2025</v>
          </cell>
          <cell r="G219">
            <v>87</v>
          </cell>
          <cell r="H219" t="str">
            <v>28/02/2025</v>
          </cell>
          <cell r="J219" t="str">
            <v>28/02/2025</v>
          </cell>
          <cell r="K219" t="str">
            <v>BNU29</v>
          </cell>
          <cell r="L219" t="str">
            <v>David J. Sitinjak</v>
          </cell>
          <cell r="M219" t="str">
            <v>Gaji Pegawai Tidak Tetap Sekolah</v>
          </cell>
          <cell r="N219">
            <v>1</v>
          </cell>
          <cell r="O219" t="str">
            <v>bulan</v>
          </cell>
          <cell r="P219">
            <v>2500000</v>
          </cell>
          <cell r="Q219">
            <v>2500000</v>
          </cell>
          <cell r="V219" t="e">
            <v>#N/A</v>
          </cell>
          <cell r="W219" t="e">
            <v>#N/A</v>
          </cell>
          <cell r="X219" t="e">
            <v>#N/A</v>
          </cell>
        </row>
        <row r="220">
          <cell r="C220" t="str">
            <v>5.1.02.02.01.0026</v>
          </cell>
          <cell r="D220" t="str">
            <v>07. 12. 02.</v>
          </cell>
          <cell r="E220">
            <v>45714</v>
          </cell>
          <cell r="F220" t="str">
            <v>28/02/2025</v>
          </cell>
          <cell r="G220">
            <v>88</v>
          </cell>
          <cell r="H220" t="str">
            <v>28/02/2025</v>
          </cell>
          <cell r="J220" t="str">
            <v>28/02/2025</v>
          </cell>
          <cell r="K220" t="str">
            <v>BNU30</v>
          </cell>
          <cell r="L220" t="str">
            <v>Siona Ziraluo</v>
          </cell>
          <cell r="M220" t="str">
            <v>Gaji Pegawai Tidak Tetap Sekolah</v>
          </cell>
          <cell r="N220">
            <v>1</v>
          </cell>
          <cell r="O220" t="str">
            <v>bulan</v>
          </cell>
          <cell r="P220">
            <v>2000000</v>
          </cell>
          <cell r="Q220">
            <v>2000000</v>
          </cell>
          <cell r="V220" t="e">
            <v>#N/A</v>
          </cell>
          <cell r="W220" t="e">
            <v>#N/A</v>
          </cell>
          <cell r="X220" t="e">
            <v>#N/A</v>
          </cell>
        </row>
        <row r="221">
          <cell r="C221" t="str">
            <v>5.1.02.02.01.0026</v>
          </cell>
          <cell r="D221" t="str">
            <v>07. 12. 02.</v>
          </cell>
          <cell r="E221">
            <v>45714</v>
          </cell>
          <cell r="F221" t="str">
            <v>28/02/2025</v>
          </cell>
          <cell r="G221">
            <v>89</v>
          </cell>
          <cell r="H221" t="str">
            <v>28/02/2025</v>
          </cell>
          <cell r="J221" t="str">
            <v>28/02/2025</v>
          </cell>
          <cell r="K221" t="str">
            <v>BNU31</v>
          </cell>
          <cell r="L221" t="str">
            <v>Merdina Ziraluo</v>
          </cell>
          <cell r="M221" t="str">
            <v>Gaji Pegawai Tidak Tetap Sekolah</v>
          </cell>
          <cell r="N221">
            <v>1</v>
          </cell>
          <cell r="O221" t="str">
            <v>bulan</v>
          </cell>
          <cell r="P221">
            <v>2500000</v>
          </cell>
          <cell r="Q221">
            <v>2500000</v>
          </cell>
          <cell r="V221" t="e">
            <v>#N/A</v>
          </cell>
          <cell r="W221" t="e">
            <v>#N/A</v>
          </cell>
          <cell r="X221" t="e">
            <v>#N/A</v>
          </cell>
        </row>
        <row r="222">
          <cell r="C222" t="str">
            <v>5.1.02.02.01.0026</v>
          </cell>
          <cell r="D222" t="str">
            <v>07. 12. 02.</v>
          </cell>
          <cell r="E222">
            <v>45714</v>
          </cell>
          <cell r="F222" t="str">
            <v>28/02/2025</v>
          </cell>
          <cell r="G222">
            <v>90</v>
          </cell>
          <cell r="H222" t="str">
            <v>28/02/2025</v>
          </cell>
          <cell r="J222" t="str">
            <v>28/02/2025</v>
          </cell>
          <cell r="K222" t="str">
            <v>BNU32</v>
          </cell>
          <cell r="L222" t="str">
            <v>Oksilia Buulolo, S.S</v>
          </cell>
          <cell r="M222" t="str">
            <v>Gaji Pegawai Tidak Tetap Sekolah</v>
          </cell>
          <cell r="N222">
            <v>1</v>
          </cell>
          <cell r="O222" t="str">
            <v>bulan/orang</v>
          </cell>
          <cell r="P222">
            <v>2000000</v>
          </cell>
          <cell r="Q222">
            <v>2000000</v>
          </cell>
          <cell r="V222" t="e">
            <v>#N/A</v>
          </cell>
          <cell r="W222" t="e">
            <v>#N/A</v>
          </cell>
          <cell r="X222" t="e">
            <v>#N/A</v>
          </cell>
        </row>
        <row r="223">
          <cell r="C223" t="str">
            <v>5.1.02.02.01.0026</v>
          </cell>
          <cell r="D223" t="str">
            <v>07. 12. 02.</v>
          </cell>
          <cell r="E223">
            <v>45714</v>
          </cell>
          <cell r="F223" t="str">
            <v>28/02/2025</v>
          </cell>
          <cell r="G223">
            <v>91</v>
          </cell>
          <cell r="H223" t="str">
            <v>28/02/2025</v>
          </cell>
          <cell r="J223" t="str">
            <v>28/02/2025</v>
          </cell>
          <cell r="K223" t="str">
            <v>BNU33</v>
          </cell>
          <cell r="L223" t="str">
            <v>Novika Efdimasari Halawa, S.S.I</v>
          </cell>
          <cell r="M223" t="str">
            <v>Gaji Pegawai Tidak Tetap Sekolah</v>
          </cell>
          <cell r="N223">
            <v>1</v>
          </cell>
          <cell r="O223" t="str">
            <v>bulan/orang</v>
          </cell>
          <cell r="P223">
            <v>2000000</v>
          </cell>
          <cell r="Q223">
            <v>2000000</v>
          </cell>
          <cell r="V223" t="e">
            <v>#N/A</v>
          </cell>
          <cell r="W223" t="e">
            <v>#N/A</v>
          </cell>
          <cell r="X223" t="e">
            <v>#N/A</v>
          </cell>
        </row>
        <row r="224">
          <cell r="C224" t="str">
            <v>5.1.02.02.01.0016</v>
          </cell>
          <cell r="D224" t="str">
            <v>07. 12. 04.</v>
          </cell>
          <cell r="E224">
            <v>45714</v>
          </cell>
          <cell r="F224" t="str">
            <v>28/02/2025</v>
          </cell>
          <cell r="G224">
            <v>92</v>
          </cell>
          <cell r="H224" t="str">
            <v>28/02/2025</v>
          </cell>
          <cell r="J224" t="str">
            <v>28/02/2025</v>
          </cell>
          <cell r="K224" t="str">
            <v>BNU34</v>
          </cell>
          <cell r="L224" t="str">
            <v>Zefrianus Zai</v>
          </cell>
          <cell r="M224" t="str">
            <v>Gaji Pegawai Tidak Tetap Sekolah</v>
          </cell>
          <cell r="N224">
            <v>1</v>
          </cell>
          <cell r="O224" t="str">
            <v>bulan/orang</v>
          </cell>
          <cell r="P224">
            <v>2000000</v>
          </cell>
          <cell r="Q224">
            <v>2000000</v>
          </cell>
          <cell r="V224" t="e">
            <v>#N/A</v>
          </cell>
          <cell r="W224" t="e">
            <v>#N/A</v>
          </cell>
          <cell r="X224" t="e">
            <v>#N/A</v>
          </cell>
        </row>
        <row r="225">
          <cell r="C225" t="str">
            <v>5.1.02.02.01.0030</v>
          </cell>
          <cell r="D225" t="str">
            <v>07. 12. 04.</v>
          </cell>
          <cell r="E225">
            <v>45714</v>
          </cell>
          <cell r="F225" t="str">
            <v>28/02/2025</v>
          </cell>
          <cell r="G225">
            <v>93</v>
          </cell>
          <cell r="H225" t="str">
            <v>28/02/2025</v>
          </cell>
          <cell r="J225" t="str">
            <v>28/02/2025</v>
          </cell>
          <cell r="K225" t="str">
            <v>BPU39</v>
          </cell>
          <cell r="L225" t="str">
            <v>Thomas Hondro</v>
          </cell>
          <cell r="M225" t="str">
            <v>Gaji Pegawai Tidak Tetap Sekolah</v>
          </cell>
          <cell r="N225">
            <v>1</v>
          </cell>
          <cell r="O225" t="str">
            <v>bulan</v>
          </cell>
          <cell r="P225">
            <v>1000000</v>
          </cell>
          <cell r="Q225">
            <v>1000000</v>
          </cell>
          <cell r="V225" t="e">
            <v>#N/A</v>
          </cell>
          <cell r="W225" t="e">
            <v>#N/A</v>
          </cell>
          <cell r="X225" t="e">
            <v>#N/A</v>
          </cell>
        </row>
        <row r="226">
          <cell r="C226" t="str">
            <v>5.1.02.01.01.0036</v>
          </cell>
          <cell r="D226" t="str">
            <v>05. 08. 02.</v>
          </cell>
          <cell r="E226">
            <v>45687</v>
          </cell>
          <cell r="F226" t="str">
            <v>01/02/2025</v>
          </cell>
          <cell r="H226" t="str">
            <v>09/04/2025</v>
          </cell>
          <cell r="J226" t="str">
            <v>10/04/2025</v>
          </cell>
          <cell r="K226" t="e">
            <v>#N/A</v>
          </cell>
          <cell r="L226" t="str">
            <v>Meja Siswa</v>
          </cell>
          <cell r="M226" t="str">
            <v>Meja Siswa</v>
          </cell>
          <cell r="N226">
            <v>148</v>
          </cell>
          <cell r="O226" t="str">
            <v>unit</v>
          </cell>
          <cell r="P226">
            <v>400000</v>
          </cell>
          <cell r="Q226">
            <v>59200000</v>
          </cell>
          <cell r="V226" t="e">
            <v>#N/A</v>
          </cell>
          <cell r="W226" t="e">
            <v>#N/A</v>
          </cell>
          <cell r="X226" t="e">
            <v>#N/A</v>
          </cell>
        </row>
        <row r="227">
          <cell r="C227" t="str">
            <v>5.1.02.01.01.0036</v>
          </cell>
          <cell r="D227" t="str">
            <v>05. 08. 02.</v>
          </cell>
          <cell r="E227">
            <v>45754</v>
          </cell>
          <cell r="F227" t="str">
            <v>09/04/2025</v>
          </cell>
          <cell r="H227" t="str">
            <v>09/04/2025</v>
          </cell>
          <cell r="J227" t="str">
            <v>10/04/2025</v>
          </cell>
          <cell r="K227" t="e">
            <v>#N/A</v>
          </cell>
          <cell r="L227" t="str">
            <v>Jasa Angkutan Meja Siswa</v>
          </cell>
          <cell r="M227" t="str">
            <v>Bayar Jasa angkut meja siswa</v>
          </cell>
          <cell r="N227">
            <v>1</v>
          </cell>
          <cell r="O227" t="str">
            <v>kegiatan</v>
          </cell>
          <cell r="P227">
            <v>4500000</v>
          </cell>
          <cell r="Q227">
            <v>4500000</v>
          </cell>
          <cell r="V227" t="e">
            <v>#N/A</v>
          </cell>
          <cell r="W227" t="e">
            <v>#N/A</v>
          </cell>
          <cell r="X227" t="e">
            <v>#N/A</v>
          </cell>
        </row>
        <row r="228">
          <cell r="K228">
            <v>0</v>
          </cell>
          <cell r="V228" t="e">
            <v>#N/A</v>
          </cell>
          <cell r="W228" t="e">
            <v>#N/A</v>
          </cell>
          <cell r="X228" t="e">
            <v>#N/A</v>
          </cell>
        </row>
        <row r="229">
          <cell r="C229" t="str">
            <v>5.1.02.01.01.0052</v>
          </cell>
          <cell r="D229" t="str">
            <v>02. 02. 01.</v>
          </cell>
          <cell r="E229">
            <v>45717</v>
          </cell>
          <cell r="F229" t="str">
            <v>03/03/2025</v>
          </cell>
          <cell r="G229">
            <v>94</v>
          </cell>
          <cell r="H229" t="str">
            <v>03/03/2025</v>
          </cell>
          <cell r="J229" t="str">
            <v>14/03/2025</v>
          </cell>
          <cell r="K229" t="str">
            <v>BPU40</v>
          </cell>
          <cell r="L229" t="str">
            <v>Kudapan pada Kegiatan Sosialisasi pemberdayaan perpustakaan terutama untuk pengembangan minat baca peserta didik</v>
          </cell>
          <cell r="M229" t="str">
            <v>Kue Besar</v>
          </cell>
          <cell r="N229">
            <v>75</v>
          </cell>
          <cell r="O229" t="str">
            <v>kotak</v>
          </cell>
          <cell r="P229">
            <v>15000</v>
          </cell>
          <cell r="Q229">
            <v>1125000</v>
          </cell>
          <cell r="T229" t="str">
            <v>Rumah Roti Helena</v>
          </cell>
          <cell r="V229" t="str">
            <v>Fudi Supiyanto</v>
          </cell>
          <cell r="W229" t="str">
            <v>082164895397</v>
          </cell>
          <cell r="X229" t="str">
            <v>Jln Ahmad Yani No.89 Kel. Pasar Telukdalam, Nias Selatan</v>
          </cell>
        </row>
        <row r="230">
          <cell r="C230" t="str">
            <v>5.1.02.01.01.0052</v>
          </cell>
          <cell r="D230" t="str">
            <v>02. 02. 01.</v>
          </cell>
          <cell r="E230">
            <v>45717</v>
          </cell>
          <cell r="F230" t="str">
            <v>03/03/2025</v>
          </cell>
          <cell r="G230">
            <v>95</v>
          </cell>
          <cell r="H230" t="str">
            <v>03/03/2025</v>
          </cell>
          <cell r="J230" t="str">
            <v>14/03/2025</v>
          </cell>
          <cell r="K230" t="str">
            <v>BPU41</v>
          </cell>
          <cell r="L230" t="str">
            <v>Nasi Kotak  pada kegiatan Peningkatan kompetensi guru untuk pembelajaran berorientasi pada peserta didik</v>
          </cell>
          <cell r="M230" t="str">
            <v>Nasi Kotak</v>
          </cell>
          <cell r="N230">
            <v>75</v>
          </cell>
          <cell r="O230" t="str">
            <v>kotak</v>
          </cell>
          <cell r="P230">
            <v>40000</v>
          </cell>
          <cell r="Q230">
            <v>3000000</v>
          </cell>
          <cell r="T230" t="str">
            <v>Resto JFC Esther</v>
          </cell>
          <cell r="V230" t="str">
            <v>Limaati Daeli</v>
          </cell>
          <cell r="W230" t="str">
            <v>085297578868</v>
          </cell>
          <cell r="X230" t="str">
            <v>Jl. Saonigeho Km. 2 Telukdalam - Nias Selatan</v>
          </cell>
        </row>
        <row r="231">
          <cell r="C231" t="str">
            <v>5.1.02.01.01.0052</v>
          </cell>
          <cell r="D231" t="str">
            <v>03. 03. 14.</v>
          </cell>
          <cell r="E231">
            <v>45729</v>
          </cell>
          <cell r="F231" t="str">
            <v>15/03/2025</v>
          </cell>
          <cell r="G231">
            <v>103</v>
          </cell>
          <cell r="H231" t="str">
            <v>15/03/2025</v>
          </cell>
          <cell r="J231" t="str">
            <v>15/03/2025</v>
          </cell>
          <cell r="K231" t="str">
            <v>BPU43</v>
          </cell>
          <cell r="L231" t="str">
            <v>Kudapan pada Kegiatan rubrik/Ibadah Bulanan</v>
          </cell>
          <cell r="M231" t="str">
            <v>Kue Besar</v>
          </cell>
          <cell r="N231">
            <v>100</v>
          </cell>
          <cell r="O231" t="str">
            <v>kotak</v>
          </cell>
          <cell r="P231">
            <v>15000</v>
          </cell>
          <cell r="Q231">
            <v>1500000</v>
          </cell>
          <cell r="T231" t="str">
            <v>Rumah Roti Helena</v>
          </cell>
          <cell r="V231" t="str">
            <v>Fudi Supiyanto</v>
          </cell>
          <cell r="W231" t="str">
            <v>082164895397</v>
          </cell>
          <cell r="X231" t="str">
            <v>Jln Ahmad Yani No.89 Kel. Pasar Telukdalam, Nias Selatan</v>
          </cell>
        </row>
        <row r="232">
          <cell r="C232" t="str">
            <v>5.1.02.01.01.0026</v>
          </cell>
          <cell r="D232" t="str">
            <v>03. 03. 21.</v>
          </cell>
          <cell r="E232">
            <v>45734</v>
          </cell>
          <cell r="F232" t="str">
            <v>20/03/2025</v>
          </cell>
          <cell r="G232">
            <v>109</v>
          </cell>
          <cell r="H232" t="str">
            <v>20/03/2025</v>
          </cell>
          <cell r="J232" t="str">
            <v>20/03/2025</v>
          </cell>
          <cell r="K232" t="str">
            <v>BPU47</v>
          </cell>
          <cell r="L232" t="str">
            <v>Spanduk Uk. 1 x 6 meter-</v>
          </cell>
          <cell r="M232" t="str">
            <v>Spanduk Uk. 1 x 6 meter-</v>
          </cell>
          <cell r="N232">
            <v>2</v>
          </cell>
          <cell r="O232" t="str">
            <v>buah</v>
          </cell>
          <cell r="P232">
            <v>300000</v>
          </cell>
          <cell r="Q232">
            <v>600000</v>
          </cell>
          <cell r="T232" t="str">
            <v>UD. BALIZATO</v>
          </cell>
          <cell r="V232" t="str">
            <v>Pieter B.P. Loi</v>
          </cell>
          <cell r="W232" t="str">
            <v>082166506229</v>
          </cell>
          <cell r="X232" t="str">
            <v>Jl. Diponegoro Kel. Pasar Telukdalam - Nias Selatan</v>
          </cell>
        </row>
        <row r="233">
          <cell r="C233" t="str">
            <v>5.1.02.01.01.0052</v>
          </cell>
          <cell r="D233" t="str">
            <v>04. 06. 13.</v>
          </cell>
          <cell r="E233">
            <v>45734</v>
          </cell>
          <cell r="F233" t="str">
            <v>20/03/2025</v>
          </cell>
          <cell r="G233">
            <v>110</v>
          </cell>
          <cell r="H233" t="str">
            <v>20/03/2025</v>
          </cell>
          <cell r="J233" t="str">
            <v>20/03/2025</v>
          </cell>
          <cell r="K233" t="str">
            <v>BPU49</v>
          </cell>
          <cell r="L233" t="str">
            <v>Nasi Kotak pada kegiatan Peningkatan kompetensi guru untuk pembelajaran berorientasi pada peserta didik</v>
          </cell>
          <cell r="M233" t="str">
            <v>Nasi Kotak</v>
          </cell>
          <cell r="N233">
            <v>75</v>
          </cell>
          <cell r="O233" t="str">
            <v>kotak</v>
          </cell>
          <cell r="P233">
            <v>40000</v>
          </cell>
          <cell r="Q233">
            <v>3000000</v>
          </cell>
          <cell r="T233" t="str">
            <v>Resto JFC Esther</v>
          </cell>
          <cell r="V233" t="str">
            <v>Limaati Daeli</v>
          </cell>
          <cell r="W233" t="str">
            <v>085297578868</v>
          </cell>
          <cell r="X233" t="str">
            <v>Jl. Saonigeho Km. 2 Telukdalam - Nias Selatan</v>
          </cell>
        </row>
        <row r="234">
          <cell r="C234" t="str">
            <v>5.1.02.01.01.0052</v>
          </cell>
          <cell r="D234" t="str">
            <v>04. 06. 13.</v>
          </cell>
          <cell r="E234">
            <v>45734</v>
          </cell>
          <cell r="F234" t="str">
            <v>20/03/2025</v>
          </cell>
          <cell r="G234">
            <v>111</v>
          </cell>
          <cell r="H234" t="str">
            <v>20/03/2025</v>
          </cell>
          <cell r="J234" t="str">
            <v>20/03/2025</v>
          </cell>
          <cell r="K234" t="str">
            <v>BPU48</v>
          </cell>
          <cell r="L234" t="str">
            <v>Kudapan Peningkatan kompetensi guru untuk pembelajaran berorientasi pada peserta didik</v>
          </cell>
          <cell r="M234" t="str">
            <v>Kue Besar</v>
          </cell>
          <cell r="N234">
            <v>75</v>
          </cell>
          <cell r="O234" t="str">
            <v>kotak</v>
          </cell>
          <cell r="P234">
            <v>15000</v>
          </cell>
          <cell r="Q234">
            <v>1125000</v>
          </cell>
          <cell r="T234" t="str">
            <v>Rumah Roti Helena</v>
          </cell>
          <cell r="V234" t="str">
            <v>Fudi Supiyanto</v>
          </cell>
          <cell r="W234" t="str">
            <v>082164895397</v>
          </cell>
          <cell r="X234" t="str">
            <v>Jln Ahmad Yani No.89 Kel. Pasar Telukdalam, Nias Selatan</v>
          </cell>
        </row>
        <row r="235">
          <cell r="C235" t="str">
            <v>5.1.02.01.01.0052</v>
          </cell>
          <cell r="D235" t="str">
            <v>05. 05. 02.</v>
          </cell>
          <cell r="E235">
            <v>45717</v>
          </cell>
          <cell r="F235" t="str">
            <v>03/03/2025</v>
          </cell>
          <cell r="G235">
            <v>96</v>
          </cell>
          <cell r="H235" t="str">
            <v>03/03/2025</v>
          </cell>
          <cell r="J235" t="str">
            <v>03/03/2025</v>
          </cell>
          <cell r="K235" t="str">
            <v>BPU42</v>
          </cell>
          <cell r="L235" t="str">
            <v>Air Mineral pada pelaksanaan kegiatan bulanan Gerakan Bersih Lingkungan Sekolah</v>
          </cell>
          <cell r="M235" t="str">
            <v>Aqua Cup</v>
          </cell>
          <cell r="N235">
            <v>25</v>
          </cell>
          <cell r="O235" t="str">
            <v>dus</v>
          </cell>
          <cell r="P235">
            <v>50000</v>
          </cell>
          <cell r="Q235">
            <v>1250000</v>
          </cell>
          <cell r="T235" t="str">
            <v>Rumah Roti Helena</v>
          </cell>
          <cell r="V235" t="str">
            <v>Fudi Supiyanto</v>
          </cell>
          <cell r="W235" t="str">
            <v>082164895397</v>
          </cell>
          <cell r="X235" t="str">
            <v>Jln Ahmad Yani No.89 Kel. Pasar Telukdalam, Nias Selatan</v>
          </cell>
        </row>
        <row r="236">
          <cell r="C236" t="str">
            <v>5.1.02.01.01.0012</v>
          </cell>
          <cell r="D236" t="str">
            <v>05. 08. 02.</v>
          </cell>
          <cell r="E236">
            <v>45731</v>
          </cell>
          <cell r="F236" t="str">
            <v>17/03/2025</v>
          </cell>
          <cell r="G236">
            <v>104</v>
          </cell>
          <cell r="H236" t="str">
            <v>18/03/2025</v>
          </cell>
          <cell r="J236" t="str">
            <v>18/03/2025</v>
          </cell>
          <cell r="K236" t="str">
            <v>BPU44</v>
          </cell>
          <cell r="L236" t="str">
            <v>Jasa Pebaikan Pagar Besi Sekolah</v>
          </cell>
          <cell r="N236">
            <v>1</v>
          </cell>
          <cell r="O236" t="str">
            <v>kegiatan</v>
          </cell>
          <cell r="P236">
            <v>4000000</v>
          </cell>
          <cell r="Q236">
            <v>4000000</v>
          </cell>
          <cell r="V236" t="e">
            <v>#N/A</v>
          </cell>
          <cell r="W236" t="e">
            <v>#N/A</v>
          </cell>
          <cell r="X236" t="e">
            <v>#N/A</v>
          </cell>
        </row>
        <row r="237">
          <cell r="C237" t="str">
            <v>5.1.02.01.01.0036</v>
          </cell>
          <cell r="D237" t="str">
            <v>05. 08. 02.</v>
          </cell>
          <cell r="E237">
            <v>45731</v>
          </cell>
          <cell r="F237" t="str">
            <v>17/03/2025</v>
          </cell>
          <cell r="G237">
            <v>105</v>
          </cell>
          <cell r="H237" t="str">
            <v>18/03/2025</v>
          </cell>
          <cell r="J237" t="str">
            <v>25/03/2025</v>
          </cell>
          <cell r="K237" t="str">
            <v>BNU55</v>
          </cell>
          <cell r="L237" t="str">
            <v>Pengadaan Kursi Guru</v>
          </cell>
          <cell r="M237" t="str">
            <v>Kursi Guru</v>
          </cell>
          <cell r="N237">
            <v>30</v>
          </cell>
          <cell r="O237" t="str">
            <v>unit</v>
          </cell>
          <cell r="P237">
            <v>680000</v>
          </cell>
          <cell r="Q237">
            <v>20400000</v>
          </cell>
          <cell r="T237" t="str">
            <v>CV. Marsatu Jaya Badiri</v>
          </cell>
          <cell r="V237" t="str">
            <v>Marusaha S. Simanjuntak</v>
          </cell>
          <cell r="W237" t="str">
            <v>085261247862</v>
          </cell>
          <cell r="X237" t="str">
            <v>Jl. Oswald Siahaan No. 6A Aek Tolang Pandan</v>
          </cell>
        </row>
        <row r="238">
          <cell r="C238" t="str">
            <v>5.1.02.01.01.0036</v>
          </cell>
          <cell r="D238" t="str">
            <v>05. 08. 02.</v>
          </cell>
          <cell r="E238">
            <v>45717</v>
          </cell>
          <cell r="F238" t="str">
            <v>03/03/2025</v>
          </cell>
          <cell r="H238" t="str">
            <v>23/04/2025</v>
          </cell>
          <cell r="J238" t="str">
            <v>23/04/2025</v>
          </cell>
          <cell r="K238" t="e">
            <v>#N/A</v>
          </cell>
          <cell r="L238" t="str">
            <v>Pengadaan Meja Guru</v>
          </cell>
          <cell r="M238" t="str">
            <v>Meja Guru</v>
          </cell>
          <cell r="N238">
            <v>4</v>
          </cell>
          <cell r="O238" t="str">
            <v>buah</v>
          </cell>
          <cell r="P238">
            <v>2352500</v>
          </cell>
          <cell r="Q238">
            <v>9410000</v>
          </cell>
          <cell r="V238" t="e">
            <v>#N/A</v>
          </cell>
          <cell r="W238" t="e">
            <v>#N/A</v>
          </cell>
          <cell r="X238" t="e">
            <v>#N/A</v>
          </cell>
        </row>
        <row r="239">
          <cell r="C239" t="str">
            <v>5.1.02.01.01.0036</v>
          </cell>
          <cell r="D239" t="str">
            <v>05. 08. 02.</v>
          </cell>
          <cell r="E239">
            <v>45739</v>
          </cell>
          <cell r="F239" t="str">
            <v>25/03/2025</v>
          </cell>
          <cell r="G239">
            <v>106</v>
          </cell>
          <cell r="H239" t="str">
            <v>25/03/2025</v>
          </cell>
          <cell r="J239" t="str">
            <v>25/03/2025</v>
          </cell>
          <cell r="K239" t="str">
            <v>BPU54</v>
          </cell>
          <cell r="L239" t="str">
            <v>Jasa Angkutan Kursi Guru</v>
          </cell>
          <cell r="M239" t="str">
            <v>Bayar Jasa angkut kursi guru</v>
          </cell>
          <cell r="N239">
            <v>1</v>
          </cell>
          <cell r="O239" t="str">
            <v>kegiatan</v>
          </cell>
          <cell r="P239">
            <v>3000000</v>
          </cell>
          <cell r="Q239">
            <v>3000000</v>
          </cell>
          <cell r="V239" t="e">
            <v>#N/A</v>
          </cell>
          <cell r="W239" t="e">
            <v>#N/A</v>
          </cell>
          <cell r="X239" t="e">
            <v>#N/A</v>
          </cell>
        </row>
        <row r="240">
          <cell r="C240" t="str">
            <v>5.1.02.01.01.0052</v>
          </cell>
          <cell r="D240" t="str">
            <v>06. 05. 02.</v>
          </cell>
          <cell r="E240">
            <v>45735</v>
          </cell>
          <cell r="F240" t="str">
            <v>21/03/2025</v>
          </cell>
          <cell r="G240">
            <v>114</v>
          </cell>
          <cell r="H240" t="str">
            <v>22/03/2025</v>
          </cell>
          <cell r="J240" t="str">
            <v>22/03/2025</v>
          </cell>
          <cell r="K240" t="str">
            <v>BPU53</v>
          </cell>
          <cell r="L240" t="str">
            <v>Kudapan Rapat Rutin Bulanan</v>
          </cell>
          <cell r="M240" t="str">
            <v>Kue Besar</v>
          </cell>
          <cell r="N240">
            <v>60</v>
          </cell>
          <cell r="O240" t="str">
            <v>buah</v>
          </cell>
          <cell r="P240">
            <v>15000</v>
          </cell>
          <cell r="Q240">
            <v>900000</v>
          </cell>
          <cell r="V240" t="e">
            <v>#N/A</v>
          </cell>
          <cell r="W240" t="e">
            <v>#N/A</v>
          </cell>
          <cell r="X240" t="e">
            <v>#N/A</v>
          </cell>
        </row>
        <row r="241">
          <cell r="C241" t="str">
            <v>5.1.02.01.01.0055</v>
          </cell>
          <cell r="D241" t="str">
            <v>06. 05. 05.</v>
          </cell>
          <cell r="E241">
            <v>45731</v>
          </cell>
          <cell r="F241" t="str">
            <v>17/03/2025</v>
          </cell>
          <cell r="G241">
            <v>107</v>
          </cell>
          <cell r="H241" t="str">
            <v>18/03/2025</v>
          </cell>
          <cell r="J241" t="str">
            <v>18/03/2025</v>
          </cell>
          <cell r="K241" t="str">
            <v>BPU45</v>
          </cell>
          <cell r="L241" t="str">
            <v>Satuan Biaya Konsumsi Makanan dan Minuman Fasilitas Pelayanan Urusan Pendidikan Biasa, Kudapan (Snack) - Provinsi Sumatera Utara--</v>
          </cell>
          <cell r="M241" t="str">
            <v>Nasi Kotak</v>
          </cell>
          <cell r="N241">
            <v>12</v>
          </cell>
          <cell r="O241" t="str">
            <v>kotak</v>
          </cell>
          <cell r="P241">
            <v>15000</v>
          </cell>
          <cell r="Q241">
            <v>180000</v>
          </cell>
          <cell r="T241" t="str">
            <v>Resto JFC Esther</v>
          </cell>
          <cell r="V241" t="str">
            <v>Limaati Daeli</v>
          </cell>
          <cell r="W241" t="str">
            <v>085297578868</v>
          </cell>
          <cell r="X241" t="str">
            <v>Jl. Saonigeho Km. 2 Telukdalam - Nias Selatan</v>
          </cell>
        </row>
        <row r="242">
          <cell r="C242" t="str">
            <v>5.1.02.01.01.0055</v>
          </cell>
          <cell r="D242" t="str">
            <v>06. 05. 05.</v>
          </cell>
          <cell r="E242">
            <v>45731</v>
          </cell>
          <cell r="F242" t="str">
            <v>17/03/2025</v>
          </cell>
          <cell r="G242">
            <v>108</v>
          </cell>
          <cell r="H242" t="str">
            <v>18/03/2025</v>
          </cell>
          <cell r="J242" t="str">
            <v>18/03/2025</v>
          </cell>
          <cell r="K242" t="str">
            <v>BPU46</v>
          </cell>
          <cell r="L242" t="str">
            <v>Satuan Biaya Konsumsi Makanan dan Minuman Fasilitas Pelayanan Urusan Pendidikan Biasa, Makan - Provinsi Sumatera Utara--</v>
          </cell>
          <cell r="M242" t="str">
            <v>Nasi Kotak</v>
          </cell>
          <cell r="N242">
            <v>12</v>
          </cell>
          <cell r="O242" t="str">
            <v>kotak</v>
          </cell>
          <cell r="P242">
            <v>40000</v>
          </cell>
          <cell r="Q242">
            <v>480000</v>
          </cell>
          <cell r="T242" t="str">
            <v>Resto JFC Esther</v>
          </cell>
          <cell r="V242" t="str">
            <v>Limaati Daeli</v>
          </cell>
          <cell r="W242" t="str">
            <v>085297578868</v>
          </cell>
          <cell r="X242" t="str">
            <v>Jl. Saonigeho Km. 2 Telukdalam - Nias Selatan</v>
          </cell>
        </row>
        <row r="243">
          <cell r="C243" t="str">
            <v>5.1.02.01.01.0024</v>
          </cell>
          <cell r="D243" t="str">
            <v>06. 05. 08.</v>
          </cell>
          <cell r="E243">
            <v>45717</v>
          </cell>
          <cell r="F243" t="str">
            <v>03/03/2025</v>
          </cell>
          <cell r="G243">
            <v>97</v>
          </cell>
          <cell r="H243" t="str">
            <v>03/03/2025</v>
          </cell>
          <cell r="J243" t="str">
            <v>23/04/2025</v>
          </cell>
          <cell r="K243" t="e">
            <v>#N/A</v>
          </cell>
          <cell r="L243" t="str">
            <v>Plastik Mika</v>
          </cell>
          <cell r="M243" t="str">
            <v>Plastik Mika</v>
          </cell>
          <cell r="N243">
            <v>5</v>
          </cell>
          <cell r="O243" t="str">
            <v>bungkus</v>
          </cell>
          <cell r="P243">
            <v>60000</v>
          </cell>
          <cell r="Q243">
            <v>300000</v>
          </cell>
          <cell r="V243" t="e">
            <v>#N/A</v>
          </cell>
          <cell r="W243" t="e">
            <v>#N/A</v>
          </cell>
          <cell r="X243" t="e">
            <v>#N/A</v>
          </cell>
        </row>
        <row r="244">
          <cell r="C244" t="str">
            <v>5.1.02.01.01.0024</v>
          </cell>
          <cell r="D244" t="str">
            <v>06. 05. 08.</v>
          </cell>
          <cell r="E244">
            <v>45717</v>
          </cell>
          <cell r="F244" t="str">
            <v>03/03/2025</v>
          </cell>
          <cell r="G244">
            <v>97</v>
          </cell>
          <cell r="H244" t="str">
            <v>03/03/2025</v>
          </cell>
          <cell r="J244" t="str">
            <v>23/04/2025</v>
          </cell>
          <cell r="K244" t="e">
            <v>#N/A</v>
          </cell>
          <cell r="L244" t="str">
            <v>Kertas Warna Blank Folio, Ukuran : 8,5 x 14",  70 gram</v>
          </cell>
          <cell r="M244" t="str">
            <v>Kertas Warna Blank Folio, Ukuran : 8,5 x 14",  70 gram</v>
          </cell>
          <cell r="N244">
            <v>2</v>
          </cell>
          <cell r="O244" t="str">
            <v>rim</v>
          </cell>
          <cell r="P244">
            <v>90000</v>
          </cell>
          <cell r="Q244">
            <v>180000</v>
          </cell>
          <cell r="V244" t="e">
            <v>#N/A</v>
          </cell>
          <cell r="W244" t="e">
            <v>#N/A</v>
          </cell>
          <cell r="X244" t="e">
            <v>#N/A</v>
          </cell>
        </row>
        <row r="245">
          <cell r="C245" t="str">
            <v>5.1.02.01.01.0024</v>
          </cell>
          <cell r="D245" t="str">
            <v>06. 05. 08.</v>
          </cell>
          <cell r="E245">
            <v>45717</v>
          </cell>
          <cell r="F245" t="str">
            <v>03/03/2025</v>
          </cell>
          <cell r="G245">
            <v>97</v>
          </cell>
          <cell r="H245" t="str">
            <v>03/03/2025</v>
          </cell>
          <cell r="J245" t="str">
            <v>23/04/2025</v>
          </cell>
          <cell r="K245" t="e">
            <v>#N/A</v>
          </cell>
          <cell r="L245" t="str">
            <v>Kertas Lain-Lain Kertas Buffalo</v>
          </cell>
          <cell r="M245" t="str">
            <v>Kertas Lain-Lain Kertas Buffalo</v>
          </cell>
          <cell r="N245">
            <v>5</v>
          </cell>
          <cell r="O245" t="str">
            <v>bungkus</v>
          </cell>
          <cell r="P245">
            <v>31000</v>
          </cell>
          <cell r="Q245">
            <v>155000</v>
          </cell>
          <cell r="V245" t="e">
            <v>#N/A</v>
          </cell>
          <cell r="W245" t="e">
            <v>#N/A</v>
          </cell>
          <cell r="X245" t="e">
            <v>#N/A</v>
          </cell>
        </row>
        <row r="246">
          <cell r="C246" t="str">
            <v>5.1.02.01.01.0024</v>
          </cell>
          <cell r="D246" t="str">
            <v>06. 05. 08.</v>
          </cell>
          <cell r="E246">
            <v>45717</v>
          </cell>
          <cell r="F246" t="str">
            <v>03/03/2025</v>
          </cell>
          <cell r="G246">
            <v>97</v>
          </cell>
          <cell r="H246" t="str">
            <v>03/03/2025</v>
          </cell>
          <cell r="J246" t="str">
            <v>23/04/2025</v>
          </cell>
          <cell r="K246" t="e">
            <v>#N/A</v>
          </cell>
          <cell r="L246" t="str">
            <v>Kertas Post-It Warna Warni  Sign Here</v>
          </cell>
          <cell r="M246" t="str">
            <v>Kertas Post-It Warna Warni  Sign Here</v>
          </cell>
          <cell r="N246">
            <v>5</v>
          </cell>
          <cell r="O246" t="str">
            <v>buah</v>
          </cell>
          <cell r="P246">
            <v>22800</v>
          </cell>
          <cell r="Q246">
            <v>114000</v>
          </cell>
          <cell r="V246" t="e">
            <v>#N/A</v>
          </cell>
          <cell r="W246" t="e">
            <v>#N/A</v>
          </cell>
          <cell r="X246" t="e">
            <v>#N/A</v>
          </cell>
        </row>
        <row r="247">
          <cell r="C247" t="str">
            <v>5.1.02.01.01.0024</v>
          </cell>
          <cell r="D247" t="str">
            <v>06. 05. 08.</v>
          </cell>
          <cell r="E247">
            <v>45717</v>
          </cell>
          <cell r="F247" t="str">
            <v>03/03/2025</v>
          </cell>
          <cell r="G247">
            <v>97</v>
          </cell>
          <cell r="H247" t="str">
            <v>03/03/2025</v>
          </cell>
          <cell r="J247" t="str">
            <v>23/04/2025</v>
          </cell>
          <cell r="K247" t="e">
            <v>#N/A</v>
          </cell>
          <cell r="L247" t="str">
            <v>Kertas HVS 60 gram Merk : Paper One HVS F4 uk. 8.27"x11.69"</v>
          </cell>
          <cell r="M247" t="str">
            <v>Kertas HVS 60 gram Merk : Paper One HVS F4 uk. 8.27"x11.69"</v>
          </cell>
          <cell r="N247">
            <v>10</v>
          </cell>
          <cell r="O247" t="str">
            <v>rim</v>
          </cell>
          <cell r="P247">
            <v>48500</v>
          </cell>
          <cell r="Q247">
            <v>485000</v>
          </cell>
          <cell r="V247" t="e">
            <v>#N/A</v>
          </cell>
          <cell r="W247" t="e">
            <v>#N/A</v>
          </cell>
          <cell r="X247" t="e">
            <v>#N/A</v>
          </cell>
        </row>
        <row r="248">
          <cell r="C248" t="str">
            <v>5.1.02.01.01.0024</v>
          </cell>
          <cell r="D248" t="str">
            <v>06. 05. 08.</v>
          </cell>
          <cell r="E248">
            <v>45717</v>
          </cell>
          <cell r="F248" t="str">
            <v>03/03/2025</v>
          </cell>
          <cell r="G248">
            <v>97</v>
          </cell>
          <cell r="H248" t="str">
            <v>03/03/2025</v>
          </cell>
          <cell r="J248" t="str">
            <v>23/04/2025</v>
          </cell>
          <cell r="K248" t="e">
            <v>#N/A</v>
          </cell>
          <cell r="L248" t="str">
            <v>Kertas HVS 80 gram Merk : Paper One A4, Ukuran : 8,27" x 11,69", Isi : 500 lembar</v>
          </cell>
          <cell r="M248" t="str">
            <v>Kertas HVS 80 gram Merk : Paper One A4, Ukuran : 8,27" x 11,69", Isi : 500 lembar</v>
          </cell>
          <cell r="N248">
            <v>40</v>
          </cell>
          <cell r="O248" t="str">
            <v>rim</v>
          </cell>
          <cell r="P248">
            <v>50000</v>
          </cell>
          <cell r="Q248">
            <v>2000000</v>
          </cell>
          <cell r="V248" t="e">
            <v>#N/A</v>
          </cell>
          <cell r="W248" t="e">
            <v>#N/A</v>
          </cell>
          <cell r="X248" t="e">
            <v>#N/A</v>
          </cell>
        </row>
        <row r="249">
          <cell r="C249" t="str">
            <v>5.1.02.01.01.0024</v>
          </cell>
          <cell r="D249" t="str">
            <v>06. 05. 08.</v>
          </cell>
          <cell r="E249">
            <v>45717</v>
          </cell>
          <cell r="F249" t="str">
            <v>03/03/2025</v>
          </cell>
          <cell r="G249">
            <v>97</v>
          </cell>
          <cell r="H249" t="str">
            <v>03/03/2025</v>
          </cell>
          <cell r="J249" t="str">
            <v>23/04/2025</v>
          </cell>
          <cell r="K249" t="e">
            <v>#N/A</v>
          </cell>
          <cell r="L249" t="str">
            <v>Kertas StensiI</v>
          </cell>
          <cell r="M249" t="str">
            <v>Kertas StensiI</v>
          </cell>
          <cell r="N249">
            <v>10</v>
          </cell>
          <cell r="O249" t="str">
            <v>bungkus</v>
          </cell>
          <cell r="P249">
            <v>50000</v>
          </cell>
          <cell r="Q249">
            <v>500000</v>
          </cell>
          <cell r="V249" t="e">
            <v>#N/A</v>
          </cell>
          <cell r="W249" t="e">
            <v>#N/A</v>
          </cell>
          <cell r="X249" t="e">
            <v>#N/A</v>
          </cell>
        </row>
        <row r="250">
          <cell r="C250" t="str">
            <v>5.1.02.01.01.0024</v>
          </cell>
          <cell r="D250" t="str">
            <v>06. 05. 08.</v>
          </cell>
          <cell r="E250">
            <v>45717</v>
          </cell>
          <cell r="F250" t="str">
            <v>03/03/2025</v>
          </cell>
          <cell r="G250">
            <v>97</v>
          </cell>
          <cell r="H250" t="str">
            <v>03/03/2025</v>
          </cell>
          <cell r="J250" t="str">
            <v>23/04/2025</v>
          </cell>
          <cell r="K250" t="e">
            <v>#N/A</v>
          </cell>
          <cell r="L250" t="str">
            <v>Kertas Label</v>
          </cell>
          <cell r="M250" t="str">
            <v>Kertas Label</v>
          </cell>
          <cell r="N250">
            <v>5</v>
          </cell>
          <cell r="O250" t="str">
            <v>lembar</v>
          </cell>
          <cell r="P250">
            <v>25000</v>
          </cell>
          <cell r="Q250">
            <v>125000</v>
          </cell>
          <cell r="V250" t="e">
            <v>#N/A</v>
          </cell>
          <cell r="W250" t="e">
            <v>#N/A</v>
          </cell>
          <cell r="X250" t="e">
            <v>#N/A</v>
          </cell>
        </row>
        <row r="251">
          <cell r="C251" t="str">
            <v>5.1.02.01.01.0024</v>
          </cell>
          <cell r="D251" t="str">
            <v>06. 05. 08.</v>
          </cell>
          <cell r="E251">
            <v>45717</v>
          </cell>
          <cell r="F251" t="str">
            <v>03/03/2025</v>
          </cell>
          <cell r="G251">
            <v>97</v>
          </cell>
          <cell r="H251" t="str">
            <v>03/03/2025</v>
          </cell>
          <cell r="J251" t="str">
            <v>23/04/2025</v>
          </cell>
          <cell r="K251" t="e">
            <v>#N/A</v>
          </cell>
          <cell r="L251" t="str">
            <v>Amplop Coklat Merk : GSU Ukuran : 1/2 folio, bergaris</v>
          </cell>
          <cell r="M251" t="str">
            <v>Amplop Coklat Merk : GSU Ukuran : 1/2 folio, bergaris</v>
          </cell>
          <cell r="N251">
            <v>1</v>
          </cell>
          <cell r="O251" t="str">
            <v>bungkus</v>
          </cell>
          <cell r="P251">
            <v>45000</v>
          </cell>
          <cell r="Q251">
            <v>45000</v>
          </cell>
          <cell r="V251" t="e">
            <v>#N/A</v>
          </cell>
          <cell r="W251" t="e">
            <v>#N/A</v>
          </cell>
          <cell r="X251" t="e">
            <v>#N/A</v>
          </cell>
        </row>
        <row r="252">
          <cell r="C252" t="str">
            <v>5.1.02.01.01.0024</v>
          </cell>
          <cell r="D252" t="str">
            <v>06. 05. 08.</v>
          </cell>
          <cell r="E252">
            <v>45717</v>
          </cell>
          <cell r="F252" t="str">
            <v>03/03/2025</v>
          </cell>
          <cell r="G252">
            <v>97</v>
          </cell>
          <cell r="H252" t="str">
            <v>03/03/2025</v>
          </cell>
          <cell r="J252" t="str">
            <v>23/04/2025</v>
          </cell>
          <cell r="K252" t="e">
            <v>#N/A</v>
          </cell>
          <cell r="L252" t="str">
            <v>Amplop Coklat Merk : Garda Ukuran Cabinet</v>
          </cell>
          <cell r="M252" t="str">
            <v>Amplop Coklat Merk : Garda Ukuran Cabinet</v>
          </cell>
          <cell r="N252">
            <v>3</v>
          </cell>
          <cell r="O252" t="str">
            <v>bungkus</v>
          </cell>
          <cell r="P252">
            <v>23000</v>
          </cell>
          <cell r="Q252">
            <v>69000</v>
          </cell>
          <cell r="V252" t="e">
            <v>#N/A</v>
          </cell>
          <cell r="W252" t="e">
            <v>#N/A</v>
          </cell>
          <cell r="X252" t="e">
            <v>#N/A</v>
          </cell>
        </row>
        <row r="253">
          <cell r="C253" t="str">
            <v>5.1.02.01.01.0024</v>
          </cell>
          <cell r="D253" t="str">
            <v>06. 05. 08.</v>
          </cell>
          <cell r="E253">
            <v>45717</v>
          </cell>
          <cell r="F253" t="str">
            <v>03/03/2025</v>
          </cell>
          <cell r="G253">
            <v>97</v>
          </cell>
          <cell r="H253" t="str">
            <v>03/03/2025</v>
          </cell>
          <cell r="J253" t="str">
            <v>23/04/2025</v>
          </cell>
          <cell r="K253" t="e">
            <v>#N/A</v>
          </cell>
          <cell r="L253" t="str">
            <v>Amplop Coklat Merk : GSU Ukuran Folio polos</v>
          </cell>
          <cell r="M253" t="str">
            <v>Amplop Coklat Merk : GSU Ukuran Folio polos</v>
          </cell>
          <cell r="N253">
            <v>2</v>
          </cell>
          <cell r="O253" t="str">
            <v>bungkus</v>
          </cell>
          <cell r="P253">
            <v>60000</v>
          </cell>
          <cell r="Q253">
            <v>120000</v>
          </cell>
          <cell r="V253" t="e">
            <v>#N/A</v>
          </cell>
          <cell r="W253" t="e">
            <v>#N/A</v>
          </cell>
          <cell r="X253" t="e">
            <v>#N/A</v>
          </cell>
        </row>
        <row r="254">
          <cell r="C254" t="str">
            <v>5.1.02.01.01.0024</v>
          </cell>
          <cell r="D254" t="str">
            <v>06. 05. 08.</v>
          </cell>
          <cell r="E254">
            <v>45717</v>
          </cell>
          <cell r="F254" t="str">
            <v>03/03/2025</v>
          </cell>
          <cell r="G254">
            <v>97</v>
          </cell>
          <cell r="H254" t="str">
            <v>03/03/2025</v>
          </cell>
          <cell r="J254" t="str">
            <v>23/04/2025</v>
          </cell>
          <cell r="K254" t="e">
            <v>#N/A</v>
          </cell>
          <cell r="L254" t="str">
            <v>Amplop Panjang Putih Polos Merk : Jaya Ukuran : 11 x 23 cm</v>
          </cell>
          <cell r="M254" t="str">
            <v>Amplop Panjang Putih Polos Merk : Jaya Ukuran : 11 x 23 cm</v>
          </cell>
          <cell r="N254">
            <v>1</v>
          </cell>
          <cell r="O254" t="str">
            <v>kotak</v>
          </cell>
          <cell r="P254">
            <v>48000</v>
          </cell>
          <cell r="Q254">
            <v>48000</v>
          </cell>
          <cell r="V254" t="e">
            <v>#N/A</v>
          </cell>
          <cell r="W254" t="e">
            <v>#N/A</v>
          </cell>
          <cell r="X254" t="e">
            <v>#N/A</v>
          </cell>
        </row>
        <row r="255">
          <cell r="C255" t="str">
            <v>5.1.02.01.01.0024</v>
          </cell>
          <cell r="D255" t="str">
            <v>06. 05. 08.</v>
          </cell>
          <cell r="E255">
            <v>45717</v>
          </cell>
          <cell r="F255" t="str">
            <v>03/03/2025</v>
          </cell>
          <cell r="G255">
            <v>97</v>
          </cell>
          <cell r="H255" t="str">
            <v>03/03/2025</v>
          </cell>
          <cell r="J255" t="str">
            <v>23/04/2025</v>
          </cell>
          <cell r="K255" t="e">
            <v>#N/A</v>
          </cell>
          <cell r="L255" t="str">
            <v>Ballpoint Boldiner Standar</v>
          </cell>
          <cell r="M255" t="str">
            <v>Ballpoint Boldiner Standar</v>
          </cell>
          <cell r="N255">
            <v>2</v>
          </cell>
          <cell r="O255" t="str">
            <v>lusin</v>
          </cell>
          <cell r="P255">
            <v>225000</v>
          </cell>
          <cell r="Q255">
            <v>450000</v>
          </cell>
          <cell r="V255" t="e">
            <v>#N/A</v>
          </cell>
          <cell r="W255" t="e">
            <v>#N/A</v>
          </cell>
          <cell r="X255" t="e">
            <v>#N/A</v>
          </cell>
        </row>
        <row r="256">
          <cell r="C256" t="str">
            <v>5.1.02.01.01.0024</v>
          </cell>
          <cell r="D256" t="str">
            <v>06. 05. 08.</v>
          </cell>
          <cell r="E256">
            <v>45717</v>
          </cell>
          <cell r="F256" t="str">
            <v>03/03/2025</v>
          </cell>
          <cell r="G256">
            <v>97</v>
          </cell>
          <cell r="H256" t="str">
            <v>03/03/2025</v>
          </cell>
          <cell r="J256" t="str">
            <v>23/04/2025</v>
          </cell>
          <cell r="K256" t="e">
            <v>#N/A</v>
          </cell>
          <cell r="L256" t="str">
            <v>Ballpoint Drawing Pen 0,1 Snowman</v>
          </cell>
          <cell r="M256" t="str">
            <v>Ballpoint Drawing Pen 0,1 Snowman</v>
          </cell>
          <cell r="N256">
            <v>1</v>
          </cell>
          <cell r="O256" t="str">
            <v>lusin</v>
          </cell>
          <cell r="P256">
            <v>95000</v>
          </cell>
          <cell r="Q256">
            <v>95000</v>
          </cell>
          <cell r="V256" t="e">
            <v>#N/A</v>
          </cell>
          <cell r="W256" t="e">
            <v>#N/A</v>
          </cell>
          <cell r="X256" t="e">
            <v>#N/A</v>
          </cell>
        </row>
        <row r="257">
          <cell r="C257" t="str">
            <v>5.1.02.01.01.0024</v>
          </cell>
          <cell r="D257" t="str">
            <v>06. 05. 08.</v>
          </cell>
          <cell r="E257">
            <v>45717</v>
          </cell>
          <cell r="F257" t="str">
            <v>03/03/2025</v>
          </cell>
          <cell r="G257">
            <v>97</v>
          </cell>
          <cell r="H257" t="str">
            <v>03/03/2025</v>
          </cell>
          <cell r="J257" t="str">
            <v>23/04/2025</v>
          </cell>
          <cell r="K257" t="e">
            <v>#N/A</v>
          </cell>
          <cell r="L257" t="str">
            <v>Ballpoint Standard AE7</v>
          </cell>
          <cell r="M257" t="str">
            <v>Ballpoint Standard AE7</v>
          </cell>
          <cell r="N257">
            <v>2</v>
          </cell>
          <cell r="O257" t="str">
            <v>lusin</v>
          </cell>
          <cell r="P257">
            <v>20000</v>
          </cell>
          <cell r="Q257">
            <v>40000</v>
          </cell>
          <cell r="V257" t="e">
            <v>#N/A</v>
          </cell>
          <cell r="W257" t="e">
            <v>#N/A</v>
          </cell>
          <cell r="X257" t="e">
            <v>#N/A</v>
          </cell>
        </row>
        <row r="258">
          <cell r="C258" t="str">
            <v>5.1.02.01.01.0024</v>
          </cell>
          <cell r="D258" t="str">
            <v>06. 05. 08.</v>
          </cell>
          <cell r="E258">
            <v>45717</v>
          </cell>
          <cell r="F258" t="str">
            <v>03/03/2025</v>
          </cell>
          <cell r="G258">
            <v>97</v>
          </cell>
          <cell r="H258" t="str">
            <v>03/03/2025</v>
          </cell>
          <cell r="J258" t="str">
            <v>23/04/2025</v>
          </cell>
          <cell r="K258" t="e">
            <v>#N/A</v>
          </cell>
          <cell r="L258" t="str">
            <v>Ballpoint Pilot G2</v>
          </cell>
          <cell r="M258" t="str">
            <v>Ballpoint Pilot G2</v>
          </cell>
          <cell r="N258">
            <v>1</v>
          </cell>
          <cell r="O258" t="str">
            <v>lusin</v>
          </cell>
          <cell r="P258">
            <v>235000</v>
          </cell>
          <cell r="Q258">
            <v>235000</v>
          </cell>
          <cell r="V258" t="e">
            <v>#N/A</v>
          </cell>
          <cell r="W258" t="e">
            <v>#N/A</v>
          </cell>
          <cell r="X258" t="e">
            <v>#N/A</v>
          </cell>
        </row>
        <row r="259">
          <cell r="C259" t="str">
            <v>5.1.02.01.01.0024</v>
          </cell>
          <cell r="D259" t="str">
            <v>06. 05. 08.</v>
          </cell>
          <cell r="E259">
            <v>45717</v>
          </cell>
          <cell r="F259" t="str">
            <v>03/03/2025</v>
          </cell>
          <cell r="G259">
            <v>97</v>
          </cell>
          <cell r="H259" t="str">
            <v>03/03/2025</v>
          </cell>
          <cell r="J259" t="str">
            <v>23/04/2025</v>
          </cell>
          <cell r="K259" t="e">
            <v>#N/A</v>
          </cell>
          <cell r="L259" t="str">
            <v>Binder Klip  nomor 107</v>
          </cell>
          <cell r="M259" t="str">
            <v>Binder Klip  nomor 107</v>
          </cell>
          <cell r="N259">
            <v>5</v>
          </cell>
          <cell r="O259" t="str">
            <v>kotak</v>
          </cell>
          <cell r="P259">
            <v>7800</v>
          </cell>
          <cell r="Q259">
            <v>39000</v>
          </cell>
          <cell r="V259" t="e">
            <v>#N/A</v>
          </cell>
          <cell r="W259" t="e">
            <v>#N/A</v>
          </cell>
          <cell r="X259" t="e">
            <v>#N/A</v>
          </cell>
        </row>
        <row r="260">
          <cell r="C260" t="str">
            <v>5.1.02.01.01.0024</v>
          </cell>
          <cell r="D260" t="str">
            <v>06. 05. 08.</v>
          </cell>
          <cell r="E260">
            <v>45717</v>
          </cell>
          <cell r="F260" t="str">
            <v>03/03/2025</v>
          </cell>
          <cell r="G260">
            <v>97</v>
          </cell>
          <cell r="H260" t="str">
            <v>03/03/2025</v>
          </cell>
          <cell r="J260" t="str">
            <v>23/04/2025</v>
          </cell>
          <cell r="K260" t="e">
            <v>#N/A</v>
          </cell>
          <cell r="L260" t="str">
            <v>Binder Klip  nomor 111</v>
          </cell>
          <cell r="M260" t="str">
            <v>Binder Klip  nomor 111</v>
          </cell>
          <cell r="N260">
            <v>5</v>
          </cell>
          <cell r="O260" t="str">
            <v>kotak</v>
          </cell>
          <cell r="P260">
            <v>11000</v>
          </cell>
          <cell r="Q260">
            <v>55000</v>
          </cell>
          <cell r="V260" t="e">
            <v>#N/A</v>
          </cell>
          <cell r="W260" t="e">
            <v>#N/A</v>
          </cell>
          <cell r="X260" t="e">
            <v>#N/A</v>
          </cell>
        </row>
        <row r="261">
          <cell r="C261" t="str">
            <v>5.1.02.01.01.0024</v>
          </cell>
          <cell r="D261" t="str">
            <v>06. 05. 08.</v>
          </cell>
          <cell r="E261">
            <v>45717</v>
          </cell>
          <cell r="F261" t="str">
            <v>03/03/2025</v>
          </cell>
          <cell r="G261">
            <v>97</v>
          </cell>
          <cell r="H261" t="str">
            <v>03/03/2025</v>
          </cell>
          <cell r="J261" t="str">
            <v>23/04/2025</v>
          </cell>
          <cell r="K261" t="e">
            <v>#N/A</v>
          </cell>
          <cell r="L261" t="str">
            <v>Binder Klip  nomor 200</v>
          </cell>
          <cell r="M261" t="str">
            <v>Binder Klip  nomor 200</v>
          </cell>
          <cell r="N261">
            <v>10</v>
          </cell>
          <cell r="O261" t="str">
            <v>kotak</v>
          </cell>
          <cell r="P261">
            <v>16500</v>
          </cell>
          <cell r="Q261">
            <v>165000</v>
          </cell>
          <cell r="V261" t="e">
            <v>#N/A</v>
          </cell>
          <cell r="W261" t="e">
            <v>#N/A</v>
          </cell>
          <cell r="X261" t="e">
            <v>#N/A</v>
          </cell>
        </row>
        <row r="262">
          <cell r="C262" t="str">
            <v>5.1.02.01.01.0024</v>
          </cell>
          <cell r="D262" t="str">
            <v>06. 05. 08.</v>
          </cell>
          <cell r="E262">
            <v>45717</v>
          </cell>
          <cell r="F262" t="str">
            <v>03/03/2025</v>
          </cell>
          <cell r="G262">
            <v>97</v>
          </cell>
          <cell r="H262" t="str">
            <v>03/03/2025</v>
          </cell>
          <cell r="J262" t="str">
            <v>23/04/2025</v>
          </cell>
          <cell r="K262" t="e">
            <v>#N/A</v>
          </cell>
          <cell r="L262" t="str">
            <v>Binder Klip  nomor 260</v>
          </cell>
          <cell r="M262" t="str">
            <v>Binder Klip  nomor 260</v>
          </cell>
          <cell r="N262">
            <v>10</v>
          </cell>
          <cell r="O262" t="str">
            <v>kotak</v>
          </cell>
          <cell r="P262">
            <v>20000</v>
          </cell>
          <cell r="Q262">
            <v>200000</v>
          </cell>
          <cell r="V262" t="e">
            <v>#N/A</v>
          </cell>
          <cell r="W262" t="e">
            <v>#N/A</v>
          </cell>
          <cell r="X262" t="e">
            <v>#N/A</v>
          </cell>
        </row>
        <row r="263">
          <cell r="C263" t="str">
            <v>5.1.02.01.01.0024</v>
          </cell>
          <cell r="D263" t="str">
            <v>06. 05. 08.</v>
          </cell>
          <cell r="E263">
            <v>45717</v>
          </cell>
          <cell r="F263" t="str">
            <v>03/03/2025</v>
          </cell>
          <cell r="G263">
            <v>97</v>
          </cell>
          <cell r="H263" t="str">
            <v>03/03/2025</v>
          </cell>
          <cell r="J263" t="str">
            <v>23/04/2025</v>
          </cell>
          <cell r="K263" t="e">
            <v>#N/A</v>
          </cell>
          <cell r="L263" t="str">
            <v>Binder Klip Merk : KENKO nomor 105</v>
          </cell>
          <cell r="M263" t="str">
            <v>Binder Klip Merk : KENKO nomor 105</v>
          </cell>
          <cell r="N263">
            <v>2</v>
          </cell>
          <cell r="O263" t="str">
            <v>kotak</v>
          </cell>
          <cell r="P263">
            <v>5000</v>
          </cell>
          <cell r="Q263">
            <v>10000</v>
          </cell>
          <cell r="V263" t="e">
            <v>#N/A</v>
          </cell>
          <cell r="W263" t="e">
            <v>#N/A</v>
          </cell>
          <cell r="X263" t="e">
            <v>#N/A</v>
          </cell>
        </row>
        <row r="264">
          <cell r="C264" t="str">
            <v>5.1.02.01.01.0024</v>
          </cell>
          <cell r="D264" t="str">
            <v>06. 05. 08.</v>
          </cell>
          <cell r="E264">
            <v>45717</v>
          </cell>
          <cell r="F264" t="str">
            <v>03/03/2025</v>
          </cell>
          <cell r="G264">
            <v>97</v>
          </cell>
          <cell r="H264" t="str">
            <v>03/03/2025</v>
          </cell>
          <cell r="J264" t="str">
            <v>23/04/2025</v>
          </cell>
          <cell r="K264" t="e">
            <v>#N/A</v>
          </cell>
          <cell r="L264" t="str">
            <v>Map Binder</v>
          </cell>
          <cell r="M264" t="str">
            <v>Map Binder</v>
          </cell>
          <cell r="N264">
            <v>12</v>
          </cell>
          <cell r="O264" t="str">
            <v>buah</v>
          </cell>
          <cell r="P264">
            <v>35500</v>
          </cell>
          <cell r="Q264">
            <v>426000</v>
          </cell>
          <cell r="V264" t="e">
            <v>#N/A</v>
          </cell>
          <cell r="W264" t="e">
            <v>#N/A</v>
          </cell>
          <cell r="X264" t="e">
            <v>#N/A</v>
          </cell>
        </row>
        <row r="265">
          <cell r="C265" t="str">
            <v>5.1.02.01.01.0024</v>
          </cell>
          <cell r="D265" t="str">
            <v>06. 05. 08.</v>
          </cell>
          <cell r="E265">
            <v>45717</v>
          </cell>
          <cell r="F265" t="str">
            <v>03/03/2025</v>
          </cell>
          <cell r="G265">
            <v>97</v>
          </cell>
          <cell r="H265" t="str">
            <v>03/03/2025</v>
          </cell>
          <cell r="J265" t="str">
            <v>23/04/2025</v>
          </cell>
          <cell r="K265" t="e">
            <v>#N/A</v>
          </cell>
          <cell r="L265" t="str">
            <v>Stofmap Kertas</v>
          </cell>
          <cell r="M265" t="str">
            <v>Stofmap Kertas</v>
          </cell>
          <cell r="N265">
            <v>1</v>
          </cell>
          <cell r="O265" t="str">
            <v>pak</v>
          </cell>
          <cell r="P265">
            <v>88000</v>
          </cell>
          <cell r="Q265">
            <v>88000</v>
          </cell>
          <cell r="V265" t="e">
            <v>#N/A</v>
          </cell>
          <cell r="W265" t="e">
            <v>#N/A</v>
          </cell>
          <cell r="X265" t="e">
            <v>#N/A</v>
          </cell>
        </row>
        <row r="266">
          <cell r="C266" t="str">
            <v>5.1.02.01.01.0024</v>
          </cell>
          <cell r="D266" t="str">
            <v>06. 05. 08.</v>
          </cell>
          <cell r="E266">
            <v>45717</v>
          </cell>
          <cell r="F266" t="str">
            <v>03/03/2025</v>
          </cell>
          <cell r="G266">
            <v>97</v>
          </cell>
          <cell r="H266" t="str">
            <v>03/03/2025</v>
          </cell>
          <cell r="J266" t="str">
            <v>23/04/2025</v>
          </cell>
          <cell r="K266" t="e">
            <v>#N/A</v>
          </cell>
          <cell r="L266" t="str">
            <v>Stofmap Transparan tali</v>
          </cell>
          <cell r="M266" t="str">
            <v>Stofmap Transparan tali</v>
          </cell>
          <cell r="N266">
            <v>100</v>
          </cell>
          <cell r="O266" t="str">
            <v>buah</v>
          </cell>
          <cell r="P266">
            <v>5500</v>
          </cell>
          <cell r="Q266">
            <v>550000</v>
          </cell>
          <cell r="V266" t="e">
            <v>#N/A</v>
          </cell>
          <cell r="W266" t="e">
            <v>#N/A</v>
          </cell>
          <cell r="X266" t="e">
            <v>#N/A</v>
          </cell>
        </row>
        <row r="267">
          <cell r="C267" t="str">
            <v>5.1.02.01.01.0024</v>
          </cell>
          <cell r="D267" t="str">
            <v>06. 05. 08.</v>
          </cell>
          <cell r="E267">
            <v>45717</v>
          </cell>
          <cell r="F267" t="str">
            <v>03/03/2025</v>
          </cell>
          <cell r="G267">
            <v>97</v>
          </cell>
          <cell r="H267" t="str">
            <v>03/03/2025</v>
          </cell>
          <cell r="J267" t="str">
            <v>23/04/2025</v>
          </cell>
          <cell r="K267" t="e">
            <v>#N/A</v>
          </cell>
          <cell r="L267" t="str">
            <v>Stofmap Transparan</v>
          </cell>
          <cell r="M267" t="str">
            <v>Stofmap Transparan</v>
          </cell>
          <cell r="N267">
            <v>100</v>
          </cell>
          <cell r="O267" t="str">
            <v>buah</v>
          </cell>
          <cell r="P267">
            <v>5500</v>
          </cell>
          <cell r="Q267">
            <v>550000</v>
          </cell>
          <cell r="V267" t="e">
            <v>#N/A</v>
          </cell>
          <cell r="W267" t="e">
            <v>#N/A</v>
          </cell>
          <cell r="X267" t="e">
            <v>#N/A</v>
          </cell>
        </row>
        <row r="268">
          <cell r="C268" t="str">
            <v>5.1.02.01.01.0024</v>
          </cell>
          <cell r="D268" t="str">
            <v>06. 05. 08.</v>
          </cell>
          <cell r="E268">
            <v>45717</v>
          </cell>
          <cell r="F268" t="str">
            <v>03/03/2025</v>
          </cell>
          <cell r="G268">
            <v>97</v>
          </cell>
          <cell r="H268" t="str">
            <v>03/03/2025</v>
          </cell>
          <cell r="J268" t="str">
            <v>23/04/2025</v>
          </cell>
          <cell r="K268" t="e">
            <v>#N/A</v>
          </cell>
          <cell r="L268" t="str">
            <v>Binder Klip Ordner</v>
          </cell>
          <cell r="M268" t="str">
            <v>Binder Klip Ordner</v>
          </cell>
          <cell r="N268">
            <v>6</v>
          </cell>
          <cell r="O268" t="str">
            <v>buah</v>
          </cell>
          <cell r="P268">
            <v>49500</v>
          </cell>
          <cell r="Q268">
            <v>297000</v>
          </cell>
          <cell r="V268" t="e">
            <v>#N/A</v>
          </cell>
          <cell r="W268" t="e">
            <v>#N/A</v>
          </cell>
          <cell r="X268" t="e">
            <v>#N/A</v>
          </cell>
        </row>
        <row r="269">
          <cell r="C269" t="str">
            <v>5.1.02.01.01.0024</v>
          </cell>
          <cell r="D269" t="str">
            <v>06. 05. 08.</v>
          </cell>
          <cell r="E269">
            <v>45717</v>
          </cell>
          <cell r="F269" t="str">
            <v>03/03/2025</v>
          </cell>
          <cell r="G269">
            <v>97</v>
          </cell>
          <cell r="H269" t="str">
            <v>03/03/2025</v>
          </cell>
          <cell r="J269" t="str">
            <v>23/04/2025</v>
          </cell>
          <cell r="K269" t="e">
            <v>#N/A</v>
          </cell>
          <cell r="L269" t="str">
            <v>Box File Merk : Bantex Ukuran : 115x270x325 mm</v>
          </cell>
          <cell r="M269" t="str">
            <v>Box File Merk : Bantex Ukuran : 115x270x325 mm</v>
          </cell>
          <cell r="N269">
            <v>4</v>
          </cell>
          <cell r="O269" t="str">
            <v>buah</v>
          </cell>
          <cell r="P269">
            <v>59000</v>
          </cell>
          <cell r="Q269">
            <v>236000</v>
          </cell>
          <cell r="V269" t="e">
            <v>#N/A</v>
          </cell>
          <cell r="W269" t="e">
            <v>#N/A</v>
          </cell>
          <cell r="X269" t="e">
            <v>#N/A</v>
          </cell>
        </row>
        <row r="270">
          <cell r="C270" t="str">
            <v>5.1.02.01.01.0024</v>
          </cell>
          <cell r="D270" t="str">
            <v>06. 05. 08.</v>
          </cell>
          <cell r="E270">
            <v>45717</v>
          </cell>
          <cell r="F270" t="str">
            <v>03/03/2025</v>
          </cell>
          <cell r="G270">
            <v>97</v>
          </cell>
          <cell r="H270" t="str">
            <v>03/03/2025</v>
          </cell>
          <cell r="J270" t="str">
            <v>23/04/2025</v>
          </cell>
          <cell r="K270" t="e">
            <v>#N/A</v>
          </cell>
          <cell r="L270" t="str">
            <v>Sampul Plastik</v>
          </cell>
          <cell r="M270" t="str">
            <v>Sampul Plastik</v>
          </cell>
          <cell r="N270">
            <v>5</v>
          </cell>
          <cell r="O270" t="str">
            <v>bungkus</v>
          </cell>
          <cell r="P270">
            <v>65000</v>
          </cell>
          <cell r="Q270">
            <v>325000</v>
          </cell>
          <cell r="V270" t="e">
            <v>#N/A</v>
          </cell>
          <cell r="W270" t="e">
            <v>#N/A</v>
          </cell>
          <cell r="X270" t="e">
            <v>#N/A</v>
          </cell>
        </row>
        <row r="271">
          <cell r="C271" t="str">
            <v>5.1.02.01.01.0024</v>
          </cell>
          <cell r="D271" t="str">
            <v>06. 05. 08.</v>
          </cell>
          <cell r="E271">
            <v>45717</v>
          </cell>
          <cell r="F271" t="str">
            <v>03/03/2025</v>
          </cell>
          <cell r="G271">
            <v>97</v>
          </cell>
          <cell r="H271" t="str">
            <v>03/03/2025</v>
          </cell>
          <cell r="J271" t="str">
            <v>23/04/2025</v>
          </cell>
          <cell r="K271" t="e">
            <v>#N/A</v>
          </cell>
          <cell r="L271" t="str">
            <v>Tinta Printer Canon 740 Hitam-740 Hitam</v>
          </cell>
          <cell r="M271" t="str">
            <v>Tinta Printer Canon 740 Hitam-740 Hitam</v>
          </cell>
          <cell r="N271">
            <v>8</v>
          </cell>
          <cell r="O271" t="str">
            <v>botol</v>
          </cell>
          <cell r="P271">
            <v>30000</v>
          </cell>
          <cell r="Q271">
            <v>240000</v>
          </cell>
          <cell r="V271" t="e">
            <v>#N/A</v>
          </cell>
          <cell r="W271" t="e">
            <v>#N/A</v>
          </cell>
          <cell r="X271" t="e">
            <v>#N/A</v>
          </cell>
        </row>
        <row r="272">
          <cell r="C272" t="str">
            <v>5.1.02.01.01.0024</v>
          </cell>
          <cell r="D272" t="str">
            <v>06. 05. 08.</v>
          </cell>
          <cell r="E272">
            <v>45717</v>
          </cell>
          <cell r="F272" t="str">
            <v>03/03/2025</v>
          </cell>
          <cell r="G272">
            <v>97</v>
          </cell>
          <cell r="H272" t="str">
            <v>03/03/2025</v>
          </cell>
          <cell r="J272" t="str">
            <v>23/04/2025</v>
          </cell>
          <cell r="K272" t="e">
            <v>#N/A</v>
          </cell>
          <cell r="L272" t="str">
            <v>Tinta Printer Canon 741 Warna-741 Warna</v>
          </cell>
          <cell r="M272" t="str">
            <v>Tinta Printer Canon 741 Warna-741 Warna</v>
          </cell>
          <cell r="N272">
            <v>12</v>
          </cell>
          <cell r="O272" t="str">
            <v>botol</v>
          </cell>
          <cell r="P272">
            <v>33000</v>
          </cell>
          <cell r="Q272">
            <v>396000</v>
          </cell>
          <cell r="V272" t="e">
            <v>#N/A</v>
          </cell>
          <cell r="W272" t="e">
            <v>#N/A</v>
          </cell>
          <cell r="X272" t="e">
            <v>#N/A</v>
          </cell>
        </row>
        <row r="273">
          <cell r="C273" t="str">
            <v>5.1.02.01.01.0024</v>
          </cell>
          <cell r="D273" t="str">
            <v>06. 05. 08.</v>
          </cell>
          <cell r="E273">
            <v>45717</v>
          </cell>
          <cell r="F273" t="str">
            <v>03/03/2025</v>
          </cell>
          <cell r="G273">
            <v>97</v>
          </cell>
          <cell r="H273" t="str">
            <v>03/03/2025</v>
          </cell>
          <cell r="J273" t="str">
            <v>23/04/2025</v>
          </cell>
          <cell r="K273" t="e">
            <v>#N/A</v>
          </cell>
          <cell r="L273" t="str">
            <v>C. Tinta Printer EPSON Toner Epson 664 Black</v>
          </cell>
          <cell r="M273" t="str">
            <v>C. Tinta Printer EPSON Toner Epson 664 Black</v>
          </cell>
          <cell r="N273">
            <v>6</v>
          </cell>
          <cell r="O273" t="str">
            <v>botol</v>
          </cell>
          <cell r="P273">
            <v>85000</v>
          </cell>
          <cell r="Q273">
            <v>510000</v>
          </cell>
          <cell r="V273" t="e">
            <v>#N/A</v>
          </cell>
          <cell r="W273" t="e">
            <v>#N/A</v>
          </cell>
          <cell r="X273" t="e">
            <v>#N/A</v>
          </cell>
        </row>
        <row r="274">
          <cell r="C274" t="str">
            <v>5.1.02.01.01.0024</v>
          </cell>
          <cell r="D274" t="str">
            <v>06. 05. 08.</v>
          </cell>
          <cell r="E274">
            <v>45717</v>
          </cell>
          <cell r="F274" t="str">
            <v>03/03/2025</v>
          </cell>
          <cell r="G274">
            <v>97</v>
          </cell>
          <cell r="H274" t="str">
            <v>03/03/2025</v>
          </cell>
          <cell r="J274" t="str">
            <v>23/04/2025</v>
          </cell>
          <cell r="K274" t="e">
            <v>#N/A</v>
          </cell>
          <cell r="L274" t="str">
            <v>C. Tinta Printer EPSON Tinta Printer Epson Yellow</v>
          </cell>
          <cell r="M274" t="str">
            <v>C. Tinta Printer EPSON Tinta Printer Epson Yellow</v>
          </cell>
          <cell r="N274">
            <v>4</v>
          </cell>
          <cell r="O274" t="str">
            <v>botol</v>
          </cell>
          <cell r="P274">
            <v>110000</v>
          </cell>
          <cell r="Q274">
            <v>440000</v>
          </cell>
          <cell r="V274" t="e">
            <v>#N/A</v>
          </cell>
          <cell r="W274" t="e">
            <v>#N/A</v>
          </cell>
          <cell r="X274" t="e">
            <v>#N/A</v>
          </cell>
        </row>
        <row r="275">
          <cell r="C275" t="str">
            <v>5.1.02.01.01.0024</v>
          </cell>
          <cell r="D275" t="str">
            <v>06. 05. 08.</v>
          </cell>
          <cell r="E275">
            <v>45717</v>
          </cell>
          <cell r="F275" t="str">
            <v>03/03/2025</v>
          </cell>
          <cell r="G275">
            <v>97</v>
          </cell>
          <cell r="H275" t="str">
            <v>03/03/2025</v>
          </cell>
          <cell r="J275" t="str">
            <v>23/04/2025</v>
          </cell>
          <cell r="K275" t="e">
            <v>#N/A</v>
          </cell>
          <cell r="L275" t="str">
            <v>C. Tinta Printer EPSON Tinta Printer Epson Blue</v>
          </cell>
          <cell r="M275" t="str">
            <v>C. Tinta Printer EPSON Tinta Printer Epson Blue</v>
          </cell>
          <cell r="N275">
            <v>4</v>
          </cell>
          <cell r="O275" t="str">
            <v>botol</v>
          </cell>
          <cell r="P275">
            <v>110000</v>
          </cell>
          <cell r="Q275">
            <v>440000</v>
          </cell>
          <cell r="V275" t="e">
            <v>#N/A</v>
          </cell>
          <cell r="W275" t="e">
            <v>#N/A</v>
          </cell>
          <cell r="X275" t="e">
            <v>#N/A</v>
          </cell>
        </row>
        <row r="276">
          <cell r="C276" t="str">
            <v>5.1.02.01.01.0024</v>
          </cell>
          <cell r="D276" t="str">
            <v>06. 05. 08.</v>
          </cell>
          <cell r="E276">
            <v>45717</v>
          </cell>
          <cell r="F276" t="str">
            <v>03/03/2025</v>
          </cell>
          <cell r="G276">
            <v>97</v>
          </cell>
          <cell r="H276" t="str">
            <v>03/03/2025</v>
          </cell>
          <cell r="J276" t="str">
            <v>23/04/2025</v>
          </cell>
          <cell r="K276" t="e">
            <v>#N/A</v>
          </cell>
          <cell r="L276" t="str">
            <v>C. Tinta Printer EPSON Tinta Printer Epson Read</v>
          </cell>
          <cell r="M276" t="str">
            <v>C. Tinta Printer EPSON Tinta Printer Epson Read</v>
          </cell>
          <cell r="N276">
            <v>4</v>
          </cell>
          <cell r="O276" t="str">
            <v>botol</v>
          </cell>
          <cell r="P276">
            <v>110000</v>
          </cell>
          <cell r="Q276">
            <v>440000</v>
          </cell>
          <cell r="V276" t="e">
            <v>#N/A</v>
          </cell>
          <cell r="W276" t="e">
            <v>#N/A</v>
          </cell>
          <cell r="X276" t="e">
            <v>#N/A</v>
          </cell>
        </row>
        <row r="277">
          <cell r="C277" t="str">
            <v>5.1.02.01.01.0024</v>
          </cell>
          <cell r="D277" t="str">
            <v>06. 05. 08.</v>
          </cell>
          <cell r="E277">
            <v>45717</v>
          </cell>
          <cell r="F277" t="str">
            <v>03/03/2025</v>
          </cell>
          <cell r="G277">
            <v>97</v>
          </cell>
          <cell r="H277" t="str">
            <v>03/03/2025</v>
          </cell>
          <cell r="J277" t="str">
            <v>23/04/2025</v>
          </cell>
          <cell r="K277" t="e">
            <v>#N/A</v>
          </cell>
          <cell r="L277" t="str">
            <v>Catridge Printer Epson T 014--</v>
          </cell>
          <cell r="M277" t="str">
            <v>Catridge Printer Epson T 014--</v>
          </cell>
          <cell r="N277">
            <v>4</v>
          </cell>
          <cell r="O277" t="str">
            <v>botol</v>
          </cell>
          <cell r="P277">
            <v>310000</v>
          </cell>
          <cell r="Q277">
            <v>1240000</v>
          </cell>
          <cell r="V277" t="e">
            <v>#N/A</v>
          </cell>
          <cell r="W277" t="e">
            <v>#N/A</v>
          </cell>
          <cell r="X277" t="e">
            <v>#N/A</v>
          </cell>
        </row>
        <row r="278">
          <cell r="C278" t="str">
            <v>5.1.02.01.01.0024</v>
          </cell>
          <cell r="D278" t="str">
            <v>06. 05. 08.</v>
          </cell>
          <cell r="E278">
            <v>45717</v>
          </cell>
          <cell r="F278" t="str">
            <v>03/03/2025</v>
          </cell>
          <cell r="G278">
            <v>97</v>
          </cell>
          <cell r="H278" t="str">
            <v>03/03/2025</v>
          </cell>
          <cell r="J278" t="str">
            <v>23/04/2025</v>
          </cell>
          <cell r="K278" t="e">
            <v>#N/A</v>
          </cell>
          <cell r="L278" t="str">
            <v>Lakban Besar</v>
          </cell>
          <cell r="M278" t="str">
            <v>Lakban Besar</v>
          </cell>
          <cell r="N278">
            <v>5</v>
          </cell>
          <cell r="O278" t="str">
            <v>buah</v>
          </cell>
          <cell r="P278">
            <v>25000</v>
          </cell>
          <cell r="Q278">
            <v>125000</v>
          </cell>
          <cell r="V278" t="e">
            <v>#N/A</v>
          </cell>
          <cell r="W278" t="e">
            <v>#N/A</v>
          </cell>
          <cell r="X278" t="e">
            <v>#N/A</v>
          </cell>
        </row>
        <row r="279">
          <cell r="C279" t="str">
            <v>5.1.02.01.01.0024</v>
          </cell>
          <cell r="D279" t="str">
            <v>06. 05. 08.</v>
          </cell>
          <cell r="E279">
            <v>45717</v>
          </cell>
          <cell r="F279" t="str">
            <v>03/03/2025</v>
          </cell>
          <cell r="G279">
            <v>97</v>
          </cell>
          <cell r="H279" t="str">
            <v>03/03/2025</v>
          </cell>
          <cell r="J279" t="str">
            <v>23/04/2025</v>
          </cell>
          <cell r="K279" t="e">
            <v>#N/A</v>
          </cell>
          <cell r="L279" t="str">
            <v>Lakban Bening Sedang</v>
          </cell>
          <cell r="M279" t="str">
            <v>Lakban Bening Sedang</v>
          </cell>
          <cell r="N279">
            <v>5</v>
          </cell>
          <cell r="O279" t="str">
            <v>buah</v>
          </cell>
          <cell r="P279">
            <v>15000</v>
          </cell>
          <cell r="Q279">
            <v>75000</v>
          </cell>
          <cell r="V279" t="e">
            <v>#N/A</v>
          </cell>
          <cell r="W279" t="e">
            <v>#N/A</v>
          </cell>
          <cell r="X279" t="e">
            <v>#N/A</v>
          </cell>
        </row>
        <row r="280">
          <cell r="C280" t="str">
            <v>5.1.02.01.01.0024</v>
          </cell>
          <cell r="D280" t="str">
            <v>06. 05. 08.</v>
          </cell>
          <cell r="E280">
            <v>45717</v>
          </cell>
          <cell r="F280" t="str">
            <v>03/03/2025</v>
          </cell>
          <cell r="G280">
            <v>97</v>
          </cell>
          <cell r="H280" t="str">
            <v>03/03/2025</v>
          </cell>
          <cell r="J280" t="str">
            <v>23/04/2025</v>
          </cell>
          <cell r="K280" t="e">
            <v>#N/A</v>
          </cell>
          <cell r="L280" t="str">
            <v>Lakban Bening</v>
          </cell>
          <cell r="M280" t="str">
            <v>Lakban Bening</v>
          </cell>
          <cell r="N280">
            <v>5</v>
          </cell>
          <cell r="O280" t="str">
            <v>buah</v>
          </cell>
          <cell r="P280">
            <v>10000</v>
          </cell>
          <cell r="Q280">
            <v>50000</v>
          </cell>
          <cell r="V280" t="e">
            <v>#N/A</v>
          </cell>
          <cell r="W280" t="e">
            <v>#N/A</v>
          </cell>
          <cell r="X280" t="e">
            <v>#N/A</v>
          </cell>
        </row>
        <row r="281">
          <cell r="C281" t="str">
            <v>5.1.02.01.01.0024</v>
          </cell>
          <cell r="D281" t="str">
            <v>06. 05. 08.</v>
          </cell>
          <cell r="E281">
            <v>45717</v>
          </cell>
          <cell r="F281" t="str">
            <v>03/03/2025</v>
          </cell>
          <cell r="G281">
            <v>97</v>
          </cell>
          <cell r="H281" t="str">
            <v>03/03/2025</v>
          </cell>
          <cell r="J281" t="str">
            <v>23/04/2025</v>
          </cell>
          <cell r="K281" t="e">
            <v>#N/A</v>
          </cell>
          <cell r="L281" t="str">
            <v>Lakban Hitam--</v>
          </cell>
          <cell r="M281" t="str">
            <v>Lakban Hitam--</v>
          </cell>
          <cell r="N281">
            <v>5</v>
          </cell>
          <cell r="O281" t="str">
            <v>buah</v>
          </cell>
          <cell r="P281">
            <v>15000</v>
          </cell>
          <cell r="Q281">
            <v>75000</v>
          </cell>
          <cell r="V281" t="e">
            <v>#N/A</v>
          </cell>
          <cell r="W281" t="e">
            <v>#N/A</v>
          </cell>
          <cell r="X281" t="e">
            <v>#N/A</v>
          </cell>
        </row>
        <row r="282">
          <cell r="C282" t="str">
            <v>5.1.02.01.01.0024</v>
          </cell>
          <cell r="D282" t="str">
            <v>06. 05. 08.</v>
          </cell>
          <cell r="E282">
            <v>45717</v>
          </cell>
          <cell r="F282" t="str">
            <v>03/03/2025</v>
          </cell>
          <cell r="G282">
            <v>97</v>
          </cell>
          <cell r="H282" t="str">
            <v>03/03/2025</v>
          </cell>
          <cell r="J282" t="str">
            <v>23/04/2025</v>
          </cell>
          <cell r="K282" t="e">
            <v>#N/A</v>
          </cell>
          <cell r="L282" t="str">
            <v>lakban hitam-ukuran : lebar 2 inch, panjang 12m, bahan : kain</v>
          </cell>
          <cell r="M282" t="str">
            <v>lakban hitam-ukuran : lebar 2 inch, panjang 12m, bahan : kain</v>
          </cell>
          <cell r="N282">
            <v>4</v>
          </cell>
          <cell r="O282" t="str">
            <v>buah</v>
          </cell>
          <cell r="P282">
            <v>12500</v>
          </cell>
          <cell r="Q282">
            <v>50000</v>
          </cell>
          <cell r="V282" t="e">
            <v>#N/A</v>
          </cell>
          <cell r="W282" t="e">
            <v>#N/A</v>
          </cell>
          <cell r="X282" t="e">
            <v>#N/A</v>
          </cell>
        </row>
        <row r="283">
          <cell r="C283" t="str">
            <v>5.1.02.01.01.0024</v>
          </cell>
          <cell r="D283" t="str">
            <v>06. 05. 08.</v>
          </cell>
          <cell r="E283">
            <v>45717</v>
          </cell>
          <cell r="F283" t="str">
            <v>03/03/2025</v>
          </cell>
          <cell r="G283">
            <v>97</v>
          </cell>
          <cell r="H283" t="str">
            <v>03/03/2025</v>
          </cell>
          <cell r="J283" t="str">
            <v>23/04/2025</v>
          </cell>
          <cell r="K283" t="e">
            <v>#N/A</v>
          </cell>
          <cell r="L283" t="str">
            <v>Lakban Hitam uk 2 " Warna hitam uk. 2 "</v>
          </cell>
          <cell r="M283" t="str">
            <v>Lakban Hitam uk 2 " Warna hitam uk. 2 "</v>
          </cell>
          <cell r="N283">
            <v>5</v>
          </cell>
          <cell r="O283" t="str">
            <v>buah</v>
          </cell>
          <cell r="P283">
            <v>25000</v>
          </cell>
          <cell r="Q283">
            <v>125000</v>
          </cell>
          <cell r="V283" t="e">
            <v>#N/A</v>
          </cell>
          <cell r="W283" t="e">
            <v>#N/A</v>
          </cell>
          <cell r="X283" t="e">
            <v>#N/A</v>
          </cell>
        </row>
        <row r="284">
          <cell r="C284" t="str">
            <v>5.1.02.01.01.0024</v>
          </cell>
          <cell r="D284" t="str">
            <v>06. 05. 08.</v>
          </cell>
          <cell r="E284">
            <v>45717</v>
          </cell>
          <cell r="F284" t="str">
            <v>03/03/2025</v>
          </cell>
          <cell r="G284">
            <v>97</v>
          </cell>
          <cell r="H284" t="str">
            <v>03/03/2025</v>
          </cell>
          <cell r="J284" t="str">
            <v>23/04/2025</v>
          </cell>
          <cell r="K284" t="e">
            <v>#N/A</v>
          </cell>
          <cell r="L284" t="str">
            <v>Lakban warna Uk 2" Warna Coklat Cofiie</v>
          </cell>
          <cell r="M284" t="str">
            <v>Lakban warna Uk 2" Warna Coklat Cofiie</v>
          </cell>
          <cell r="N284">
            <v>3</v>
          </cell>
          <cell r="O284" t="str">
            <v>buah</v>
          </cell>
          <cell r="P284">
            <v>20000</v>
          </cell>
          <cell r="Q284">
            <v>60000</v>
          </cell>
          <cell r="V284" t="e">
            <v>#N/A</v>
          </cell>
          <cell r="W284" t="e">
            <v>#N/A</v>
          </cell>
          <cell r="X284" t="e">
            <v>#N/A</v>
          </cell>
        </row>
        <row r="285">
          <cell r="C285" t="str">
            <v>5.1.02.01.01.0024</v>
          </cell>
          <cell r="D285" t="str">
            <v>06. 05. 08.</v>
          </cell>
          <cell r="E285">
            <v>45717</v>
          </cell>
          <cell r="F285" t="str">
            <v>03/03/2025</v>
          </cell>
          <cell r="G285">
            <v>97</v>
          </cell>
          <cell r="H285" t="str">
            <v>03/03/2025</v>
          </cell>
          <cell r="J285" t="str">
            <v>23/04/2025</v>
          </cell>
          <cell r="K285" t="e">
            <v>#N/A</v>
          </cell>
          <cell r="L285" t="str">
            <v>Spidol Refil Spidol White Board Snowman</v>
          </cell>
          <cell r="M285" t="str">
            <v>Spidol Refil Spidol White Board Snowman</v>
          </cell>
          <cell r="N285">
            <v>10</v>
          </cell>
          <cell r="O285" t="str">
            <v>buah</v>
          </cell>
          <cell r="P285">
            <v>20900</v>
          </cell>
          <cell r="Q285">
            <v>209000</v>
          </cell>
          <cell r="V285" t="e">
            <v>#N/A</v>
          </cell>
          <cell r="W285" t="e">
            <v>#N/A</v>
          </cell>
          <cell r="X285" t="e">
            <v>#N/A</v>
          </cell>
        </row>
        <row r="286">
          <cell r="C286" t="str">
            <v>5.1.02.01.01.0024</v>
          </cell>
          <cell r="D286" t="str">
            <v>06. 05. 08.</v>
          </cell>
          <cell r="E286">
            <v>45717</v>
          </cell>
          <cell r="F286" t="str">
            <v>03/03/2025</v>
          </cell>
          <cell r="G286">
            <v>97</v>
          </cell>
          <cell r="H286" t="str">
            <v>03/03/2025</v>
          </cell>
          <cell r="J286" t="str">
            <v>23/04/2025</v>
          </cell>
          <cell r="K286" t="e">
            <v>#N/A</v>
          </cell>
          <cell r="L286" t="str">
            <v>Spidol White board</v>
          </cell>
          <cell r="M286" t="str">
            <v>Spidol White board</v>
          </cell>
          <cell r="N286">
            <v>2</v>
          </cell>
          <cell r="O286" t="str">
            <v>lusin</v>
          </cell>
          <cell r="P286">
            <v>120000</v>
          </cell>
          <cell r="Q286">
            <v>240000</v>
          </cell>
          <cell r="V286" t="e">
            <v>#N/A</v>
          </cell>
          <cell r="W286" t="e">
            <v>#N/A</v>
          </cell>
          <cell r="X286" t="e">
            <v>#N/A</v>
          </cell>
        </row>
        <row r="287">
          <cell r="C287" t="str">
            <v>5.1.02.01.01.0024</v>
          </cell>
          <cell r="D287" t="str">
            <v>06. 05. 08.</v>
          </cell>
          <cell r="E287">
            <v>45717</v>
          </cell>
          <cell r="F287" t="str">
            <v>03/03/2025</v>
          </cell>
          <cell r="G287">
            <v>97</v>
          </cell>
          <cell r="H287" t="str">
            <v>03/03/2025</v>
          </cell>
          <cell r="J287" t="str">
            <v>23/04/2025</v>
          </cell>
          <cell r="K287" t="e">
            <v>#N/A</v>
          </cell>
          <cell r="L287" t="str">
            <v>Stapler HD-10--</v>
          </cell>
          <cell r="M287" t="str">
            <v>Stapler HD-10--</v>
          </cell>
          <cell r="N287">
            <v>2</v>
          </cell>
          <cell r="O287" t="str">
            <v>buah</v>
          </cell>
          <cell r="P287">
            <v>20000</v>
          </cell>
          <cell r="Q287">
            <v>40000</v>
          </cell>
          <cell r="V287" t="e">
            <v>#N/A</v>
          </cell>
          <cell r="W287" t="e">
            <v>#N/A</v>
          </cell>
          <cell r="X287" t="e">
            <v>#N/A</v>
          </cell>
        </row>
        <row r="288">
          <cell r="C288" t="str">
            <v>5.1.02.01.01.0024</v>
          </cell>
          <cell r="D288" t="str">
            <v>06. 05. 08.</v>
          </cell>
          <cell r="E288">
            <v>45717</v>
          </cell>
          <cell r="F288" t="str">
            <v>03/03/2025</v>
          </cell>
          <cell r="G288">
            <v>97</v>
          </cell>
          <cell r="H288" t="str">
            <v>03/03/2025</v>
          </cell>
          <cell r="J288" t="str">
            <v>23/04/2025</v>
          </cell>
          <cell r="K288" t="e">
            <v>#N/A</v>
          </cell>
          <cell r="L288" t="str">
            <v>Stapler Stapler No, 50 MAX</v>
          </cell>
          <cell r="M288" t="str">
            <v>Stapler Stapler No, 50 MAX</v>
          </cell>
          <cell r="N288">
            <v>2</v>
          </cell>
          <cell r="O288" t="str">
            <v>buah</v>
          </cell>
          <cell r="P288">
            <v>25000</v>
          </cell>
          <cell r="Q288">
            <v>50000</v>
          </cell>
          <cell r="V288" t="e">
            <v>#N/A</v>
          </cell>
          <cell r="W288" t="e">
            <v>#N/A</v>
          </cell>
          <cell r="X288" t="e">
            <v>#N/A</v>
          </cell>
        </row>
        <row r="289">
          <cell r="C289" t="str">
            <v>5.1.02.01.01.0024</v>
          </cell>
          <cell r="D289" t="str">
            <v>06. 05. 08.</v>
          </cell>
          <cell r="E289">
            <v>45717</v>
          </cell>
          <cell r="F289" t="str">
            <v>03/03/2025</v>
          </cell>
          <cell r="G289">
            <v>97</v>
          </cell>
          <cell r="H289" t="str">
            <v>03/03/2025</v>
          </cell>
          <cell r="J289" t="str">
            <v>23/04/2025</v>
          </cell>
          <cell r="K289" t="e">
            <v>#N/A</v>
          </cell>
          <cell r="L289" t="str">
            <v>PAPER CLIP  Paper Clip No 1</v>
          </cell>
          <cell r="M289" t="str">
            <v>PAPER CLIP  Paper Clip No 1</v>
          </cell>
          <cell r="N289">
            <v>5</v>
          </cell>
          <cell r="O289" t="str">
            <v>kotak</v>
          </cell>
          <cell r="P289">
            <v>6000</v>
          </cell>
          <cell r="Q289">
            <v>30000</v>
          </cell>
          <cell r="V289" t="e">
            <v>#N/A</v>
          </cell>
          <cell r="W289" t="e">
            <v>#N/A</v>
          </cell>
          <cell r="X289" t="e">
            <v>#N/A</v>
          </cell>
        </row>
        <row r="290">
          <cell r="C290" t="str">
            <v>5.1.02.01.01.0024</v>
          </cell>
          <cell r="D290" t="str">
            <v>06. 05. 08.</v>
          </cell>
          <cell r="E290">
            <v>45717</v>
          </cell>
          <cell r="F290" t="str">
            <v>03/03/2025</v>
          </cell>
          <cell r="G290">
            <v>97</v>
          </cell>
          <cell r="H290" t="str">
            <v>03/03/2025</v>
          </cell>
          <cell r="J290" t="str">
            <v>23/04/2025</v>
          </cell>
          <cell r="K290" t="e">
            <v>#N/A</v>
          </cell>
          <cell r="L290" t="str">
            <v>Paper Clip No 1  Paper Clip No 3</v>
          </cell>
          <cell r="M290" t="str">
            <v>Paper Clip No 1  Paper Clip No 3</v>
          </cell>
          <cell r="N290">
            <v>5</v>
          </cell>
          <cell r="O290" t="str">
            <v>kotak</v>
          </cell>
          <cell r="P290">
            <v>6000</v>
          </cell>
          <cell r="Q290">
            <v>30000</v>
          </cell>
          <cell r="V290" t="e">
            <v>#N/A</v>
          </cell>
          <cell r="W290" t="e">
            <v>#N/A</v>
          </cell>
          <cell r="X290" t="e">
            <v>#N/A</v>
          </cell>
        </row>
        <row r="291">
          <cell r="C291" t="str">
            <v>5.1.02.01.01.0024</v>
          </cell>
          <cell r="D291" t="str">
            <v>06. 05. 08.</v>
          </cell>
          <cell r="E291">
            <v>45717</v>
          </cell>
          <cell r="F291" t="str">
            <v>03/03/2025</v>
          </cell>
          <cell r="G291">
            <v>97</v>
          </cell>
          <cell r="H291" t="str">
            <v>03/03/2025</v>
          </cell>
          <cell r="J291" t="str">
            <v>23/04/2025</v>
          </cell>
          <cell r="K291" t="e">
            <v>#N/A</v>
          </cell>
          <cell r="L291" t="str">
            <v>Isi Staples Sedang</v>
          </cell>
          <cell r="M291" t="str">
            <v>Isi Staples Sedang</v>
          </cell>
          <cell r="N291">
            <v>2</v>
          </cell>
          <cell r="O291" t="str">
            <v>kotak</v>
          </cell>
          <cell r="P291">
            <v>40000</v>
          </cell>
          <cell r="Q291">
            <v>80000</v>
          </cell>
          <cell r="V291" t="e">
            <v>#N/A</v>
          </cell>
          <cell r="W291" t="e">
            <v>#N/A</v>
          </cell>
          <cell r="X291" t="e">
            <v>#N/A</v>
          </cell>
        </row>
        <row r="292">
          <cell r="C292" t="str">
            <v>5.1.02.01.01.0024</v>
          </cell>
          <cell r="D292" t="str">
            <v>06. 05. 08.</v>
          </cell>
          <cell r="E292">
            <v>45717</v>
          </cell>
          <cell r="F292" t="str">
            <v>03/03/2025</v>
          </cell>
          <cell r="G292">
            <v>97</v>
          </cell>
          <cell r="H292" t="str">
            <v>03/03/2025</v>
          </cell>
          <cell r="J292" t="str">
            <v>23/04/2025</v>
          </cell>
          <cell r="K292" t="e">
            <v>#N/A</v>
          </cell>
          <cell r="L292" t="str">
            <v>Isi Staples besar</v>
          </cell>
          <cell r="M292" t="str">
            <v>Isi Staples besar</v>
          </cell>
          <cell r="N292">
            <v>2</v>
          </cell>
          <cell r="O292" t="str">
            <v>kotak</v>
          </cell>
          <cell r="P292">
            <v>80000</v>
          </cell>
          <cell r="Q292">
            <v>160000</v>
          </cell>
          <cell r="V292" t="e">
            <v>#N/A</v>
          </cell>
          <cell r="W292" t="e">
            <v>#N/A</v>
          </cell>
          <cell r="X292" t="e">
            <v>#N/A</v>
          </cell>
        </row>
        <row r="293">
          <cell r="C293" t="str">
            <v>5.1.02.01.01.0024</v>
          </cell>
          <cell r="D293" t="str">
            <v>06. 05. 08.</v>
          </cell>
          <cell r="E293">
            <v>45717</v>
          </cell>
          <cell r="F293" t="str">
            <v>03/03/2025</v>
          </cell>
          <cell r="G293">
            <v>97</v>
          </cell>
          <cell r="H293" t="str">
            <v>03/03/2025</v>
          </cell>
          <cell r="J293" t="str">
            <v>23/04/2025</v>
          </cell>
          <cell r="K293" t="e">
            <v>#N/A</v>
          </cell>
          <cell r="L293" t="str">
            <v>gunting kertas-ukuran : panjang 21cm x lebar 8cm, stainless steel</v>
          </cell>
          <cell r="M293" t="str">
            <v>gunting kertas-ukuran : panjang 21cm x lebar 8cm, stainless steel</v>
          </cell>
          <cell r="N293">
            <v>2</v>
          </cell>
          <cell r="O293" t="str">
            <v>buah</v>
          </cell>
          <cell r="P293">
            <v>20000</v>
          </cell>
          <cell r="Q293">
            <v>40000</v>
          </cell>
          <cell r="V293" t="e">
            <v>#N/A</v>
          </cell>
          <cell r="W293" t="e">
            <v>#N/A</v>
          </cell>
          <cell r="X293" t="e">
            <v>#N/A</v>
          </cell>
        </row>
        <row r="294">
          <cell r="C294" t="str">
            <v>5.1.02.01.01.0024</v>
          </cell>
          <cell r="D294" t="str">
            <v>06. 05. 08.</v>
          </cell>
          <cell r="E294">
            <v>45717</v>
          </cell>
          <cell r="F294" t="str">
            <v>03/03/2025</v>
          </cell>
          <cell r="G294">
            <v>97</v>
          </cell>
          <cell r="H294" t="str">
            <v>03/03/2025</v>
          </cell>
          <cell r="J294" t="str">
            <v>23/04/2025</v>
          </cell>
          <cell r="K294" t="e">
            <v>#N/A</v>
          </cell>
          <cell r="L294" t="str">
            <v>Pisau Cutter Kenko L-500</v>
          </cell>
          <cell r="M294" t="str">
            <v>Pisau Cutter Kenko L-500</v>
          </cell>
          <cell r="N294">
            <v>2</v>
          </cell>
          <cell r="O294" t="str">
            <v>buah</v>
          </cell>
          <cell r="P294">
            <v>15000</v>
          </cell>
          <cell r="Q294">
            <v>30000</v>
          </cell>
          <cell r="V294" t="e">
            <v>#N/A</v>
          </cell>
          <cell r="W294" t="e">
            <v>#N/A</v>
          </cell>
          <cell r="X294" t="e">
            <v>#N/A</v>
          </cell>
        </row>
        <row r="295">
          <cell r="C295" t="str">
            <v>5.1.02.01.01.0024</v>
          </cell>
          <cell r="D295" t="str">
            <v>06. 05. 08.</v>
          </cell>
          <cell r="E295">
            <v>45717</v>
          </cell>
          <cell r="F295" t="str">
            <v>03/03/2025</v>
          </cell>
          <cell r="G295">
            <v>97</v>
          </cell>
          <cell r="H295" t="str">
            <v>03/03/2025</v>
          </cell>
          <cell r="J295" t="str">
            <v>23/04/2025</v>
          </cell>
          <cell r="K295" t="e">
            <v>#N/A</v>
          </cell>
          <cell r="L295" t="str">
            <v>Baterey Kecil</v>
          </cell>
          <cell r="M295" t="str">
            <v>Baterey Kecil</v>
          </cell>
          <cell r="N295">
            <v>5</v>
          </cell>
          <cell r="O295" t="str">
            <v>pasang</v>
          </cell>
          <cell r="P295">
            <v>20000</v>
          </cell>
          <cell r="Q295">
            <v>100000</v>
          </cell>
          <cell r="V295" t="e">
            <v>#N/A</v>
          </cell>
          <cell r="W295" t="e">
            <v>#N/A</v>
          </cell>
          <cell r="X295" t="e">
            <v>#N/A</v>
          </cell>
        </row>
        <row r="296">
          <cell r="C296" t="str">
            <v>5.1.02.01.01.0024</v>
          </cell>
          <cell r="D296" t="str">
            <v>06. 05. 08.</v>
          </cell>
          <cell r="E296">
            <v>45717</v>
          </cell>
          <cell r="F296" t="str">
            <v>03/03/2025</v>
          </cell>
          <cell r="G296">
            <v>97</v>
          </cell>
          <cell r="H296" t="str">
            <v>03/03/2025</v>
          </cell>
          <cell r="J296" t="str">
            <v>23/04/2025</v>
          </cell>
          <cell r="K296" t="e">
            <v>#N/A</v>
          </cell>
          <cell r="L296" t="str">
            <v>Baterey Tanggung</v>
          </cell>
          <cell r="M296" t="str">
            <v>Baterey Tanggung</v>
          </cell>
          <cell r="N296">
            <v>5</v>
          </cell>
          <cell r="O296" t="str">
            <v>pasang</v>
          </cell>
          <cell r="P296">
            <v>30000</v>
          </cell>
          <cell r="Q296">
            <v>150000</v>
          </cell>
          <cell r="V296" t="e">
            <v>#N/A</v>
          </cell>
          <cell r="W296" t="e">
            <v>#N/A</v>
          </cell>
          <cell r="X296" t="e">
            <v>#N/A</v>
          </cell>
        </row>
        <row r="297">
          <cell r="C297" t="str">
            <v>5.1.02.01.01.0024</v>
          </cell>
          <cell r="D297" t="str">
            <v>06. 05. 08.</v>
          </cell>
          <cell r="E297">
            <v>45717</v>
          </cell>
          <cell r="F297" t="str">
            <v>03/03/2025</v>
          </cell>
          <cell r="G297">
            <v>97</v>
          </cell>
          <cell r="H297" t="str">
            <v>03/03/2025</v>
          </cell>
          <cell r="J297" t="str">
            <v>23/04/2025</v>
          </cell>
          <cell r="K297" t="e">
            <v>#N/A</v>
          </cell>
          <cell r="L297" t="str">
            <v>USB FLASH DISK USB/Flash Disk 4GB</v>
          </cell>
          <cell r="M297" t="str">
            <v>USB FLASH DISK USB/Flash Disk 4GB</v>
          </cell>
          <cell r="N297">
            <v>1</v>
          </cell>
          <cell r="O297" t="str">
            <v>buah</v>
          </cell>
          <cell r="P297">
            <v>80000</v>
          </cell>
          <cell r="Q297">
            <v>80000</v>
          </cell>
          <cell r="V297" t="e">
            <v>#N/A</v>
          </cell>
          <cell r="W297" t="e">
            <v>#N/A</v>
          </cell>
          <cell r="X297" t="e">
            <v>#N/A</v>
          </cell>
        </row>
        <row r="298">
          <cell r="C298" t="str">
            <v>5.1.02.01.01.0024</v>
          </cell>
          <cell r="D298" t="str">
            <v>06. 05. 08.</v>
          </cell>
          <cell r="E298">
            <v>45717</v>
          </cell>
          <cell r="F298" t="str">
            <v>03/03/2025</v>
          </cell>
          <cell r="G298">
            <v>97</v>
          </cell>
          <cell r="H298" t="str">
            <v>03/03/2025</v>
          </cell>
          <cell r="J298" t="str">
            <v>23/04/2025</v>
          </cell>
          <cell r="K298" t="e">
            <v>#N/A</v>
          </cell>
          <cell r="L298" t="str">
            <v>Tinta Stempel</v>
          </cell>
          <cell r="M298" t="str">
            <v>Tinta Stempel</v>
          </cell>
          <cell r="N298">
            <v>5</v>
          </cell>
          <cell r="O298" t="str">
            <v>botol</v>
          </cell>
          <cell r="P298">
            <v>20000</v>
          </cell>
          <cell r="Q298">
            <v>100000</v>
          </cell>
          <cell r="V298" t="e">
            <v>#N/A</v>
          </cell>
          <cell r="W298" t="e">
            <v>#N/A</v>
          </cell>
          <cell r="X298" t="e">
            <v>#N/A</v>
          </cell>
        </row>
        <row r="299">
          <cell r="C299" t="str">
            <v>5.1.02.01.01.0024</v>
          </cell>
          <cell r="D299" t="str">
            <v>06. 05. 08.</v>
          </cell>
          <cell r="E299">
            <v>45717</v>
          </cell>
          <cell r="F299" t="str">
            <v>03/03/2025</v>
          </cell>
          <cell r="G299">
            <v>97</v>
          </cell>
          <cell r="H299" t="str">
            <v>03/03/2025</v>
          </cell>
          <cell r="J299" t="str">
            <v>23/04/2025</v>
          </cell>
          <cell r="K299" t="e">
            <v>#N/A</v>
          </cell>
          <cell r="L299" t="str">
            <v>Materai 10.000</v>
          </cell>
          <cell r="M299" t="str">
            <v>Materai 10.000</v>
          </cell>
          <cell r="N299">
            <v>100</v>
          </cell>
          <cell r="O299" t="str">
            <v>buah</v>
          </cell>
          <cell r="P299">
            <v>12000</v>
          </cell>
          <cell r="Q299">
            <v>1200000</v>
          </cell>
          <cell r="V299" t="e">
            <v>#N/A</v>
          </cell>
          <cell r="W299" t="e">
            <v>#N/A</v>
          </cell>
          <cell r="X299" t="e">
            <v>#N/A</v>
          </cell>
        </row>
        <row r="300">
          <cell r="C300" t="str">
            <v>5.1.02.01.01.0026</v>
          </cell>
          <cell r="D300" t="str">
            <v>06. 05. 08.</v>
          </cell>
          <cell r="E300">
            <v>45717</v>
          </cell>
          <cell r="F300" t="str">
            <v>03/03/2025</v>
          </cell>
          <cell r="G300">
            <v>98</v>
          </cell>
          <cell r="H300" t="str">
            <v>03/03/2025</v>
          </cell>
          <cell r="J300" t="str">
            <v>23/04/2025</v>
          </cell>
          <cell r="K300" t="e">
            <v>#N/A</v>
          </cell>
          <cell r="L300" t="str">
            <v>Foto Copy Filio dan Kuarto</v>
          </cell>
          <cell r="M300" t="str">
            <v>Foto Copy Filio dan Kuarto</v>
          </cell>
          <cell r="N300">
            <v>4500</v>
          </cell>
          <cell r="O300" t="str">
            <v>lembar</v>
          </cell>
          <cell r="P300">
            <v>350</v>
          </cell>
          <cell r="Q300">
            <v>1575000</v>
          </cell>
          <cell r="V300" t="e">
            <v>#N/A</v>
          </cell>
          <cell r="W300" t="e">
            <v>#N/A</v>
          </cell>
          <cell r="X300" t="e">
            <v>#N/A</v>
          </cell>
        </row>
        <row r="301">
          <cell r="C301" t="str">
            <v>5.1.02.01.01.0030</v>
          </cell>
          <cell r="D301" t="str">
            <v>06. 05. 09.</v>
          </cell>
          <cell r="E301">
            <v>45717</v>
          </cell>
          <cell r="F301" t="str">
            <v>03/03/2025</v>
          </cell>
          <cell r="G301">
            <v>99</v>
          </cell>
          <cell r="H301" t="str">
            <v>03/03/2025</v>
          </cell>
          <cell r="J301" t="str">
            <v>23/04/2025</v>
          </cell>
          <cell r="K301" t="e">
            <v>#N/A</v>
          </cell>
          <cell r="L301" t="str">
            <v>Tisu--</v>
          </cell>
          <cell r="M301" t="str">
            <v>Tisu--</v>
          </cell>
          <cell r="N301">
            <v>12</v>
          </cell>
          <cell r="O301" t="str">
            <v>buah</v>
          </cell>
          <cell r="P301">
            <v>12500</v>
          </cell>
          <cell r="Q301">
            <v>150000</v>
          </cell>
          <cell r="V301" t="e">
            <v>#N/A</v>
          </cell>
          <cell r="W301" t="e">
            <v>#N/A</v>
          </cell>
          <cell r="X301" t="e">
            <v>#N/A</v>
          </cell>
        </row>
        <row r="302">
          <cell r="C302" t="str">
            <v>5.1.02.01.01.0030</v>
          </cell>
          <cell r="D302" t="str">
            <v>06. 05. 09.</v>
          </cell>
          <cell r="E302">
            <v>45717</v>
          </cell>
          <cell r="F302" t="str">
            <v>03/03/2025</v>
          </cell>
          <cell r="G302">
            <v>99</v>
          </cell>
          <cell r="H302" t="str">
            <v>03/03/2025</v>
          </cell>
          <cell r="J302" t="str">
            <v>23/04/2025</v>
          </cell>
          <cell r="K302" t="e">
            <v>#N/A</v>
          </cell>
          <cell r="L302" t="str">
            <v>vixal 500ml</v>
          </cell>
          <cell r="M302" t="str">
            <v>vixal 500ml</v>
          </cell>
          <cell r="N302">
            <v>10</v>
          </cell>
          <cell r="O302" t="str">
            <v>botol</v>
          </cell>
          <cell r="P302">
            <v>30000</v>
          </cell>
          <cell r="Q302">
            <v>300000</v>
          </cell>
          <cell r="V302" t="e">
            <v>#N/A</v>
          </cell>
          <cell r="W302" t="e">
            <v>#N/A</v>
          </cell>
          <cell r="X302" t="e">
            <v>#N/A</v>
          </cell>
        </row>
        <row r="303">
          <cell r="C303" t="str">
            <v>5.1.02.01.01.0030</v>
          </cell>
          <cell r="D303" t="str">
            <v>06. 05. 09.</v>
          </cell>
          <cell r="E303">
            <v>45717</v>
          </cell>
          <cell r="F303" t="str">
            <v>03/03/2025</v>
          </cell>
          <cell r="G303">
            <v>99</v>
          </cell>
          <cell r="H303" t="str">
            <v>03/03/2025</v>
          </cell>
          <cell r="J303" t="str">
            <v>23/04/2025</v>
          </cell>
          <cell r="K303" t="e">
            <v>#N/A</v>
          </cell>
          <cell r="L303" t="str">
            <v>Perlengkapan Kebersihan Pembersih Lantai Super Pel Varian 800ml</v>
          </cell>
          <cell r="N303">
            <v>15</v>
          </cell>
          <cell r="O303" t="str">
            <v>buah</v>
          </cell>
          <cell r="P303">
            <v>13500</v>
          </cell>
          <cell r="Q303">
            <v>202500</v>
          </cell>
          <cell r="V303" t="e">
            <v>#N/A</v>
          </cell>
          <cell r="W303" t="e">
            <v>#N/A</v>
          </cell>
          <cell r="X303" t="e">
            <v>#N/A</v>
          </cell>
        </row>
        <row r="304">
          <cell r="C304" t="str">
            <v>5.1.02.01.01.0030</v>
          </cell>
          <cell r="D304" t="str">
            <v>06. 05. 09.</v>
          </cell>
          <cell r="E304">
            <v>45717</v>
          </cell>
          <cell r="F304" t="str">
            <v>03/03/2025</v>
          </cell>
          <cell r="G304">
            <v>99</v>
          </cell>
          <cell r="H304" t="str">
            <v>03/03/2025</v>
          </cell>
          <cell r="J304" t="str">
            <v>23/04/2025</v>
          </cell>
          <cell r="K304" t="e">
            <v>#N/A</v>
          </cell>
          <cell r="L304" t="str">
            <v>Cairan Pembersih Kaca</v>
          </cell>
          <cell r="N304">
            <v>5</v>
          </cell>
          <cell r="O304" t="str">
            <v>buah</v>
          </cell>
          <cell r="P304">
            <v>12000</v>
          </cell>
          <cell r="Q304">
            <v>60000</v>
          </cell>
          <cell r="V304" t="e">
            <v>#N/A</v>
          </cell>
          <cell r="W304" t="e">
            <v>#N/A</v>
          </cell>
          <cell r="X304" t="e">
            <v>#N/A</v>
          </cell>
        </row>
        <row r="305">
          <cell r="C305" t="str">
            <v>5.1.02.01.01.0030</v>
          </cell>
          <cell r="D305" t="str">
            <v>06. 05. 09.</v>
          </cell>
          <cell r="E305">
            <v>45717</v>
          </cell>
          <cell r="F305" t="str">
            <v>03/03/2025</v>
          </cell>
          <cell r="G305">
            <v>99</v>
          </cell>
          <cell r="H305" t="str">
            <v>03/03/2025</v>
          </cell>
          <cell r="J305" t="str">
            <v>23/04/2025</v>
          </cell>
          <cell r="K305" t="e">
            <v>#N/A</v>
          </cell>
          <cell r="L305" t="str">
            <v>Perlengkapan Kebersihan Pembersih Pakaian Sunlight Refil 800ml</v>
          </cell>
          <cell r="N305">
            <v>3</v>
          </cell>
          <cell r="O305" t="str">
            <v>buah</v>
          </cell>
          <cell r="P305">
            <v>15000</v>
          </cell>
          <cell r="Q305">
            <v>45000</v>
          </cell>
          <cell r="V305" t="e">
            <v>#N/A</v>
          </cell>
          <cell r="W305" t="e">
            <v>#N/A</v>
          </cell>
          <cell r="X305" t="e">
            <v>#N/A</v>
          </cell>
        </row>
        <row r="306">
          <cell r="C306" t="str">
            <v>5.1.02.01.01.0030</v>
          </cell>
          <cell r="D306" t="str">
            <v>06. 05. 09.</v>
          </cell>
          <cell r="E306">
            <v>45717</v>
          </cell>
          <cell r="F306" t="str">
            <v>03/03/2025</v>
          </cell>
          <cell r="G306">
            <v>99</v>
          </cell>
          <cell r="H306" t="str">
            <v>03/03/2025</v>
          </cell>
          <cell r="J306" t="str">
            <v>23/04/2025</v>
          </cell>
          <cell r="K306" t="e">
            <v>#N/A</v>
          </cell>
          <cell r="L306" t="str">
            <v>Spon Cuci</v>
          </cell>
          <cell r="N306">
            <v>5</v>
          </cell>
          <cell r="O306" t="str">
            <v>buah</v>
          </cell>
          <cell r="P306">
            <v>12000</v>
          </cell>
          <cell r="Q306">
            <v>60000</v>
          </cell>
          <cell r="V306" t="e">
            <v>#N/A</v>
          </cell>
          <cell r="W306" t="e">
            <v>#N/A</v>
          </cell>
          <cell r="X306" t="e">
            <v>#N/A</v>
          </cell>
        </row>
        <row r="307">
          <cell r="C307" t="str">
            <v>5.1.02.01.01.0030</v>
          </cell>
          <cell r="D307" t="str">
            <v>06. 05. 09.</v>
          </cell>
          <cell r="E307">
            <v>45717</v>
          </cell>
          <cell r="F307" t="str">
            <v>03/03/2025</v>
          </cell>
          <cell r="G307">
            <v>99</v>
          </cell>
          <cell r="H307" t="str">
            <v>03/03/2025</v>
          </cell>
          <cell r="J307" t="str">
            <v>23/04/2025</v>
          </cell>
          <cell r="K307" t="e">
            <v>#N/A</v>
          </cell>
          <cell r="L307" t="str">
            <v>Handsoap/Pencuci Tangan</v>
          </cell>
          <cell r="N307">
            <v>5</v>
          </cell>
          <cell r="O307" t="str">
            <v>botol</v>
          </cell>
          <cell r="P307">
            <v>67000</v>
          </cell>
          <cell r="Q307">
            <v>335000</v>
          </cell>
          <cell r="V307" t="e">
            <v>#N/A</v>
          </cell>
          <cell r="W307" t="e">
            <v>#N/A</v>
          </cell>
          <cell r="X307" t="e">
            <v>#N/A</v>
          </cell>
        </row>
        <row r="308">
          <cell r="C308" t="str">
            <v>5.1.02.01.01.0030</v>
          </cell>
          <cell r="D308" t="str">
            <v>06. 05. 09.</v>
          </cell>
          <cell r="E308">
            <v>45717</v>
          </cell>
          <cell r="F308" t="str">
            <v>03/03/2025</v>
          </cell>
          <cell r="G308">
            <v>99</v>
          </cell>
          <cell r="H308" t="str">
            <v>03/03/2025</v>
          </cell>
          <cell r="J308" t="str">
            <v>23/04/2025</v>
          </cell>
          <cell r="K308" t="e">
            <v>#N/A</v>
          </cell>
          <cell r="L308" t="str">
            <v>Pengharum Ruangan</v>
          </cell>
          <cell r="N308">
            <v>10</v>
          </cell>
          <cell r="O308" t="str">
            <v>buah</v>
          </cell>
          <cell r="P308">
            <v>12100</v>
          </cell>
          <cell r="Q308">
            <v>121000</v>
          </cell>
          <cell r="V308" t="e">
            <v>#N/A</v>
          </cell>
          <cell r="W308" t="e">
            <v>#N/A</v>
          </cell>
          <cell r="X308" t="e">
            <v>#N/A</v>
          </cell>
        </row>
        <row r="309">
          <cell r="C309" t="str">
            <v>5.1.02.01.01.0030</v>
          </cell>
          <cell r="D309" t="str">
            <v>06. 05. 09.</v>
          </cell>
          <cell r="E309">
            <v>45717</v>
          </cell>
          <cell r="F309" t="str">
            <v>03/03/2025</v>
          </cell>
          <cell r="G309">
            <v>99</v>
          </cell>
          <cell r="H309" t="str">
            <v>03/03/2025</v>
          </cell>
          <cell r="J309" t="str">
            <v>23/04/2025</v>
          </cell>
          <cell r="K309" t="e">
            <v>#N/A</v>
          </cell>
          <cell r="L309" t="str">
            <v>Hand Sanitizer-Unit</v>
          </cell>
          <cell r="N309">
            <v>5</v>
          </cell>
          <cell r="O309" t="str">
            <v>unit</v>
          </cell>
          <cell r="P309">
            <v>70000</v>
          </cell>
          <cell r="Q309">
            <v>350000</v>
          </cell>
          <cell r="V309" t="e">
            <v>#N/A</v>
          </cell>
          <cell r="W309" t="e">
            <v>#N/A</v>
          </cell>
          <cell r="X309" t="e">
            <v>#N/A</v>
          </cell>
        </row>
        <row r="310">
          <cell r="C310" t="str">
            <v>5.1.02.02.01.0061</v>
          </cell>
          <cell r="D310" t="str">
            <v>06. 07. 01.</v>
          </cell>
          <cell r="E310">
            <v>45734</v>
          </cell>
          <cell r="F310" t="str">
            <v>20/03/2025</v>
          </cell>
          <cell r="G310">
            <v>112</v>
          </cell>
          <cell r="H310" t="str">
            <v>20/03/2025</v>
          </cell>
          <cell r="J310" t="str">
            <v>20/03/2025</v>
          </cell>
          <cell r="K310" t="str">
            <v>BPU50</v>
          </cell>
          <cell r="L310" t="str">
            <v>Biaya Rekening Listrik--</v>
          </cell>
          <cell r="M310" t="str">
            <v>Langganan jasa Listrik</v>
          </cell>
          <cell r="N310">
            <v>1</v>
          </cell>
          <cell r="O310" t="str">
            <v>bulan</v>
          </cell>
          <cell r="P310">
            <v>2000000</v>
          </cell>
          <cell r="Q310">
            <v>2000000</v>
          </cell>
          <cell r="V310" t="e">
            <v>#N/A</v>
          </cell>
          <cell r="W310" t="e">
            <v>#N/A</v>
          </cell>
          <cell r="X310" t="e">
            <v>#N/A</v>
          </cell>
        </row>
        <row r="311">
          <cell r="C311" t="str">
            <v>5.1.02.02.01.0063</v>
          </cell>
          <cell r="D311" t="str">
            <v>06. 07. 05.</v>
          </cell>
          <cell r="E311">
            <v>45734</v>
          </cell>
          <cell r="F311" t="str">
            <v>20/03/2025</v>
          </cell>
          <cell r="G311">
            <v>113</v>
          </cell>
          <cell r="H311" t="str">
            <v>20/03/2025</v>
          </cell>
          <cell r="J311" t="str">
            <v>20/03/2025</v>
          </cell>
          <cell r="K311" t="str">
            <v>BPU51</v>
          </cell>
          <cell r="L311" t="str">
            <v>Biaya Langganan Internet--</v>
          </cell>
          <cell r="M311" t="str">
            <v>Langganan jasa Indihome</v>
          </cell>
          <cell r="N311">
            <v>1</v>
          </cell>
          <cell r="O311" t="str">
            <v>bulan</v>
          </cell>
          <cell r="P311">
            <v>1500000</v>
          </cell>
          <cell r="Q311">
            <v>1500000</v>
          </cell>
          <cell r="V311" t="e">
            <v>#N/A</v>
          </cell>
          <cell r="W311" t="e">
            <v>#N/A</v>
          </cell>
          <cell r="X311" t="e">
            <v>#N/A</v>
          </cell>
        </row>
        <row r="312">
          <cell r="C312" t="str">
            <v>5.1.02.02.01.0013</v>
          </cell>
          <cell r="D312" t="str">
            <v>07. 12. 01.</v>
          </cell>
          <cell r="E312">
            <v>45735</v>
          </cell>
          <cell r="F312" t="str">
            <v>21/03/2025</v>
          </cell>
          <cell r="G312">
            <v>115</v>
          </cell>
          <cell r="H312" t="str">
            <v>21/03/2025</v>
          </cell>
          <cell r="J312" t="str">
            <v>21/03/2025</v>
          </cell>
          <cell r="K312" t="str">
            <v>BNU38</v>
          </cell>
          <cell r="L312" t="str">
            <v>Selatieli Nehe</v>
          </cell>
          <cell r="M312" t="str">
            <v>Gaji Guru Tidak Tetap Sekolah</v>
          </cell>
          <cell r="N312">
            <v>41</v>
          </cell>
          <cell r="O312" t="str">
            <v>jpl</v>
          </cell>
          <cell r="P312">
            <v>60000</v>
          </cell>
          <cell r="Q312">
            <v>2460000</v>
          </cell>
          <cell r="V312" t="e">
            <v>#N/A</v>
          </cell>
          <cell r="W312" t="e">
            <v>#N/A</v>
          </cell>
          <cell r="X312" t="e">
            <v>#N/A</v>
          </cell>
        </row>
        <row r="313">
          <cell r="C313" t="str">
            <v>5.1.02.02.01.0013</v>
          </cell>
          <cell r="D313" t="str">
            <v>07. 12. 01.</v>
          </cell>
          <cell r="E313">
            <v>45735</v>
          </cell>
          <cell r="F313" t="str">
            <v>21/03/2025</v>
          </cell>
          <cell r="G313">
            <v>116</v>
          </cell>
          <cell r="H313" t="str">
            <v>21/03/2025</v>
          </cell>
          <cell r="J313" t="str">
            <v>21/03/2025</v>
          </cell>
          <cell r="K313" t="str">
            <v>BNU39</v>
          </cell>
          <cell r="L313" t="str">
            <v>Arifin Metodi Bate'e</v>
          </cell>
          <cell r="M313" t="str">
            <v>Gaji Guru Tidak Tetap Sekolah</v>
          </cell>
          <cell r="N313">
            <v>34</v>
          </cell>
          <cell r="O313" t="str">
            <v>jpl</v>
          </cell>
          <cell r="P313">
            <v>60000</v>
          </cell>
          <cell r="Q313">
            <v>2040000</v>
          </cell>
          <cell r="V313" t="e">
            <v>#N/A</v>
          </cell>
          <cell r="W313" t="e">
            <v>#N/A</v>
          </cell>
          <cell r="X313" t="e">
            <v>#N/A</v>
          </cell>
        </row>
        <row r="314">
          <cell r="C314" t="str">
            <v>5.1.02.02.01.0013</v>
          </cell>
          <cell r="D314" t="str">
            <v>07. 12. 01.</v>
          </cell>
          <cell r="E314">
            <v>45735</v>
          </cell>
          <cell r="F314" t="str">
            <v>21/03/2025</v>
          </cell>
          <cell r="G314">
            <v>117</v>
          </cell>
          <cell r="H314" t="str">
            <v>21/03/2025</v>
          </cell>
          <cell r="J314" t="str">
            <v>21/03/2025</v>
          </cell>
          <cell r="K314" t="str">
            <v>BNU40</v>
          </cell>
          <cell r="L314" t="str">
            <v>Ferdiwati Wau</v>
          </cell>
          <cell r="M314" t="str">
            <v>Gaji Guru Tidak Tetap Sekolah</v>
          </cell>
          <cell r="N314">
            <v>34</v>
          </cell>
          <cell r="O314" t="str">
            <v>jpl</v>
          </cell>
          <cell r="P314">
            <v>60000</v>
          </cell>
          <cell r="Q314">
            <v>2040000</v>
          </cell>
          <cell r="V314" t="e">
            <v>#N/A</v>
          </cell>
          <cell r="W314" t="e">
            <v>#N/A</v>
          </cell>
          <cell r="X314" t="e">
            <v>#N/A</v>
          </cell>
        </row>
        <row r="315">
          <cell r="C315" t="str">
            <v>5.1.02.02.01.0013</v>
          </cell>
          <cell r="D315" t="str">
            <v>07. 12. 01.</v>
          </cell>
          <cell r="E315">
            <v>45735</v>
          </cell>
          <cell r="F315" t="str">
            <v>21/03/2025</v>
          </cell>
          <cell r="G315">
            <v>118</v>
          </cell>
          <cell r="H315" t="str">
            <v>21/03/2025</v>
          </cell>
          <cell r="J315" t="str">
            <v>21/03/2025</v>
          </cell>
          <cell r="K315" t="str">
            <v>BNU41</v>
          </cell>
          <cell r="L315" t="str">
            <v>Noni Alfanita Sarumaha, S.Pd</v>
          </cell>
          <cell r="M315" t="str">
            <v>Gaji Guru Tidak Tetap Sekolah</v>
          </cell>
          <cell r="N315">
            <v>37</v>
          </cell>
          <cell r="O315" t="str">
            <v>jpl</v>
          </cell>
          <cell r="P315">
            <v>60000</v>
          </cell>
          <cell r="Q315">
            <v>2220000</v>
          </cell>
          <cell r="V315" t="e">
            <v>#N/A</v>
          </cell>
          <cell r="W315" t="e">
            <v>#N/A</v>
          </cell>
          <cell r="X315" t="e">
            <v>#N/A</v>
          </cell>
        </row>
        <row r="316">
          <cell r="C316" t="str">
            <v>5.1.02.02.01.0013</v>
          </cell>
          <cell r="D316" t="str">
            <v>07. 12. 01.</v>
          </cell>
          <cell r="E316">
            <v>45735</v>
          </cell>
          <cell r="F316" t="str">
            <v>21/03/2025</v>
          </cell>
          <cell r="G316">
            <v>119</v>
          </cell>
          <cell r="H316" t="str">
            <v>21/03/2025</v>
          </cell>
          <cell r="J316" t="str">
            <v>21/03/2025</v>
          </cell>
          <cell r="K316" t="str">
            <v>BNU42</v>
          </cell>
          <cell r="L316" t="str">
            <v>EMILA HAFO</v>
          </cell>
          <cell r="M316" t="str">
            <v>Gaji Guru Tidak Tetap Sekolah</v>
          </cell>
          <cell r="N316">
            <v>35</v>
          </cell>
          <cell r="O316" t="str">
            <v>jpl</v>
          </cell>
          <cell r="P316">
            <v>60000</v>
          </cell>
          <cell r="Q316">
            <v>2100000</v>
          </cell>
          <cell r="V316" t="e">
            <v>#N/A</v>
          </cell>
          <cell r="W316" t="e">
            <v>#N/A</v>
          </cell>
          <cell r="X316" t="e">
            <v>#N/A</v>
          </cell>
        </row>
        <row r="317">
          <cell r="C317" t="str">
            <v>5.1.02.02.01.0013</v>
          </cell>
          <cell r="D317" t="str">
            <v>07. 12. 01.</v>
          </cell>
          <cell r="E317">
            <v>45735</v>
          </cell>
          <cell r="F317" t="str">
            <v>21/03/2025</v>
          </cell>
          <cell r="G317">
            <v>120</v>
          </cell>
          <cell r="H317" t="str">
            <v>21/03/2025</v>
          </cell>
          <cell r="J317" t="str">
            <v>21/03/2025</v>
          </cell>
          <cell r="K317" t="str">
            <v>BNU43</v>
          </cell>
          <cell r="L317" t="str">
            <v>Asep Nurhidayat</v>
          </cell>
          <cell r="M317" t="str">
            <v>Gaji Guru Tidak Tetap Sekolah</v>
          </cell>
          <cell r="N317">
            <v>21</v>
          </cell>
          <cell r="O317" t="str">
            <v>jpl</v>
          </cell>
          <cell r="P317">
            <v>60000</v>
          </cell>
          <cell r="Q317">
            <v>1260000</v>
          </cell>
          <cell r="V317" t="e">
            <v>#N/A</v>
          </cell>
          <cell r="W317" t="e">
            <v>#N/A</v>
          </cell>
          <cell r="X317" t="e">
            <v>#N/A</v>
          </cell>
        </row>
        <row r="318">
          <cell r="C318" t="str">
            <v>5.1.02.02.01.0013</v>
          </cell>
          <cell r="D318" t="str">
            <v>07. 12. 01.</v>
          </cell>
          <cell r="E318">
            <v>45735</v>
          </cell>
          <cell r="F318" t="str">
            <v>21/03/2025</v>
          </cell>
          <cell r="G318">
            <v>121</v>
          </cell>
          <cell r="H318" t="str">
            <v>21/03/2025</v>
          </cell>
          <cell r="J318" t="str">
            <v>21/03/2025</v>
          </cell>
          <cell r="K318" t="str">
            <v>BNU44</v>
          </cell>
          <cell r="L318" t="str">
            <v>Amonius Dakhi</v>
          </cell>
          <cell r="M318" t="str">
            <v>Gaji Guru Tidak Tetap Sekolah</v>
          </cell>
          <cell r="N318">
            <v>24</v>
          </cell>
          <cell r="O318" t="str">
            <v>orang / jam pelajaran</v>
          </cell>
          <cell r="P318">
            <v>50000</v>
          </cell>
          <cell r="Q318">
            <v>1200000</v>
          </cell>
          <cell r="V318" t="e">
            <v>#N/A</v>
          </cell>
          <cell r="W318" t="e">
            <v>#N/A</v>
          </cell>
          <cell r="X318" t="e">
            <v>#N/A</v>
          </cell>
        </row>
        <row r="319">
          <cell r="C319" t="str">
            <v>5.1.02.02.01.0013</v>
          </cell>
          <cell r="D319" t="str">
            <v>07. 12. 01.</v>
          </cell>
          <cell r="E319">
            <v>45735</v>
          </cell>
          <cell r="F319" t="str">
            <v>21/03/2025</v>
          </cell>
          <cell r="G319">
            <v>122</v>
          </cell>
          <cell r="H319" t="str">
            <v>21/03/2025</v>
          </cell>
          <cell r="J319" t="str">
            <v>21/03/2025</v>
          </cell>
          <cell r="K319" t="str">
            <v>BNU45</v>
          </cell>
          <cell r="L319" t="str">
            <v>NELPI KARIANA WATI GOHAE</v>
          </cell>
          <cell r="M319" t="str">
            <v>Gaji Guru Tidak Tetap Sekolah</v>
          </cell>
          <cell r="N319">
            <v>24</v>
          </cell>
          <cell r="O319" t="str">
            <v>orang / jam pelajaran</v>
          </cell>
          <cell r="P319">
            <v>50000</v>
          </cell>
          <cell r="Q319">
            <v>1200000</v>
          </cell>
          <cell r="V319" t="e">
            <v>#N/A</v>
          </cell>
          <cell r="W319" t="e">
            <v>#N/A</v>
          </cell>
          <cell r="X319" t="e">
            <v>#N/A</v>
          </cell>
        </row>
        <row r="320">
          <cell r="C320" t="str">
            <v>5.1.02.02.01.0013</v>
          </cell>
          <cell r="D320" t="str">
            <v>07. 12. 01.</v>
          </cell>
          <cell r="E320">
            <v>45735</v>
          </cell>
          <cell r="F320" t="str">
            <v>21/03/2025</v>
          </cell>
          <cell r="G320">
            <v>123</v>
          </cell>
          <cell r="H320" t="str">
            <v>21/03/2025</v>
          </cell>
          <cell r="J320" t="str">
            <v>21/03/2025</v>
          </cell>
          <cell r="K320" t="str">
            <v>BNU46</v>
          </cell>
          <cell r="L320" t="str">
            <v>MERCY GRACE KARTIKA SARI ZAGOTO (1558776677230122)</v>
          </cell>
          <cell r="M320" t="str">
            <v>Gaji Guru Tidak Tetap Sekolah</v>
          </cell>
          <cell r="N320">
            <v>35</v>
          </cell>
          <cell r="O320" t="str">
            <v>orang / jam pelajaran</v>
          </cell>
          <cell r="P320">
            <v>50000</v>
          </cell>
          <cell r="Q320">
            <v>1750000</v>
          </cell>
          <cell r="V320" t="e">
            <v>#N/A</v>
          </cell>
          <cell r="W320" t="e">
            <v>#N/A</v>
          </cell>
          <cell r="X320" t="e">
            <v>#N/A</v>
          </cell>
        </row>
        <row r="321">
          <cell r="C321" t="str">
            <v>5.1.02.02.01.0026</v>
          </cell>
          <cell r="D321" t="str">
            <v>07. 12. 02.</v>
          </cell>
          <cell r="E321">
            <v>45735</v>
          </cell>
          <cell r="F321" t="str">
            <v>21/03/2025</v>
          </cell>
          <cell r="G321">
            <v>124</v>
          </cell>
          <cell r="H321" t="str">
            <v>21/03/2025</v>
          </cell>
          <cell r="J321" t="str">
            <v>21/03/2025</v>
          </cell>
          <cell r="K321" t="str">
            <v>BNU47</v>
          </cell>
          <cell r="L321" t="str">
            <v>Estera Nehe</v>
          </cell>
          <cell r="M321" t="str">
            <v>Gaji Pegawai Tidak Tetap Sekolah</v>
          </cell>
          <cell r="N321">
            <v>1</v>
          </cell>
          <cell r="O321" t="str">
            <v>bulan</v>
          </cell>
          <cell r="P321">
            <v>2000000</v>
          </cell>
          <cell r="Q321">
            <v>2000000</v>
          </cell>
          <cell r="V321" t="e">
            <v>#N/A</v>
          </cell>
          <cell r="W321" t="e">
            <v>#N/A</v>
          </cell>
          <cell r="X321" t="e">
            <v>#N/A</v>
          </cell>
        </row>
        <row r="322">
          <cell r="C322" t="str">
            <v>5.1.02.02.01.0026</v>
          </cell>
          <cell r="D322" t="str">
            <v>07. 12. 02.</v>
          </cell>
          <cell r="E322">
            <v>45735</v>
          </cell>
          <cell r="F322" t="str">
            <v>21/03/2025</v>
          </cell>
          <cell r="G322">
            <v>125</v>
          </cell>
          <cell r="H322" t="str">
            <v>21/03/2025</v>
          </cell>
          <cell r="J322" t="str">
            <v>21/03/2025</v>
          </cell>
          <cell r="K322" t="str">
            <v>BNU48</v>
          </cell>
          <cell r="L322" t="str">
            <v>Hatieli Buulolo</v>
          </cell>
          <cell r="M322" t="str">
            <v>Gaji Pegawai Tidak Tetap Sekolah</v>
          </cell>
          <cell r="N322">
            <v>1</v>
          </cell>
          <cell r="O322" t="str">
            <v>bulan</v>
          </cell>
          <cell r="P322">
            <v>2500000</v>
          </cell>
          <cell r="Q322">
            <v>2500000</v>
          </cell>
          <cell r="V322" t="e">
            <v>#N/A</v>
          </cell>
          <cell r="W322" t="e">
            <v>#N/A</v>
          </cell>
          <cell r="X322" t="e">
            <v>#N/A</v>
          </cell>
        </row>
        <row r="323">
          <cell r="C323" t="str">
            <v>5.1.02.02.01.0026</v>
          </cell>
          <cell r="D323" t="str">
            <v>07. 12. 02.</v>
          </cell>
          <cell r="E323">
            <v>45735</v>
          </cell>
          <cell r="F323" t="str">
            <v>21/03/2025</v>
          </cell>
          <cell r="G323">
            <v>126</v>
          </cell>
          <cell r="H323" t="str">
            <v>21/03/2025</v>
          </cell>
          <cell r="J323" t="str">
            <v>21/03/2025</v>
          </cell>
          <cell r="K323" t="str">
            <v>BNU49</v>
          </cell>
          <cell r="L323" t="str">
            <v>David J. Sitinjak</v>
          </cell>
          <cell r="M323" t="str">
            <v>Gaji Pegawai Tidak Tetap Sekolah</v>
          </cell>
          <cell r="N323">
            <v>1</v>
          </cell>
          <cell r="O323" t="str">
            <v>bulan</v>
          </cell>
          <cell r="P323">
            <v>2500000</v>
          </cell>
          <cell r="Q323">
            <v>2500000</v>
          </cell>
          <cell r="V323" t="e">
            <v>#N/A</v>
          </cell>
          <cell r="W323" t="e">
            <v>#N/A</v>
          </cell>
          <cell r="X323" t="e">
            <v>#N/A</v>
          </cell>
        </row>
        <row r="324">
          <cell r="C324" t="str">
            <v>5.1.02.02.01.0026</v>
          </cell>
          <cell r="D324" t="str">
            <v>07. 12. 02.</v>
          </cell>
          <cell r="E324">
            <v>45735</v>
          </cell>
          <cell r="F324" t="str">
            <v>21/03/2025</v>
          </cell>
          <cell r="G324">
            <v>127</v>
          </cell>
          <cell r="H324" t="str">
            <v>21/03/2025</v>
          </cell>
          <cell r="J324" t="str">
            <v>21/03/2025</v>
          </cell>
          <cell r="K324" t="str">
            <v>BNU50</v>
          </cell>
          <cell r="L324" t="str">
            <v>Siona Ziraluo</v>
          </cell>
          <cell r="M324" t="str">
            <v>Gaji Pegawai Tidak Tetap Sekolah</v>
          </cell>
          <cell r="N324">
            <v>1</v>
          </cell>
          <cell r="O324" t="str">
            <v>bulan</v>
          </cell>
          <cell r="P324">
            <v>2000000</v>
          </cell>
          <cell r="Q324">
            <v>2000000</v>
          </cell>
          <cell r="V324" t="e">
            <v>#N/A</v>
          </cell>
          <cell r="W324" t="e">
            <v>#N/A</v>
          </cell>
          <cell r="X324" t="e">
            <v>#N/A</v>
          </cell>
        </row>
        <row r="325">
          <cell r="C325" t="str">
            <v>5.1.02.02.01.0026</v>
          </cell>
          <cell r="D325" t="str">
            <v>07. 12. 02.</v>
          </cell>
          <cell r="E325">
            <v>45735</v>
          </cell>
          <cell r="F325" t="str">
            <v>21/03/2025</v>
          </cell>
          <cell r="G325">
            <v>128</v>
          </cell>
          <cell r="H325" t="str">
            <v>21/03/2025</v>
          </cell>
          <cell r="J325" t="str">
            <v>21/03/2025</v>
          </cell>
          <cell r="K325" t="str">
            <v>BNU51</v>
          </cell>
          <cell r="L325" t="str">
            <v>Merdina Ziraluo</v>
          </cell>
          <cell r="M325" t="str">
            <v>Gaji Pegawai Tidak Tetap Sekolah</v>
          </cell>
          <cell r="N325">
            <v>1</v>
          </cell>
          <cell r="O325" t="str">
            <v>bulan</v>
          </cell>
          <cell r="P325">
            <v>2500000</v>
          </cell>
          <cell r="Q325">
            <v>2500000</v>
          </cell>
          <cell r="V325" t="e">
            <v>#N/A</v>
          </cell>
          <cell r="W325" t="e">
            <v>#N/A</v>
          </cell>
          <cell r="X325" t="e">
            <v>#N/A</v>
          </cell>
        </row>
        <row r="326">
          <cell r="C326" t="str">
            <v>5.1.02.02.01.0026</v>
          </cell>
          <cell r="D326" t="str">
            <v>07. 12. 02.</v>
          </cell>
          <cell r="E326">
            <v>45735</v>
          </cell>
          <cell r="F326" t="str">
            <v>21/03/2025</v>
          </cell>
          <cell r="G326">
            <v>129</v>
          </cell>
          <cell r="H326" t="str">
            <v>21/03/2025</v>
          </cell>
          <cell r="J326" t="str">
            <v>21/03/2025</v>
          </cell>
          <cell r="K326" t="str">
            <v>BNU52</v>
          </cell>
          <cell r="L326" t="str">
            <v>Oksilia Buulolo, S.S</v>
          </cell>
          <cell r="M326" t="str">
            <v>Gaji Pegawai Tidak Tetap Sekolah</v>
          </cell>
          <cell r="N326">
            <v>1</v>
          </cell>
          <cell r="O326" t="str">
            <v>bulan/orang</v>
          </cell>
          <cell r="P326">
            <v>2000000</v>
          </cell>
          <cell r="Q326">
            <v>2000000</v>
          </cell>
          <cell r="V326" t="e">
            <v>#N/A</v>
          </cell>
          <cell r="W326" t="e">
            <v>#N/A</v>
          </cell>
          <cell r="X326" t="e">
            <v>#N/A</v>
          </cell>
        </row>
        <row r="327">
          <cell r="C327" t="str">
            <v>5.1.02.02.01.0026</v>
          </cell>
          <cell r="D327" t="str">
            <v>07. 12. 02.</v>
          </cell>
          <cell r="E327">
            <v>45735</v>
          </cell>
          <cell r="F327" t="str">
            <v>21/03/2025</v>
          </cell>
          <cell r="G327">
            <v>130</v>
          </cell>
          <cell r="H327" t="str">
            <v>21/03/2025</v>
          </cell>
          <cell r="J327" t="str">
            <v>21/03/2025</v>
          </cell>
          <cell r="K327" t="str">
            <v>BNU53</v>
          </cell>
          <cell r="L327" t="str">
            <v>Novika Efdimasari Halawa, S.S.I</v>
          </cell>
          <cell r="M327" t="str">
            <v>Gaji Pegawai Tidak Tetap Sekolah</v>
          </cell>
          <cell r="N327">
            <v>1</v>
          </cell>
          <cell r="O327" t="str">
            <v>bulan/orang</v>
          </cell>
          <cell r="P327">
            <v>2000000</v>
          </cell>
          <cell r="Q327">
            <v>2000000</v>
          </cell>
          <cell r="V327" t="e">
            <v>#N/A</v>
          </cell>
          <cell r="W327" t="e">
            <v>#N/A</v>
          </cell>
          <cell r="X327" t="e">
            <v>#N/A</v>
          </cell>
        </row>
        <row r="328">
          <cell r="C328" t="str">
            <v>5.1.02.02.01.0016</v>
          </cell>
          <cell r="D328" t="str">
            <v>07. 12. 04.</v>
          </cell>
          <cell r="E328">
            <v>45735</v>
          </cell>
          <cell r="F328" t="str">
            <v>21/03/2025</v>
          </cell>
          <cell r="G328">
            <v>131</v>
          </cell>
          <cell r="H328" t="str">
            <v>21/03/2025</v>
          </cell>
          <cell r="J328" t="str">
            <v>21/03/2025</v>
          </cell>
          <cell r="K328" t="str">
            <v>BNU54</v>
          </cell>
          <cell r="L328" t="str">
            <v>Zefrianus Zai</v>
          </cell>
          <cell r="M328" t="str">
            <v>Gaji Pegawai Tidak Tetap Sekolah</v>
          </cell>
          <cell r="N328">
            <v>1</v>
          </cell>
          <cell r="O328" t="str">
            <v>bulan/orang</v>
          </cell>
          <cell r="P328">
            <v>2000000</v>
          </cell>
          <cell r="Q328">
            <v>2000000</v>
          </cell>
          <cell r="V328" t="e">
            <v>#N/A</v>
          </cell>
          <cell r="W328" t="e">
            <v>#N/A</v>
          </cell>
          <cell r="X328" t="e">
            <v>#N/A</v>
          </cell>
        </row>
        <row r="329">
          <cell r="C329" t="str">
            <v>5.1.02.02.01.0030</v>
          </cell>
          <cell r="D329" t="str">
            <v>07. 12. 04.</v>
          </cell>
          <cell r="E329">
            <v>45735</v>
          </cell>
          <cell r="F329" t="str">
            <v>21/03/2025</v>
          </cell>
          <cell r="G329">
            <v>132</v>
          </cell>
          <cell r="H329" t="str">
            <v>21/03/2025</v>
          </cell>
          <cell r="J329" t="str">
            <v>21/03/2025</v>
          </cell>
          <cell r="K329" t="str">
            <v>BPU52</v>
          </cell>
          <cell r="L329" t="str">
            <v>Thomas Hondro</v>
          </cell>
          <cell r="M329" t="str">
            <v>Gaji Pegawai Tidak Tetap Sekolah</v>
          </cell>
          <cell r="N329">
            <v>1</v>
          </cell>
          <cell r="O329" t="str">
            <v>bulan</v>
          </cell>
          <cell r="P329">
            <v>1000000</v>
          </cell>
          <cell r="Q329">
            <v>1000000</v>
          </cell>
          <cell r="V329" t="e">
            <v>#N/A</v>
          </cell>
          <cell r="W329" t="e">
            <v>#N/A</v>
          </cell>
          <cell r="X329" t="e">
            <v>#N/A</v>
          </cell>
        </row>
        <row r="330">
          <cell r="V330" t="e">
            <v>#N/A</v>
          </cell>
          <cell r="W330" t="e">
            <v>#N/A</v>
          </cell>
          <cell r="X330" t="e">
            <v>#N/A</v>
          </cell>
        </row>
        <row r="331">
          <cell r="C331" t="str">
            <v>5.1.02.01.01.0052</v>
          </cell>
          <cell r="D331" t="str">
            <v>03. 03. 14.</v>
          </cell>
          <cell r="G331">
            <v>325</v>
          </cell>
          <cell r="L331" t="str">
            <v>Kudapan pada Kegiatan rubrik/Ibadah Bulanan</v>
          </cell>
          <cell r="M331" t="str">
            <v>Kue Besar</v>
          </cell>
          <cell r="N331">
            <v>100</v>
          </cell>
          <cell r="O331" t="str">
            <v>kotak</v>
          </cell>
          <cell r="P331">
            <v>15000</v>
          </cell>
          <cell r="Q331">
            <v>1500000</v>
          </cell>
          <cell r="T331" t="str">
            <v>Rumah Roti Helena</v>
          </cell>
          <cell r="V331" t="str">
            <v>Fudi Supiyanto</v>
          </cell>
          <cell r="W331" t="str">
            <v>082164895397</v>
          </cell>
          <cell r="X331" t="str">
            <v>Jln Ahmad Yani No.89 Kel. Pasar Telukdalam, Nias Selatan</v>
          </cell>
        </row>
        <row r="332">
          <cell r="C332" t="str">
            <v>5.1.02.01.01.0026</v>
          </cell>
          <cell r="D332" t="str">
            <v>03. 03. 21.</v>
          </cell>
          <cell r="G332">
            <v>326</v>
          </cell>
          <cell r="L332" t="str">
            <v>Spanduk Uk. 1 x 6 meter-</v>
          </cell>
          <cell r="M332" t="str">
            <v>Spanduk Uk. 1 x 6 meter-</v>
          </cell>
          <cell r="N332">
            <v>2</v>
          </cell>
          <cell r="O332" t="str">
            <v>buah</v>
          </cell>
          <cell r="P332">
            <v>300000</v>
          </cell>
          <cell r="Q332">
            <v>600000</v>
          </cell>
          <cell r="T332" t="str">
            <v>UD. BALIZATO</v>
          </cell>
          <cell r="V332" t="str">
            <v>Pieter B.P. Loi</v>
          </cell>
          <cell r="W332" t="str">
            <v>082166506229</v>
          </cell>
          <cell r="X332" t="str">
            <v>Jl. Diponegoro Kel. Pasar Telukdalam - Nias Selatan</v>
          </cell>
        </row>
        <row r="333">
          <cell r="C333" t="str">
            <v>5.1.02.01.01.0055</v>
          </cell>
          <cell r="D333" t="str">
            <v>03. 04. 01.</v>
          </cell>
          <cell r="G333">
            <v>327</v>
          </cell>
          <cell r="L333" t="str">
            <v>Satuan Biaya Konsumsi Makanan dan Minuman Fasilitas Pelayanan Urusan Pendidikan Biasa, Makan - Provinsi Sumatera Utara--</v>
          </cell>
          <cell r="M333" t="str">
            <v>Nasi Kotak</v>
          </cell>
          <cell r="N333">
            <v>30</v>
          </cell>
          <cell r="O333" t="str">
            <v>kotak</v>
          </cell>
          <cell r="P333">
            <v>40000</v>
          </cell>
          <cell r="Q333">
            <v>1200000</v>
          </cell>
          <cell r="T333" t="str">
            <v>Resto JFC Esther</v>
          </cell>
          <cell r="V333" t="str">
            <v>Limaati Daeli</v>
          </cell>
          <cell r="W333" t="str">
            <v>085297578868</v>
          </cell>
          <cell r="X333" t="str">
            <v>Jl. Saonigeho Km. 2 Telukdalam - Nias Selatan</v>
          </cell>
        </row>
        <row r="334">
          <cell r="C334" t="str">
            <v>5.1.02.01.01.0052</v>
          </cell>
          <cell r="D334" t="str">
            <v>04. 06. 14.</v>
          </cell>
          <cell r="G334">
            <v>328</v>
          </cell>
          <cell r="L334" t="str">
            <v>Kudapan pada Kegiatan Workshop Peningkatan Kompetensi Guru Menggunakan Metode/Strategi Pembelajaran</v>
          </cell>
          <cell r="M334" t="str">
            <v>Kue Besar</v>
          </cell>
          <cell r="N334">
            <v>60</v>
          </cell>
          <cell r="O334" t="str">
            <v>kotak</v>
          </cell>
          <cell r="P334">
            <v>15000</v>
          </cell>
          <cell r="Q334">
            <v>900000</v>
          </cell>
          <cell r="T334" t="str">
            <v>Resto JFC Esther</v>
          </cell>
          <cell r="V334" t="str">
            <v>Limaati Daeli</v>
          </cell>
          <cell r="W334" t="str">
            <v>085297578868</v>
          </cell>
          <cell r="X334" t="str">
            <v>Jl. Saonigeho Km. 2 Telukdalam - Nias Selatan</v>
          </cell>
        </row>
        <row r="335">
          <cell r="C335" t="str">
            <v>5.1.02.01.01.0052</v>
          </cell>
          <cell r="D335" t="str">
            <v>04. 06. 14.</v>
          </cell>
          <cell r="G335">
            <v>329</v>
          </cell>
          <cell r="L335" t="str">
            <v>Konsumsi pada Kegiatan Workshop Peningkatan Kompetensi Guru Menggunakan Metode/Strategi Pembelajaran</v>
          </cell>
          <cell r="M335" t="str">
            <v>Nasi Kotak</v>
          </cell>
          <cell r="N335">
            <v>60</v>
          </cell>
          <cell r="O335" t="str">
            <v>kotak</v>
          </cell>
          <cell r="P335">
            <v>40000</v>
          </cell>
          <cell r="Q335">
            <v>2400000</v>
          </cell>
          <cell r="T335" t="str">
            <v>Resto JFC Esther</v>
          </cell>
          <cell r="V335" t="str">
            <v>Limaati Daeli</v>
          </cell>
          <cell r="W335" t="str">
            <v>085297578868</v>
          </cell>
          <cell r="X335" t="str">
            <v>Jl. Saonigeho Km. 2 Telukdalam - Nias Selatan</v>
          </cell>
        </row>
        <row r="336">
          <cell r="C336" t="str">
            <v>5.1.02.01.01.0052</v>
          </cell>
          <cell r="D336" t="str">
            <v>04. 06. 27.</v>
          </cell>
          <cell r="G336">
            <v>330</v>
          </cell>
          <cell r="L336" t="str">
            <v>Kudapan pada Kegiatan Workshop Peningkatan Kompetensi Guru "Prinsip Pembelajaran dan Asesmen"</v>
          </cell>
          <cell r="M336" t="str">
            <v>Kue Besar</v>
          </cell>
          <cell r="N336">
            <v>60</v>
          </cell>
          <cell r="O336" t="str">
            <v>kotak</v>
          </cell>
          <cell r="P336">
            <v>15000</v>
          </cell>
          <cell r="Q336">
            <v>900000</v>
          </cell>
          <cell r="T336" t="str">
            <v>Rumah Roti Helena</v>
          </cell>
          <cell r="V336" t="str">
            <v>Fudi Supiyanto</v>
          </cell>
          <cell r="W336" t="str">
            <v>082164895397</v>
          </cell>
          <cell r="X336" t="str">
            <v>Jln Ahmad Yani No.89 Kel. Pasar Telukdalam, Nias Selatan</v>
          </cell>
        </row>
        <row r="337">
          <cell r="C337" t="str">
            <v>5.1.02.01.01.0052</v>
          </cell>
          <cell r="D337" t="str">
            <v>04. 06. 27.</v>
          </cell>
          <cell r="G337">
            <v>331</v>
          </cell>
          <cell r="L337" t="str">
            <v>Konsumsi pada Kegiatan Workshop Peningkatan Kompetensi Guru "Prinsip Pembelajaran dan Asesmen"</v>
          </cell>
          <cell r="M337" t="str">
            <v>Nasi Kotak</v>
          </cell>
          <cell r="N337">
            <v>60</v>
          </cell>
          <cell r="O337" t="str">
            <v>kotak</v>
          </cell>
          <cell r="P337">
            <v>40000</v>
          </cell>
          <cell r="Q337">
            <v>2400000</v>
          </cell>
          <cell r="T337" t="str">
            <v>Resto JFC Esther</v>
          </cell>
          <cell r="V337" t="str">
            <v>Limaati Daeli</v>
          </cell>
          <cell r="W337" t="str">
            <v>085297578868</v>
          </cell>
          <cell r="X337" t="str">
            <v>Jl. Saonigeho Km. 2 Telukdalam - Nias Selatan</v>
          </cell>
        </row>
        <row r="338">
          <cell r="C338" t="str">
            <v>5.1.02.01.01.0052</v>
          </cell>
          <cell r="D338" t="str">
            <v>05. 05. 02.</v>
          </cell>
          <cell r="G338">
            <v>332</v>
          </cell>
          <cell r="L338" t="str">
            <v>Air Mineral pada pelaksanaan kegiatan bulanan Gerakan Bersih Lingkungan Sekolah</v>
          </cell>
          <cell r="M338" t="str">
            <v>Aqua Cup</v>
          </cell>
          <cell r="N338">
            <v>25</v>
          </cell>
          <cell r="O338" t="str">
            <v>dus</v>
          </cell>
          <cell r="P338">
            <v>50000</v>
          </cell>
          <cell r="Q338">
            <v>1250000</v>
          </cell>
          <cell r="T338" t="str">
            <v>Rumah Roti Helena</v>
          </cell>
          <cell r="V338" t="str">
            <v>Fudi Supiyanto</v>
          </cell>
          <cell r="W338" t="str">
            <v>082164895397</v>
          </cell>
          <cell r="X338" t="str">
            <v>Jln Ahmad Yani No.89 Kel. Pasar Telukdalam, Nias Selatan</v>
          </cell>
        </row>
        <row r="339">
          <cell r="C339" t="str">
            <v>5.1.02.01.01.0012</v>
          </cell>
          <cell r="D339" t="str">
            <v>05. 08. 02.</v>
          </cell>
          <cell r="G339">
            <v>333</v>
          </cell>
          <cell r="L339" t="str">
            <v>Besi Anti Maling Lampu</v>
          </cell>
          <cell r="M339" t="str">
            <v>Besi</v>
          </cell>
          <cell r="N339">
            <v>20</v>
          </cell>
          <cell r="O339" t="str">
            <v>buah</v>
          </cell>
          <cell r="P339">
            <v>285000</v>
          </cell>
          <cell r="Q339">
            <v>5700000</v>
          </cell>
          <cell r="T339" t="str">
            <v>CV. GORIYAKU WIRATRADE</v>
          </cell>
          <cell r="V339" t="str">
            <v>Wirawan Bazikho</v>
          </cell>
          <cell r="W339" t="str">
            <v>082166714290</v>
          </cell>
          <cell r="X339" t="str">
            <v>Jl. Diponegoro No. 87, Kel Pasar Telukdalam - Nias Selatan</v>
          </cell>
        </row>
        <row r="340">
          <cell r="C340" t="str">
            <v>5.1.02.01.01.0012</v>
          </cell>
          <cell r="D340" t="str">
            <v>05. 08. 02.</v>
          </cell>
          <cell r="G340">
            <v>334</v>
          </cell>
          <cell r="L340" t="str">
            <v>Kalsiboard</v>
          </cell>
          <cell r="M340" t="str">
            <v>Kalsiboard</v>
          </cell>
          <cell r="N340">
            <v>10</v>
          </cell>
          <cell r="O340" t="str">
            <v>lembar</v>
          </cell>
          <cell r="P340">
            <v>350000</v>
          </cell>
          <cell r="Q340">
            <v>3500000</v>
          </cell>
          <cell r="T340" t="str">
            <v>CV. GORIYAKU WIRATRADE</v>
          </cell>
          <cell r="V340" t="str">
            <v>Wirawan Bazikho</v>
          </cell>
          <cell r="W340" t="str">
            <v>082166714290</v>
          </cell>
          <cell r="X340" t="str">
            <v>Jl. Diponegoro No. 87, Kel Pasar Telukdalam - Nias Selatan</v>
          </cell>
        </row>
        <row r="341">
          <cell r="C341" t="str">
            <v>5.1.02.01.01.0012</v>
          </cell>
          <cell r="D341" t="str">
            <v>05. 08. 02.</v>
          </cell>
          <cell r="G341">
            <v>335</v>
          </cell>
          <cell r="L341" t="str">
            <v>Besi Anti Maling Proyektor</v>
          </cell>
          <cell r="M341" t="str">
            <v>Besi</v>
          </cell>
          <cell r="N341">
            <v>3</v>
          </cell>
          <cell r="O341" t="str">
            <v>buah</v>
          </cell>
          <cell r="P341">
            <v>750000</v>
          </cell>
          <cell r="Q341">
            <v>2250000</v>
          </cell>
          <cell r="T341" t="str">
            <v>CV. GORIYAKU WIRATRADE</v>
          </cell>
          <cell r="V341" t="str">
            <v>Wirawan Bazikho</v>
          </cell>
          <cell r="W341" t="str">
            <v>082166714290</v>
          </cell>
          <cell r="X341" t="str">
            <v>Jl. Diponegoro No. 87, Kel Pasar Telukdalam - Nias Selatan</v>
          </cell>
        </row>
        <row r="342">
          <cell r="C342" t="str">
            <v>5.1.02.01.01.0012</v>
          </cell>
          <cell r="D342" t="str">
            <v>05. 08. 02.</v>
          </cell>
          <cell r="G342">
            <v>336</v>
          </cell>
          <cell r="L342" t="str">
            <v>Jasa Perbaikan dinding kelas</v>
          </cell>
          <cell r="M342" t="str">
            <v>Bayar Jasa Perbaikan</v>
          </cell>
          <cell r="N342">
            <v>1</v>
          </cell>
          <cell r="O342" t="str">
            <v>kegiatan</v>
          </cell>
          <cell r="P342">
            <v>1800000</v>
          </cell>
          <cell r="Q342">
            <v>1800000</v>
          </cell>
          <cell r="V342" t="e">
            <v>#N/A</v>
          </cell>
          <cell r="W342" t="e">
            <v>#N/A</v>
          </cell>
          <cell r="X342" t="e">
            <v>#N/A</v>
          </cell>
        </row>
        <row r="343">
          <cell r="C343" t="str">
            <v>5.1.02.01.01.0012</v>
          </cell>
          <cell r="D343" t="str">
            <v>05. 08. 02.</v>
          </cell>
          <cell r="G343">
            <v>337</v>
          </cell>
          <cell r="L343" t="str">
            <v>Jasa Pemasangan Anti maling</v>
          </cell>
          <cell r="M343" t="str">
            <v>Bayar Jasa Perbaikan</v>
          </cell>
          <cell r="N343">
            <v>1</v>
          </cell>
          <cell r="O343" t="str">
            <v>kegiatan</v>
          </cell>
          <cell r="P343">
            <v>2000000</v>
          </cell>
          <cell r="Q343">
            <v>2000000</v>
          </cell>
          <cell r="V343" t="e">
            <v>#N/A</v>
          </cell>
          <cell r="W343" t="e">
            <v>#N/A</v>
          </cell>
          <cell r="X343" t="e">
            <v>#N/A</v>
          </cell>
        </row>
        <row r="344">
          <cell r="C344" t="str">
            <v>5.1.02.01.01.0031</v>
          </cell>
          <cell r="D344" t="str">
            <v>05. 08. 10.</v>
          </cell>
          <cell r="G344">
            <v>338</v>
          </cell>
          <cell r="L344" t="str">
            <v>bola lampu hannock-45 watt</v>
          </cell>
          <cell r="M344" t="str">
            <v>bola lampu hannock-45 watt</v>
          </cell>
          <cell r="N344">
            <v>23</v>
          </cell>
          <cell r="O344" t="str">
            <v>buah</v>
          </cell>
          <cell r="P344">
            <v>77800</v>
          </cell>
          <cell r="Q344">
            <v>1789400</v>
          </cell>
          <cell r="T344" t="str">
            <v>CV. GORIYAKU WIRATRADE</v>
          </cell>
          <cell r="V344" t="str">
            <v>Wirawan Bazikho</v>
          </cell>
          <cell r="W344" t="str">
            <v>082166714290</v>
          </cell>
          <cell r="X344" t="str">
            <v>Jl. Diponegoro No. 87, Kel Pasar Telukdalam - Nias Selatan</v>
          </cell>
        </row>
        <row r="345">
          <cell r="C345" t="str">
            <v>5.1.02.01.01.0052</v>
          </cell>
          <cell r="D345" t="str">
            <v>06. 05. 02.</v>
          </cell>
          <cell r="G345">
            <v>339</v>
          </cell>
          <cell r="L345" t="str">
            <v>Kudapan Rapat Rutin Bulanan</v>
          </cell>
          <cell r="M345" t="str">
            <v>Kue Besar</v>
          </cell>
          <cell r="N345">
            <v>60</v>
          </cell>
          <cell r="O345" t="str">
            <v>buah</v>
          </cell>
          <cell r="P345">
            <v>15000</v>
          </cell>
          <cell r="Q345">
            <v>900000</v>
          </cell>
          <cell r="T345" t="str">
            <v>Rumah Roti Helena</v>
          </cell>
          <cell r="V345" t="str">
            <v>Fudi Supiyanto</v>
          </cell>
          <cell r="W345" t="str">
            <v>082164895397</v>
          </cell>
          <cell r="X345" t="str">
            <v>Jln Ahmad Yani No.89 Kel. Pasar Telukdalam, Nias Selatan</v>
          </cell>
        </row>
        <row r="346">
          <cell r="C346" t="str">
            <v>5.1.02.01.01.0024</v>
          </cell>
          <cell r="D346" t="str">
            <v>06. 05. 08.</v>
          </cell>
          <cell r="G346">
            <v>340</v>
          </cell>
          <cell r="L346" t="str">
            <v>Plastik Mika</v>
          </cell>
          <cell r="M346" t="str">
            <v>Plastik Mika</v>
          </cell>
          <cell r="N346">
            <v>5</v>
          </cell>
          <cell r="O346" t="str">
            <v>bungkus</v>
          </cell>
          <cell r="P346">
            <v>60000</v>
          </cell>
          <cell r="Q346">
            <v>300000</v>
          </cell>
          <cell r="T346" t="str">
            <v>UD. JOSUA</v>
          </cell>
          <cell r="V346" t="str">
            <v>Gestiwan Bazikho</v>
          </cell>
          <cell r="W346" t="str">
            <v>081375309828</v>
          </cell>
          <cell r="X346" t="str">
            <v>Jl. Diponegoro Kel. Pasar Telukdalam - Nias Selatan</v>
          </cell>
        </row>
        <row r="347">
          <cell r="C347" t="str">
            <v>5.1.02.01.01.0024</v>
          </cell>
          <cell r="D347" t="str">
            <v>06. 05. 08.</v>
          </cell>
          <cell r="G347">
            <v>341</v>
          </cell>
          <cell r="L347" t="str">
            <v>Kertas Warna Blank Folio, Ukuran : 8,5 x 14",  70 gram</v>
          </cell>
          <cell r="M347" t="str">
            <v>Kertas Warna Blank Folio, Ukuran : 8,5 x 14",  70 gram</v>
          </cell>
          <cell r="N347">
            <v>2</v>
          </cell>
          <cell r="O347" t="str">
            <v>rim</v>
          </cell>
          <cell r="P347">
            <v>90000</v>
          </cell>
          <cell r="Q347">
            <v>180000</v>
          </cell>
          <cell r="T347" t="str">
            <v>UD. JOSUA</v>
          </cell>
          <cell r="V347" t="str">
            <v>Gestiwan Bazikho</v>
          </cell>
          <cell r="W347" t="str">
            <v>081375309828</v>
          </cell>
          <cell r="X347" t="str">
            <v>Jl. Diponegoro Kel. Pasar Telukdalam - Nias Selatan</v>
          </cell>
        </row>
        <row r="348">
          <cell r="C348" t="str">
            <v>5.1.02.01.01.0024</v>
          </cell>
          <cell r="D348" t="str">
            <v>06. 05. 08.</v>
          </cell>
          <cell r="G348">
            <v>342</v>
          </cell>
          <cell r="L348" t="str">
            <v>Kertas Lain-Lain Kertas Buffalo</v>
          </cell>
          <cell r="M348" t="str">
            <v>Kertas Lain-Lain Kertas Buffalo</v>
          </cell>
          <cell r="N348">
            <v>5</v>
          </cell>
          <cell r="O348" t="str">
            <v>bungkus</v>
          </cell>
          <cell r="P348">
            <v>31000</v>
          </cell>
          <cell r="Q348">
            <v>155000</v>
          </cell>
          <cell r="T348" t="str">
            <v>UD. JOSUA</v>
          </cell>
          <cell r="V348" t="str">
            <v>Gestiwan Bazikho</v>
          </cell>
          <cell r="W348" t="str">
            <v>081375309828</v>
          </cell>
          <cell r="X348" t="str">
            <v>Jl. Diponegoro Kel. Pasar Telukdalam - Nias Selatan</v>
          </cell>
        </row>
        <row r="349">
          <cell r="C349" t="str">
            <v>5.1.02.01.01.0024</v>
          </cell>
          <cell r="D349" t="str">
            <v>06. 05. 08.</v>
          </cell>
          <cell r="G349">
            <v>343</v>
          </cell>
          <cell r="L349" t="str">
            <v>Kertas Post-It Warna Warni  Sign Here</v>
          </cell>
          <cell r="M349" t="str">
            <v>Kertas Post-It Warna Warni  Sign Here</v>
          </cell>
          <cell r="N349">
            <v>5</v>
          </cell>
          <cell r="O349" t="str">
            <v>buah</v>
          </cell>
          <cell r="P349">
            <v>22800</v>
          </cell>
          <cell r="Q349">
            <v>114000</v>
          </cell>
          <cell r="T349" t="str">
            <v>UD. JOSUA</v>
          </cell>
          <cell r="V349" t="str">
            <v>Gestiwan Bazikho</v>
          </cell>
          <cell r="W349" t="str">
            <v>081375309828</v>
          </cell>
          <cell r="X349" t="str">
            <v>Jl. Diponegoro Kel. Pasar Telukdalam - Nias Selatan</v>
          </cell>
        </row>
        <row r="350">
          <cell r="C350" t="str">
            <v>5.1.02.01.01.0024</v>
          </cell>
          <cell r="D350" t="str">
            <v>06. 05. 08.</v>
          </cell>
          <cell r="G350">
            <v>344</v>
          </cell>
          <cell r="L350" t="str">
            <v>Kertas HVS 60 gram Merk : Paper One HVS F4 uk. 8.27"x11.69"</v>
          </cell>
          <cell r="M350" t="str">
            <v>Kertas HVS 60 gram Merk : Paper One HVS F4 uk. 8.27"x11.69"</v>
          </cell>
          <cell r="N350">
            <v>10</v>
          </cell>
          <cell r="O350" t="str">
            <v>rim</v>
          </cell>
          <cell r="P350">
            <v>48500</v>
          </cell>
          <cell r="Q350">
            <v>485000</v>
          </cell>
          <cell r="T350" t="str">
            <v>UD. JOSUA</v>
          </cell>
          <cell r="V350" t="str">
            <v>Gestiwan Bazikho</v>
          </cell>
          <cell r="W350" t="str">
            <v>081375309828</v>
          </cell>
          <cell r="X350" t="str">
            <v>Jl. Diponegoro Kel. Pasar Telukdalam - Nias Selatan</v>
          </cell>
        </row>
        <row r="351">
          <cell r="C351" t="str">
            <v>5.1.02.01.01.0024</v>
          </cell>
          <cell r="D351" t="str">
            <v>06. 05. 08.</v>
          </cell>
          <cell r="G351">
            <v>345</v>
          </cell>
          <cell r="L351" t="str">
            <v>Kertas HVS 80 gram Merk : Paper One A4, Ukuran : 8,27" x 11,69", Isi : 500 lembar</v>
          </cell>
          <cell r="M351" t="str">
            <v>Kertas HVS 80 gram Merk : Paper One A4, Ukuran : 8,27" x 11,69", Isi : 500 lembar</v>
          </cell>
          <cell r="N351">
            <v>40</v>
          </cell>
          <cell r="O351" t="str">
            <v>rim</v>
          </cell>
          <cell r="P351">
            <v>50000</v>
          </cell>
          <cell r="Q351">
            <v>2000000</v>
          </cell>
          <cell r="T351" t="str">
            <v>UD. JOSUA</v>
          </cell>
          <cell r="V351" t="str">
            <v>Gestiwan Bazikho</v>
          </cell>
          <cell r="W351" t="str">
            <v>081375309828</v>
          </cell>
          <cell r="X351" t="str">
            <v>Jl. Diponegoro Kel. Pasar Telukdalam - Nias Selatan</v>
          </cell>
        </row>
        <row r="352">
          <cell r="C352" t="str">
            <v>5.1.02.01.01.0024</v>
          </cell>
          <cell r="D352" t="str">
            <v>06. 05. 08.</v>
          </cell>
          <cell r="G352">
            <v>346</v>
          </cell>
          <cell r="L352" t="str">
            <v>Kertas StensiI</v>
          </cell>
          <cell r="M352" t="str">
            <v>Kertas StensiI</v>
          </cell>
          <cell r="N352">
            <v>10</v>
          </cell>
          <cell r="O352" t="str">
            <v>bungkus</v>
          </cell>
          <cell r="P352">
            <v>50000</v>
          </cell>
          <cell r="Q352">
            <v>500000</v>
          </cell>
          <cell r="T352" t="str">
            <v>UD. JOSUA</v>
          </cell>
          <cell r="V352" t="str">
            <v>Gestiwan Bazikho</v>
          </cell>
          <cell r="W352" t="str">
            <v>081375309828</v>
          </cell>
          <cell r="X352" t="str">
            <v>Jl. Diponegoro Kel. Pasar Telukdalam - Nias Selatan</v>
          </cell>
        </row>
        <row r="353">
          <cell r="C353" t="str">
            <v>5.1.02.01.01.0024</v>
          </cell>
          <cell r="D353" t="str">
            <v>06. 05. 08.</v>
          </cell>
          <cell r="G353">
            <v>347</v>
          </cell>
          <cell r="L353" t="str">
            <v>Kertas Label</v>
          </cell>
          <cell r="M353" t="str">
            <v>Kertas Label</v>
          </cell>
          <cell r="N353">
            <v>5</v>
          </cell>
          <cell r="O353" t="str">
            <v>lembar</v>
          </cell>
          <cell r="P353">
            <v>25000</v>
          </cell>
          <cell r="Q353">
            <v>125000</v>
          </cell>
          <cell r="T353" t="str">
            <v>UD. JOSUA</v>
          </cell>
          <cell r="V353" t="str">
            <v>Gestiwan Bazikho</v>
          </cell>
          <cell r="W353" t="str">
            <v>081375309828</v>
          </cell>
          <cell r="X353" t="str">
            <v>Jl. Diponegoro Kel. Pasar Telukdalam - Nias Selatan</v>
          </cell>
        </row>
        <row r="354">
          <cell r="C354" t="str">
            <v>5.1.02.01.01.0024</v>
          </cell>
          <cell r="D354" t="str">
            <v>06. 05. 08.</v>
          </cell>
          <cell r="G354">
            <v>348</v>
          </cell>
          <cell r="L354" t="str">
            <v>Amplop Coklat Merk : GSU Ukuran : 1/2 folio, bergaris</v>
          </cell>
          <cell r="M354" t="str">
            <v>Amplop Coklat Merk : GSU Ukuran : 1/2 folio, bergaris</v>
          </cell>
          <cell r="N354">
            <v>1</v>
          </cell>
          <cell r="O354" t="str">
            <v>bungkus</v>
          </cell>
          <cell r="P354">
            <v>45000</v>
          </cell>
          <cell r="Q354">
            <v>45000</v>
          </cell>
          <cell r="T354" t="str">
            <v>UD. JOSUA</v>
          </cell>
          <cell r="V354" t="str">
            <v>Gestiwan Bazikho</v>
          </cell>
          <cell r="W354" t="str">
            <v>081375309828</v>
          </cell>
          <cell r="X354" t="str">
            <v>Jl. Diponegoro Kel. Pasar Telukdalam - Nias Selatan</v>
          </cell>
        </row>
        <row r="355">
          <cell r="C355" t="str">
            <v>5.1.02.01.01.0024</v>
          </cell>
          <cell r="D355" t="str">
            <v>06. 05. 08.</v>
          </cell>
          <cell r="G355">
            <v>349</v>
          </cell>
          <cell r="L355" t="str">
            <v>Amplop Coklat Merk : Garda Ukuran Cabinet</v>
          </cell>
          <cell r="M355" t="str">
            <v>Amplop Coklat Merk : Garda Ukuran Cabinet</v>
          </cell>
          <cell r="N355">
            <v>3</v>
          </cell>
          <cell r="O355" t="str">
            <v>bungkus</v>
          </cell>
          <cell r="P355">
            <v>23000</v>
          </cell>
          <cell r="Q355">
            <v>69000</v>
          </cell>
          <cell r="T355" t="str">
            <v>UD. JOSUA</v>
          </cell>
          <cell r="V355" t="str">
            <v>Gestiwan Bazikho</v>
          </cell>
          <cell r="W355" t="str">
            <v>081375309828</v>
          </cell>
          <cell r="X355" t="str">
            <v>Jl. Diponegoro Kel. Pasar Telukdalam - Nias Selatan</v>
          </cell>
        </row>
        <row r="356">
          <cell r="C356" t="str">
            <v>5.1.02.01.01.0024</v>
          </cell>
          <cell r="D356" t="str">
            <v>06. 05. 08.</v>
          </cell>
          <cell r="G356">
            <v>350</v>
          </cell>
          <cell r="L356" t="str">
            <v>Amplop Coklat Merk : GSU Ukuran Folio polos</v>
          </cell>
          <cell r="M356" t="str">
            <v>Amplop Coklat Merk : GSU Ukuran Folio polos</v>
          </cell>
          <cell r="N356">
            <v>2</v>
          </cell>
          <cell r="O356" t="str">
            <v>bungkus</v>
          </cell>
          <cell r="P356">
            <v>60000</v>
          </cell>
          <cell r="Q356">
            <v>120000</v>
          </cell>
          <cell r="T356" t="str">
            <v>UD. JOSUA</v>
          </cell>
          <cell r="V356" t="str">
            <v>Gestiwan Bazikho</v>
          </cell>
          <cell r="W356" t="str">
            <v>081375309828</v>
          </cell>
          <cell r="X356" t="str">
            <v>Jl. Diponegoro Kel. Pasar Telukdalam - Nias Selatan</v>
          </cell>
        </row>
        <row r="357">
          <cell r="C357" t="str">
            <v>5.1.02.01.01.0024</v>
          </cell>
          <cell r="D357" t="str">
            <v>06. 05. 08.</v>
          </cell>
          <cell r="G357">
            <v>351</v>
          </cell>
          <cell r="L357" t="str">
            <v>Amplop Panjang Putih Polos Merk : Jaya Ukuran : 11 x 23 cm</v>
          </cell>
          <cell r="M357" t="str">
            <v>Amplop Panjang Putih Polos Merk : Jaya Ukuran : 11 x 23 cm</v>
          </cell>
          <cell r="N357">
            <v>1</v>
          </cell>
          <cell r="O357" t="str">
            <v>kotak</v>
          </cell>
          <cell r="P357">
            <v>48000</v>
          </cell>
          <cell r="Q357">
            <v>48000</v>
          </cell>
          <cell r="T357" t="str">
            <v>UD. JOSUA</v>
          </cell>
          <cell r="V357" t="str">
            <v>Gestiwan Bazikho</v>
          </cell>
          <cell r="W357" t="str">
            <v>081375309828</v>
          </cell>
          <cell r="X357" t="str">
            <v>Jl. Diponegoro Kel. Pasar Telukdalam - Nias Selatan</v>
          </cell>
        </row>
        <row r="358">
          <cell r="C358" t="str">
            <v>5.1.02.01.01.0024</v>
          </cell>
          <cell r="D358" t="str">
            <v>06. 05. 08.</v>
          </cell>
          <cell r="G358">
            <v>352</v>
          </cell>
          <cell r="L358" t="str">
            <v>Ballpoint Drawing Pen 0,1 Snowman</v>
          </cell>
          <cell r="M358" t="str">
            <v>Ballpoint Drawing Pen 0,1 Snowman</v>
          </cell>
          <cell r="N358">
            <v>1</v>
          </cell>
          <cell r="O358" t="str">
            <v>lusin</v>
          </cell>
          <cell r="P358">
            <v>95000</v>
          </cell>
          <cell r="Q358">
            <v>95000</v>
          </cell>
          <cell r="T358" t="str">
            <v>UD. JOSUA</v>
          </cell>
          <cell r="V358" t="str">
            <v>Gestiwan Bazikho</v>
          </cell>
          <cell r="W358" t="str">
            <v>081375309828</v>
          </cell>
          <cell r="X358" t="str">
            <v>Jl. Diponegoro Kel. Pasar Telukdalam - Nias Selatan</v>
          </cell>
        </row>
        <row r="359">
          <cell r="C359" t="str">
            <v>5.1.02.01.01.0024</v>
          </cell>
          <cell r="D359" t="str">
            <v>06. 05. 08.</v>
          </cell>
          <cell r="G359">
            <v>353</v>
          </cell>
          <cell r="L359" t="str">
            <v>Ballpoint Standard AE7</v>
          </cell>
          <cell r="M359" t="str">
            <v>Ballpoint Standard AE7</v>
          </cell>
          <cell r="N359">
            <v>2</v>
          </cell>
          <cell r="O359" t="str">
            <v>lusin</v>
          </cell>
          <cell r="P359">
            <v>20000</v>
          </cell>
          <cell r="Q359">
            <v>40000</v>
          </cell>
          <cell r="T359" t="str">
            <v>UD. JOSUA</v>
          </cell>
          <cell r="V359" t="str">
            <v>Gestiwan Bazikho</v>
          </cell>
          <cell r="W359" t="str">
            <v>081375309828</v>
          </cell>
          <cell r="X359" t="str">
            <v>Jl. Diponegoro Kel. Pasar Telukdalam - Nias Selatan</v>
          </cell>
        </row>
        <row r="360">
          <cell r="C360" t="str">
            <v>5.1.02.01.01.0024</v>
          </cell>
          <cell r="D360" t="str">
            <v>06. 05. 08.</v>
          </cell>
          <cell r="G360">
            <v>354</v>
          </cell>
          <cell r="L360" t="str">
            <v>Ballpoint Pilot G2</v>
          </cell>
          <cell r="M360" t="str">
            <v>Ballpoint Pilot G2</v>
          </cell>
          <cell r="N360">
            <v>1</v>
          </cell>
          <cell r="O360" t="str">
            <v>lusin</v>
          </cell>
          <cell r="P360">
            <v>235000</v>
          </cell>
          <cell r="Q360">
            <v>235000</v>
          </cell>
          <cell r="T360" t="str">
            <v>UD. JOSUA</v>
          </cell>
          <cell r="V360" t="str">
            <v>Gestiwan Bazikho</v>
          </cell>
          <cell r="W360" t="str">
            <v>081375309828</v>
          </cell>
          <cell r="X360" t="str">
            <v>Jl. Diponegoro Kel. Pasar Telukdalam - Nias Selatan</v>
          </cell>
        </row>
        <row r="361">
          <cell r="C361" t="str">
            <v>5.1.02.01.01.0024</v>
          </cell>
          <cell r="D361" t="str">
            <v>06. 05. 08.</v>
          </cell>
          <cell r="G361">
            <v>355</v>
          </cell>
          <cell r="L361" t="str">
            <v>Binder Klip  nomor 107</v>
          </cell>
          <cell r="M361" t="str">
            <v>Binder Klip  nomor 107</v>
          </cell>
          <cell r="N361">
            <v>5</v>
          </cell>
          <cell r="O361" t="str">
            <v>kotak</v>
          </cell>
          <cell r="P361">
            <v>7800</v>
          </cell>
          <cell r="Q361">
            <v>39000</v>
          </cell>
          <cell r="T361" t="str">
            <v>UD. JOSUA</v>
          </cell>
          <cell r="V361" t="str">
            <v>Gestiwan Bazikho</v>
          </cell>
          <cell r="W361" t="str">
            <v>081375309828</v>
          </cell>
          <cell r="X361" t="str">
            <v>Jl. Diponegoro Kel. Pasar Telukdalam - Nias Selatan</v>
          </cell>
        </row>
        <row r="362">
          <cell r="C362" t="str">
            <v>5.1.02.01.01.0024</v>
          </cell>
          <cell r="D362" t="str">
            <v>06. 05. 08.</v>
          </cell>
          <cell r="G362">
            <v>356</v>
          </cell>
          <cell r="L362" t="str">
            <v>Binder Klip  nomor 111</v>
          </cell>
          <cell r="M362" t="str">
            <v>Binder Klip  nomor 111</v>
          </cell>
          <cell r="N362">
            <v>5</v>
          </cell>
          <cell r="O362" t="str">
            <v>kotak</v>
          </cell>
          <cell r="P362">
            <v>11000</v>
          </cell>
          <cell r="Q362">
            <v>55000</v>
          </cell>
          <cell r="T362" t="str">
            <v>UD. JOSUA</v>
          </cell>
          <cell r="V362" t="str">
            <v>Gestiwan Bazikho</v>
          </cell>
          <cell r="W362" t="str">
            <v>081375309828</v>
          </cell>
          <cell r="X362" t="str">
            <v>Jl. Diponegoro Kel. Pasar Telukdalam - Nias Selatan</v>
          </cell>
        </row>
        <row r="363">
          <cell r="C363" t="str">
            <v>5.1.02.01.01.0024</v>
          </cell>
          <cell r="D363" t="str">
            <v>06. 05. 08.</v>
          </cell>
          <cell r="G363">
            <v>357</v>
          </cell>
          <cell r="L363" t="str">
            <v>Binder Klip  nomor 200</v>
          </cell>
          <cell r="M363" t="str">
            <v>Binder Klip  nomor 200</v>
          </cell>
          <cell r="N363">
            <v>10</v>
          </cell>
          <cell r="O363" t="str">
            <v>kotak</v>
          </cell>
          <cell r="P363">
            <v>16500</v>
          </cell>
          <cell r="Q363">
            <v>165000</v>
          </cell>
          <cell r="T363" t="str">
            <v>UD. JOSUA</v>
          </cell>
          <cell r="V363" t="str">
            <v>Gestiwan Bazikho</v>
          </cell>
          <cell r="W363" t="str">
            <v>081375309828</v>
          </cell>
          <cell r="X363" t="str">
            <v>Jl. Diponegoro Kel. Pasar Telukdalam - Nias Selatan</v>
          </cell>
        </row>
        <row r="364">
          <cell r="C364" t="str">
            <v>5.1.02.01.01.0024</v>
          </cell>
          <cell r="D364" t="str">
            <v>06. 05. 08.</v>
          </cell>
          <cell r="G364">
            <v>358</v>
          </cell>
          <cell r="L364" t="str">
            <v>Binder Klip  nomor 260</v>
          </cell>
          <cell r="M364" t="str">
            <v>Binder Klip  nomor 260</v>
          </cell>
          <cell r="N364">
            <v>10</v>
          </cell>
          <cell r="O364" t="str">
            <v>kotak</v>
          </cell>
          <cell r="P364">
            <v>20000</v>
          </cell>
          <cell r="Q364">
            <v>200000</v>
          </cell>
          <cell r="T364" t="str">
            <v>UD. JOSUA</v>
          </cell>
          <cell r="V364" t="str">
            <v>Gestiwan Bazikho</v>
          </cell>
          <cell r="W364" t="str">
            <v>081375309828</v>
          </cell>
          <cell r="X364" t="str">
            <v>Jl. Diponegoro Kel. Pasar Telukdalam - Nias Selatan</v>
          </cell>
        </row>
        <row r="365">
          <cell r="C365" t="str">
            <v>5.1.02.01.01.0024</v>
          </cell>
          <cell r="D365" t="str">
            <v>06. 05. 08.</v>
          </cell>
          <cell r="G365">
            <v>359</v>
          </cell>
          <cell r="L365" t="str">
            <v>Binder Klip Merk : KENKO nomor 105</v>
          </cell>
          <cell r="M365" t="str">
            <v>Binder Klip Merk : KENKO nomor 105</v>
          </cell>
          <cell r="N365">
            <v>2</v>
          </cell>
          <cell r="O365" t="str">
            <v>kotak</v>
          </cell>
          <cell r="P365">
            <v>5000</v>
          </cell>
          <cell r="Q365">
            <v>10000</v>
          </cell>
          <cell r="T365" t="str">
            <v>UD. JOSUA</v>
          </cell>
          <cell r="V365" t="str">
            <v>Gestiwan Bazikho</v>
          </cell>
          <cell r="W365" t="str">
            <v>081375309828</v>
          </cell>
          <cell r="X365" t="str">
            <v>Jl. Diponegoro Kel. Pasar Telukdalam - Nias Selatan</v>
          </cell>
        </row>
        <row r="366">
          <cell r="C366" t="str">
            <v>5.1.02.01.01.0024</v>
          </cell>
          <cell r="D366" t="str">
            <v>06. 05. 08.</v>
          </cell>
          <cell r="G366">
            <v>360</v>
          </cell>
          <cell r="L366" t="str">
            <v>Map Binder</v>
          </cell>
          <cell r="M366" t="str">
            <v>Map Binder</v>
          </cell>
          <cell r="N366">
            <v>12</v>
          </cell>
          <cell r="O366" t="str">
            <v>buah</v>
          </cell>
          <cell r="P366">
            <v>35500</v>
          </cell>
          <cell r="Q366">
            <v>426000</v>
          </cell>
          <cell r="T366" t="str">
            <v>UD. JOSUA</v>
          </cell>
          <cell r="V366" t="str">
            <v>Gestiwan Bazikho</v>
          </cell>
          <cell r="W366" t="str">
            <v>081375309828</v>
          </cell>
          <cell r="X366" t="str">
            <v>Jl. Diponegoro Kel. Pasar Telukdalam - Nias Selatan</v>
          </cell>
        </row>
        <row r="367">
          <cell r="C367" t="str">
            <v>5.1.02.01.01.0024</v>
          </cell>
          <cell r="D367" t="str">
            <v>06. 05. 08.</v>
          </cell>
          <cell r="G367">
            <v>361</v>
          </cell>
          <cell r="L367" t="str">
            <v>Stofmap Kertas</v>
          </cell>
          <cell r="M367" t="str">
            <v>Stofmap Kertas</v>
          </cell>
          <cell r="N367">
            <v>1</v>
          </cell>
          <cell r="O367" t="str">
            <v>pak</v>
          </cell>
          <cell r="P367">
            <v>88000</v>
          </cell>
          <cell r="Q367">
            <v>88000</v>
          </cell>
          <cell r="T367" t="str">
            <v>UD. JOSUA</v>
          </cell>
          <cell r="V367" t="str">
            <v>Gestiwan Bazikho</v>
          </cell>
          <cell r="W367" t="str">
            <v>081375309828</v>
          </cell>
          <cell r="X367" t="str">
            <v>Jl. Diponegoro Kel. Pasar Telukdalam - Nias Selatan</v>
          </cell>
        </row>
        <row r="368">
          <cell r="C368" t="str">
            <v>5.1.02.01.01.0024</v>
          </cell>
          <cell r="D368" t="str">
            <v>06. 05. 08.</v>
          </cell>
          <cell r="G368">
            <v>362</v>
          </cell>
          <cell r="L368" t="str">
            <v>Stofmap Transparan tali</v>
          </cell>
          <cell r="M368" t="str">
            <v>Stofmap Transparan tali</v>
          </cell>
          <cell r="N368">
            <v>100</v>
          </cell>
          <cell r="O368" t="str">
            <v>buah</v>
          </cell>
          <cell r="P368">
            <v>5500</v>
          </cell>
          <cell r="Q368">
            <v>550000</v>
          </cell>
          <cell r="T368" t="str">
            <v>UD. JOSUA</v>
          </cell>
          <cell r="V368" t="str">
            <v>Gestiwan Bazikho</v>
          </cell>
          <cell r="W368" t="str">
            <v>081375309828</v>
          </cell>
          <cell r="X368" t="str">
            <v>Jl. Diponegoro Kel. Pasar Telukdalam - Nias Selatan</v>
          </cell>
        </row>
        <row r="369">
          <cell r="C369" t="str">
            <v>5.1.02.01.01.0024</v>
          </cell>
          <cell r="D369" t="str">
            <v>06. 05. 08.</v>
          </cell>
          <cell r="G369">
            <v>363</v>
          </cell>
          <cell r="L369" t="str">
            <v>Stofmap Transparan</v>
          </cell>
          <cell r="M369" t="str">
            <v>Stofmap Transparan</v>
          </cell>
          <cell r="N369">
            <v>100</v>
          </cell>
          <cell r="O369" t="str">
            <v>buah</v>
          </cell>
          <cell r="P369">
            <v>5500</v>
          </cell>
          <cell r="Q369">
            <v>550000</v>
          </cell>
          <cell r="T369" t="str">
            <v>UD. JOSUA</v>
          </cell>
          <cell r="V369" t="str">
            <v>Gestiwan Bazikho</v>
          </cell>
          <cell r="W369" t="str">
            <v>081375309828</v>
          </cell>
          <cell r="X369" t="str">
            <v>Jl. Diponegoro Kel. Pasar Telukdalam - Nias Selatan</v>
          </cell>
        </row>
        <row r="370">
          <cell r="C370" t="str">
            <v>5.1.02.01.01.0024</v>
          </cell>
          <cell r="D370" t="str">
            <v>06. 05. 08.</v>
          </cell>
          <cell r="G370">
            <v>364</v>
          </cell>
          <cell r="L370" t="str">
            <v>Binder Klip Ordner</v>
          </cell>
          <cell r="M370" t="str">
            <v>Binder Klip Ordner</v>
          </cell>
          <cell r="N370">
            <v>6</v>
          </cell>
          <cell r="O370" t="str">
            <v>buah</v>
          </cell>
          <cell r="P370">
            <v>49500</v>
          </cell>
          <cell r="Q370">
            <v>297000</v>
          </cell>
          <cell r="T370" t="str">
            <v>UD. JOSUA</v>
          </cell>
          <cell r="V370" t="str">
            <v>Gestiwan Bazikho</v>
          </cell>
          <cell r="W370" t="str">
            <v>081375309828</v>
          </cell>
          <cell r="X370" t="str">
            <v>Jl. Diponegoro Kel. Pasar Telukdalam - Nias Selatan</v>
          </cell>
        </row>
        <row r="371">
          <cell r="C371" t="str">
            <v>5.1.02.01.01.0024</v>
          </cell>
          <cell r="D371" t="str">
            <v>06. 05. 08.</v>
          </cell>
          <cell r="G371">
            <v>365</v>
          </cell>
          <cell r="L371" t="str">
            <v>Box File Merk : Bantex Ukuran : 115x270x325 mm</v>
          </cell>
          <cell r="M371" t="str">
            <v>Box File Merk : Bantex Ukuran : 115x270x325 mm</v>
          </cell>
          <cell r="N371">
            <v>4</v>
          </cell>
          <cell r="O371" t="str">
            <v>buah</v>
          </cell>
          <cell r="P371">
            <v>59000</v>
          </cell>
          <cell r="Q371">
            <v>236000</v>
          </cell>
          <cell r="T371" t="str">
            <v>UD. JOSUA</v>
          </cell>
          <cell r="V371" t="str">
            <v>Gestiwan Bazikho</v>
          </cell>
          <cell r="W371" t="str">
            <v>081375309828</v>
          </cell>
          <cell r="X371" t="str">
            <v>Jl. Diponegoro Kel. Pasar Telukdalam - Nias Selatan</v>
          </cell>
        </row>
        <row r="372">
          <cell r="C372" t="str">
            <v>5.1.02.01.01.0024</v>
          </cell>
          <cell r="D372" t="str">
            <v>06. 05. 08.</v>
          </cell>
          <cell r="G372">
            <v>366</v>
          </cell>
          <cell r="L372" t="str">
            <v>Sampul Plastik</v>
          </cell>
          <cell r="M372" t="str">
            <v>Sampul Plastik</v>
          </cell>
          <cell r="N372">
            <v>5</v>
          </cell>
          <cell r="O372" t="str">
            <v>bungkus</v>
          </cell>
          <cell r="P372">
            <v>65000</v>
          </cell>
          <cell r="Q372">
            <v>325000</v>
          </cell>
          <cell r="T372" t="str">
            <v>UD. JOSUA</v>
          </cell>
          <cell r="V372" t="str">
            <v>Gestiwan Bazikho</v>
          </cell>
          <cell r="W372" t="str">
            <v>081375309828</v>
          </cell>
          <cell r="X372" t="str">
            <v>Jl. Diponegoro Kel. Pasar Telukdalam - Nias Selatan</v>
          </cell>
        </row>
        <row r="373">
          <cell r="C373" t="str">
            <v>5.1.02.01.01.0024</v>
          </cell>
          <cell r="D373" t="str">
            <v>06. 05. 08.</v>
          </cell>
          <cell r="G373">
            <v>367</v>
          </cell>
          <cell r="L373" t="str">
            <v>Tinta Printer Canon 740 Hitam-740 Hitam</v>
          </cell>
          <cell r="M373" t="str">
            <v>Tinta Printer Canon 740 Hitam-740 Hitam</v>
          </cell>
          <cell r="N373">
            <v>8</v>
          </cell>
          <cell r="O373" t="str">
            <v>botol</v>
          </cell>
          <cell r="P373">
            <v>30000</v>
          </cell>
          <cell r="Q373">
            <v>240000</v>
          </cell>
          <cell r="T373" t="str">
            <v>UD. JOSUA</v>
          </cell>
          <cell r="V373" t="str">
            <v>Gestiwan Bazikho</v>
          </cell>
          <cell r="W373" t="str">
            <v>081375309828</v>
          </cell>
          <cell r="X373" t="str">
            <v>Jl. Diponegoro Kel. Pasar Telukdalam - Nias Selatan</v>
          </cell>
        </row>
        <row r="374">
          <cell r="C374" t="str">
            <v>5.1.02.01.01.0024</v>
          </cell>
          <cell r="D374" t="str">
            <v>06. 05. 08.</v>
          </cell>
          <cell r="G374">
            <v>368</v>
          </cell>
          <cell r="L374" t="str">
            <v>Tinta Printer Canon 741 Warna-741 Warna</v>
          </cell>
          <cell r="M374" t="str">
            <v>Tinta Printer Canon 741 Warna-741 Warna</v>
          </cell>
          <cell r="N374">
            <v>12</v>
          </cell>
          <cell r="O374" t="str">
            <v>botol</v>
          </cell>
          <cell r="P374">
            <v>33000</v>
          </cell>
          <cell r="Q374">
            <v>396000</v>
          </cell>
          <cell r="T374" t="str">
            <v>UD. JOSUA</v>
          </cell>
          <cell r="V374" t="str">
            <v>Gestiwan Bazikho</v>
          </cell>
          <cell r="W374" t="str">
            <v>081375309828</v>
          </cell>
          <cell r="X374" t="str">
            <v>Jl. Diponegoro Kel. Pasar Telukdalam - Nias Selatan</v>
          </cell>
        </row>
        <row r="375">
          <cell r="C375" t="str">
            <v>5.1.02.01.01.0024</v>
          </cell>
          <cell r="D375" t="str">
            <v>06. 05. 08.</v>
          </cell>
          <cell r="G375">
            <v>369</v>
          </cell>
          <cell r="L375" t="str">
            <v>C. Tinta Printer EPSON Toner Epson 664 Black</v>
          </cell>
          <cell r="M375" t="str">
            <v>C. Tinta Printer EPSON Toner Epson 664 Black</v>
          </cell>
          <cell r="N375">
            <v>6</v>
          </cell>
          <cell r="O375" t="str">
            <v>botol</v>
          </cell>
          <cell r="P375">
            <v>85000</v>
          </cell>
          <cell r="Q375">
            <v>510000</v>
          </cell>
          <cell r="T375" t="str">
            <v>UD. JOSUA</v>
          </cell>
          <cell r="V375" t="str">
            <v>Gestiwan Bazikho</v>
          </cell>
          <cell r="W375" t="str">
            <v>081375309828</v>
          </cell>
          <cell r="X375" t="str">
            <v>Jl. Diponegoro Kel. Pasar Telukdalam - Nias Selatan</v>
          </cell>
        </row>
        <row r="376">
          <cell r="C376" t="str">
            <v>5.1.02.01.01.0024</v>
          </cell>
          <cell r="D376" t="str">
            <v>06. 05. 08.</v>
          </cell>
          <cell r="G376">
            <v>370</v>
          </cell>
          <cell r="L376" t="str">
            <v>C. Tinta Printer EPSON Tinta Printer Epson Yellow</v>
          </cell>
          <cell r="M376" t="str">
            <v>C. Tinta Printer EPSON Tinta Printer Epson Yellow</v>
          </cell>
          <cell r="N376">
            <v>4</v>
          </cell>
          <cell r="O376" t="str">
            <v>botol</v>
          </cell>
          <cell r="P376">
            <v>110000</v>
          </cell>
          <cell r="Q376">
            <v>440000</v>
          </cell>
          <cell r="T376" t="str">
            <v>UD. JOSUA</v>
          </cell>
          <cell r="V376" t="str">
            <v>Gestiwan Bazikho</v>
          </cell>
          <cell r="W376" t="str">
            <v>081375309828</v>
          </cell>
          <cell r="X376" t="str">
            <v>Jl. Diponegoro Kel. Pasar Telukdalam - Nias Selatan</v>
          </cell>
        </row>
        <row r="377">
          <cell r="C377" t="str">
            <v>5.1.02.01.01.0024</v>
          </cell>
          <cell r="D377" t="str">
            <v>06. 05. 08.</v>
          </cell>
          <cell r="G377">
            <v>371</v>
          </cell>
          <cell r="L377" t="str">
            <v>C. Tinta Printer EPSON Tinta Printer Epson Blue</v>
          </cell>
          <cell r="M377" t="str">
            <v>C. Tinta Printer EPSON Tinta Printer Epson Blue</v>
          </cell>
          <cell r="N377">
            <v>4</v>
          </cell>
          <cell r="O377" t="str">
            <v>botol</v>
          </cell>
          <cell r="P377">
            <v>110000</v>
          </cell>
          <cell r="Q377">
            <v>440000</v>
          </cell>
          <cell r="T377" t="str">
            <v>UD. JOSUA</v>
          </cell>
          <cell r="V377" t="str">
            <v>Gestiwan Bazikho</v>
          </cell>
          <cell r="W377" t="str">
            <v>081375309828</v>
          </cell>
          <cell r="X377" t="str">
            <v>Jl. Diponegoro Kel. Pasar Telukdalam - Nias Selatan</v>
          </cell>
        </row>
        <row r="378">
          <cell r="C378" t="str">
            <v>5.1.02.01.01.0024</v>
          </cell>
          <cell r="D378" t="str">
            <v>06. 05. 08.</v>
          </cell>
          <cell r="G378">
            <v>372</v>
          </cell>
          <cell r="L378" t="str">
            <v>C. Tinta Printer EPSON Tinta Printer Epson Read</v>
          </cell>
          <cell r="M378" t="str">
            <v>C. Tinta Printer EPSON Tinta Printer Epson Read</v>
          </cell>
          <cell r="N378">
            <v>4</v>
          </cell>
          <cell r="O378" t="str">
            <v>botol</v>
          </cell>
          <cell r="P378">
            <v>110000</v>
          </cell>
          <cell r="Q378">
            <v>440000</v>
          </cell>
          <cell r="T378" t="str">
            <v>UD. JOSUA</v>
          </cell>
          <cell r="V378" t="str">
            <v>Gestiwan Bazikho</v>
          </cell>
          <cell r="W378" t="str">
            <v>081375309828</v>
          </cell>
          <cell r="X378" t="str">
            <v>Jl. Diponegoro Kel. Pasar Telukdalam - Nias Selatan</v>
          </cell>
        </row>
        <row r="379">
          <cell r="C379" t="str">
            <v>5.1.02.01.01.0024</v>
          </cell>
          <cell r="D379" t="str">
            <v>06. 05. 08.</v>
          </cell>
          <cell r="G379">
            <v>373</v>
          </cell>
          <cell r="L379" t="str">
            <v>Lakban Besar</v>
          </cell>
          <cell r="M379" t="str">
            <v>Lakban Besar</v>
          </cell>
          <cell r="N379">
            <v>5</v>
          </cell>
          <cell r="O379" t="str">
            <v>buah</v>
          </cell>
          <cell r="P379">
            <v>25000</v>
          </cell>
          <cell r="Q379">
            <v>125000</v>
          </cell>
          <cell r="T379" t="str">
            <v>UD. JOSUA</v>
          </cell>
          <cell r="V379" t="str">
            <v>Gestiwan Bazikho</v>
          </cell>
          <cell r="W379" t="str">
            <v>081375309828</v>
          </cell>
          <cell r="X379" t="str">
            <v>Jl. Diponegoro Kel. Pasar Telukdalam - Nias Selatan</v>
          </cell>
        </row>
        <row r="380">
          <cell r="C380" t="str">
            <v>5.1.02.01.01.0024</v>
          </cell>
          <cell r="D380" t="str">
            <v>06. 05. 08.</v>
          </cell>
          <cell r="G380">
            <v>374</v>
          </cell>
          <cell r="L380" t="str">
            <v>Lakban Bening</v>
          </cell>
          <cell r="M380" t="str">
            <v>Lakban Bening</v>
          </cell>
          <cell r="N380">
            <v>5</v>
          </cell>
          <cell r="O380" t="str">
            <v>buah</v>
          </cell>
          <cell r="P380">
            <v>15000</v>
          </cell>
          <cell r="Q380">
            <v>75000</v>
          </cell>
          <cell r="T380" t="str">
            <v>UD. JOSUA</v>
          </cell>
          <cell r="V380" t="str">
            <v>Gestiwan Bazikho</v>
          </cell>
          <cell r="W380" t="str">
            <v>081375309828</v>
          </cell>
          <cell r="X380" t="str">
            <v>Jl. Diponegoro Kel. Pasar Telukdalam - Nias Selatan</v>
          </cell>
        </row>
        <row r="381">
          <cell r="C381" t="str">
            <v>5.1.02.01.01.0024</v>
          </cell>
          <cell r="D381" t="str">
            <v>06. 05. 08.</v>
          </cell>
          <cell r="G381">
            <v>375</v>
          </cell>
          <cell r="L381" t="str">
            <v>Lakban Bening</v>
          </cell>
          <cell r="M381" t="str">
            <v>Lakban Bening</v>
          </cell>
          <cell r="N381">
            <v>5</v>
          </cell>
          <cell r="O381" t="str">
            <v>buah</v>
          </cell>
          <cell r="P381">
            <v>10000</v>
          </cell>
          <cell r="Q381">
            <v>50000</v>
          </cell>
          <cell r="T381" t="str">
            <v>UD. JOSUA</v>
          </cell>
          <cell r="V381" t="str">
            <v>Gestiwan Bazikho</v>
          </cell>
          <cell r="W381" t="str">
            <v>081375309828</v>
          </cell>
          <cell r="X381" t="str">
            <v>Jl. Diponegoro Kel. Pasar Telukdalam - Nias Selatan</v>
          </cell>
        </row>
        <row r="382">
          <cell r="C382" t="str">
            <v>5.1.02.01.01.0024</v>
          </cell>
          <cell r="D382" t="str">
            <v>06. 05. 08.</v>
          </cell>
          <cell r="G382">
            <v>376</v>
          </cell>
          <cell r="L382" t="str">
            <v>Lakban Hitam--</v>
          </cell>
          <cell r="M382" t="str">
            <v>Lakban Hitam--</v>
          </cell>
          <cell r="N382">
            <v>5</v>
          </cell>
          <cell r="O382" t="str">
            <v>buah</v>
          </cell>
          <cell r="P382">
            <v>15000</v>
          </cell>
          <cell r="Q382">
            <v>75000</v>
          </cell>
          <cell r="T382" t="str">
            <v>UD. JOSUA</v>
          </cell>
          <cell r="V382" t="str">
            <v>Gestiwan Bazikho</v>
          </cell>
          <cell r="W382" t="str">
            <v>081375309828</v>
          </cell>
          <cell r="X382" t="str">
            <v>Jl. Diponegoro Kel. Pasar Telukdalam - Nias Selatan</v>
          </cell>
        </row>
        <row r="383">
          <cell r="C383" t="str">
            <v>5.1.02.01.01.0024</v>
          </cell>
          <cell r="D383" t="str">
            <v>06. 05. 08.</v>
          </cell>
          <cell r="G383">
            <v>377</v>
          </cell>
          <cell r="L383" t="str">
            <v>lakban hitam-ukuran : lebar 2 inch, panjang 12m, bahan : kain</v>
          </cell>
          <cell r="M383" t="str">
            <v>lakban hitam-ukuran : lebar 2 inch, panjang 12m, bahan : kain</v>
          </cell>
          <cell r="N383">
            <v>4</v>
          </cell>
          <cell r="O383" t="str">
            <v>buah</v>
          </cell>
          <cell r="P383">
            <v>12500</v>
          </cell>
          <cell r="Q383">
            <v>50000</v>
          </cell>
          <cell r="T383" t="str">
            <v>UD. JOSUA</v>
          </cell>
          <cell r="V383" t="str">
            <v>Gestiwan Bazikho</v>
          </cell>
          <cell r="W383" t="str">
            <v>081375309828</v>
          </cell>
          <cell r="X383" t="str">
            <v>Jl. Diponegoro Kel. Pasar Telukdalam - Nias Selatan</v>
          </cell>
        </row>
        <row r="384">
          <cell r="C384" t="str">
            <v>5.1.02.01.01.0024</v>
          </cell>
          <cell r="D384" t="str">
            <v>06. 05. 08.</v>
          </cell>
          <cell r="G384">
            <v>378</v>
          </cell>
          <cell r="L384" t="str">
            <v>Lakban Hitam uk 2 " Warna hitam uk. 2 "</v>
          </cell>
          <cell r="M384" t="str">
            <v>Lakban Hitam uk 2 " Warna hitam uk. 2 "</v>
          </cell>
          <cell r="N384">
            <v>5</v>
          </cell>
          <cell r="O384" t="str">
            <v>buah</v>
          </cell>
          <cell r="P384">
            <v>25000</v>
          </cell>
          <cell r="Q384">
            <v>125000</v>
          </cell>
          <cell r="T384" t="str">
            <v>UD. JOSUA</v>
          </cell>
          <cell r="V384" t="str">
            <v>Gestiwan Bazikho</v>
          </cell>
          <cell r="W384" t="str">
            <v>081375309828</v>
          </cell>
          <cell r="X384" t="str">
            <v>Jl. Diponegoro Kel. Pasar Telukdalam - Nias Selatan</v>
          </cell>
        </row>
        <row r="385">
          <cell r="C385" t="str">
            <v>5.1.02.01.01.0024</v>
          </cell>
          <cell r="D385" t="str">
            <v>06. 05. 08.</v>
          </cell>
          <cell r="G385">
            <v>379</v>
          </cell>
          <cell r="L385" t="str">
            <v>Lakban warna Uk 2" Warna Coklat Cofiie</v>
          </cell>
          <cell r="M385" t="str">
            <v>Lakban warna Uk 2" Warna Coklat Cofiie</v>
          </cell>
          <cell r="N385">
            <v>3</v>
          </cell>
          <cell r="O385" t="str">
            <v>buah</v>
          </cell>
          <cell r="P385">
            <v>20000</v>
          </cell>
          <cell r="Q385">
            <v>60000</v>
          </cell>
          <cell r="T385" t="str">
            <v>UD. JOSUA</v>
          </cell>
          <cell r="V385" t="str">
            <v>Gestiwan Bazikho</v>
          </cell>
          <cell r="W385" t="str">
            <v>081375309828</v>
          </cell>
          <cell r="X385" t="str">
            <v>Jl. Diponegoro Kel. Pasar Telukdalam - Nias Selatan</v>
          </cell>
        </row>
        <row r="386">
          <cell r="C386" t="str">
            <v>5.1.02.01.01.0024</v>
          </cell>
          <cell r="D386" t="str">
            <v>06. 05. 08.</v>
          </cell>
          <cell r="G386">
            <v>380</v>
          </cell>
          <cell r="L386" t="str">
            <v>Spidol Refil Spidol White Board Snowman</v>
          </cell>
          <cell r="M386" t="str">
            <v>Spidol Refil Spidol White Board Snowman</v>
          </cell>
          <cell r="N386">
            <v>10</v>
          </cell>
          <cell r="O386" t="str">
            <v>buah</v>
          </cell>
          <cell r="P386">
            <v>20900</v>
          </cell>
          <cell r="Q386">
            <v>209000</v>
          </cell>
          <cell r="T386" t="str">
            <v>UD. JOSUA</v>
          </cell>
          <cell r="V386" t="str">
            <v>Gestiwan Bazikho</v>
          </cell>
          <cell r="W386" t="str">
            <v>081375309828</v>
          </cell>
          <cell r="X386" t="str">
            <v>Jl. Diponegoro Kel. Pasar Telukdalam - Nias Selatan</v>
          </cell>
        </row>
        <row r="387">
          <cell r="C387" t="str">
            <v>5.1.02.01.01.0024</v>
          </cell>
          <cell r="D387" t="str">
            <v>06. 05. 08.</v>
          </cell>
          <cell r="G387">
            <v>381</v>
          </cell>
          <cell r="L387" t="str">
            <v>Spidol White board</v>
          </cell>
          <cell r="M387" t="str">
            <v>Spidol White board</v>
          </cell>
          <cell r="N387">
            <v>2</v>
          </cell>
          <cell r="O387" t="str">
            <v>lusin</v>
          </cell>
          <cell r="P387">
            <v>120000</v>
          </cell>
          <cell r="Q387">
            <v>240000</v>
          </cell>
          <cell r="T387" t="str">
            <v>UD. JOSUA</v>
          </cell>
          <cell r="V387" t="str">
            <v>Gestiwan Bazikho</v>
          </cell>
          <cell r="W387" t="str">
            <v>081375309828</v>
          </cell>
          <cell r="X387" t="str">
            <v>Jl. Diponegoro Kel. Pasar Telukdalam - Nias Selatan</v>
          </cell>
        </row>
        <row r="388">
          <cell r="C388" t="str">
            <v>5.1.02.01.01.0024</v>
          </cell>
          <cell r="D388" t="str">
            <v>06. 05. 08.</v>
          </cell>
          <cell r="G388">
            <v>382</v>
          </cell>
          <cell r="L388" t="str">
            <v>Stapler HD-10--</v>
          </cell>
          <cell r="M388" t="str">
            <v>Stapler HD-10--</v>
          </cell>
          <cell r="N388">
            <v>2</v>
          </cell>
          <cell r="O388" t="str">
            <v>buah</v>
          </cell>
          <cell r="P388">
            <v>20000</v>
          </cell>
          <cell r="Q388">
            <v>40000</v>
          </cell>
          <cell r="T388" t="str">
            <v>UD. JOSUA</v>
          </cell>
          <cell r="V388" t="str">
            <v>Gestiwan Bazikho</v>
          </cell>
          <cell r="W388" t="str">
            <v>081375309828</v>
          </cell>
          <cell r="X388" t="str">
            <v>Jl. Diponegoro Kel. Pasar Telukdalam - Nias Selatan</v>
          </cell>
        </row>
        <row r="389">
          <cell r="C389" t="str">
            <v>5.1.02.01.01.0024</v>
          </cell>
          <cell r="D389" t="str">
            <v>06. 05. 08.</v>
          </cell>
          <cell r="G389">
            <v>383</v>
          </cell>
          <cell r="L389" t="str">
            <v>Stapler Stapler No, 50 MAX</v>
          </cell>
          <cell r="M389" t="str">
            <v>Stapler Stapler No, 50 MAX</v>
          </cell>
          <cell r="N389">
            <v>2</v>
          </cell>
          <cell r="O389" t="str">
            <v>buah</v>
          </cell>
          <cell r="P389">
            <v>25000</v>
          </cell>
          <cell r="Q389">
            <v>50000</v>
          </cell>
          <cell r="T389" t="str">
            <v>UD. JOSUA</v>
          </cell>
          <cell r="V389" t="str">
            <v>Gestiwan Bazikho</v>
          </cell>
          <cell r="W389" t="str">
            <v>081375309828</v>
          </cell>
          <cell r="X389" t="str">
            <v>Jl. Diponegoro Kel. Pasar Telukdalam - Nias Selatan</v>
          </cell>
        </row>
        <row r="390">
          <cell r="C390" t="str">
            <v>5.1.02.01.01.0024</v>
          </cell>
          <cell r="D390" t="str">
            <v>06. 05. 08.</v>
          </cell>
          <cell r="G390">
            <v>384</v>
          </cell>
          <cell r="L390" t="str">
            <v>Lem Fox isi 500 gram--</v>
          </cell>
          <cell r="M390" t="str">
            <v>Lem Fox isi 500 gram--</v>
          </cell>
          <cell r="N390">
            <v>2</v>
          </cell>
          <cell r="O390" t="str">
            <v>buah</v>
          </cell>
          <cell r="P390">
            <v>37000</v>
          </cell>
          <cell r="Q390">
            <v>74000</v>
          </cell>
          <cell r="T390" t="str">
            <v>UD. JOSUA</v>
          </cell>
          <cell r="V390" t="str">
            <v>Gestiwan Bazikho</v>
          </cell>
          <cell r="W390" t="str">
            <v>081375309828</v>
          </cell>
          <cell r="X390" t="str">
            <v>Jl. Diponegoro Kel. Pasar Telukdalam - Nias Selatan</v>
          </cell>
        </row>
        <row r="391">
          <cell r="C391" t="str">
            <v>5.1.02.01.01.0024</v>
          </cell>
          <cell r="D391" t="str">
            <v>06. 05. 08.</v>
          </cell>
          <cell r="G391">
            <v>385</v>
          </cell>
          <cell r="L391" t="str">
            <v>PAPER CLIP  Paper Clip No 1</v>
          </cell>
          <cell r="M391" t="str">
            <v>PAPER CLIP  Paper Clip No 1</v>
          </cell>
          <cell r="N391">
            <v>5</v>
          </cell>
          <cell r="O391" t="str">
            <v>kotak</v>
          </cell>
          <cell r="P391">
            <v>6000</v>
          </cell>
          <cell r="Q391">
            <v>30000</v>
          </cell>
          <cell r="T391" t="str">
            <v>UD. JOSUA</v>
          </cell>
          <cell r="V391" t="str">
            <v>Gestiwan Bazikho</v>
          </cell>
          <cell r="W391" t="str">
            <v>081375309828</v>
          </cell>
          <cell r="X391" t="str">
            <v>Jl. Diponegoro Kel. Pasar Telukdalam - Nias Selatan</v>
          </cell>
        </row>
        <row r="392">
          <cell r="C392" t="str">
            <v>5.1.02.01.01.0024</v>
          </cell>
          <cell r="D392" t="str">
            <v>06. 05. 08.</v>
          </cell>
          <cell r="G392">
            <v>386</v>
          </cell>
          <cell r="L392" t="str">
            <v>Paper Clip No 1  Paper Clip No 3</v>
          </cell>
          <cell r="M392" t="str">
            <v>Paper Clip No 1  Paper Clip No 3</v>
          </cell>
          <cell r="N392">
            <v>5</v>
          </cell>
          <cell r="O392" t="str">
            <v>kotak</v>
          </cell>
          <cell r="P392">
            <v>6000</v>
          </cell>
          <cell r="Q392">
            <v>30000</v>
          </cell>
          <cell r="T392" t="str">
            <v>UD. JOSUA</v>
          </cell>
          <cell r="V392" t="str">
            <v>Gestiwan Bazikho</v>
          </cell>
          <cell r="W392" t="str">
            <v>081375309828</v>
          </cell>
          <cell r="X392" t="str">
            <v>Jl. Diponegoro Kel. Pasar Telukdalam - Nias Selatan</v>
          </cell>
        </row>
        <row r="393">
          <cell r="C393" t="str">
            <v>5.1.02.01.01.0024</v>
          </cell>
          <cell r="D393" t="str">
            <v>06. 05. 08.</v>
          </cell>
          <cell r="G393">
            <v>387</v>
          </cell>
          <cell r="L393" t="str">
            <v>gunting kertas-ukuran : panjang 21cm x lebar 8cm, stainless steel</v>
          </cell>
          <cell r="M393" t="str">
            <v>gunting kertas-ukuran : panjang 21cm x lebar 8cm, stainless steel</v>
          </cell>
          <cell r="N393">
            <v>2</v>
          </cell>
          <cell r="O393" t="str">
            <v>buah</v>
          </cell>
          <cell r="P393">
            <v>20000</v>
          </cell>
          <cell r="Q393">
            <v>40000</v>
          </cell>
          <cell r="T393" t="str">
            <v>UD. JOSUA</v>
          </cell>
          <cell r="V393" t="str">
            <v>Gestiwan Bazikho</v>
          </cell>
          <cell r="W393" t="str">
            <v>081375309828</v>
          </cell>
          <cell r="X393" t="str">
            <v>Jl. Diponegoro Kel. Pasar Telukdalam - Nias Selatan</v>
          </cell>
        </row>
        <row r="394">
          <cell r="C394" t="str">
            <v>5.1.02.01.01.0024</v>
          </cell>
          <cell r="D394" t="str">
            <v>06. 05. 08.</v>
          </cell>
          <cell r="G394">
            <v>388</v>
          </cell>
          <cell r="L394" t="str">
            <v>Pisau Cutter Kenko L-500</v>
          </cell>
          <cell r="M394" t="str">
            <v>Pisau Cutter Kenko L-500</v>
          </cell>
          <cell r="N394">
            <v>2</v>
          </cell>
          <cell r="O394" t="str">
            <v>buah</v>
          </cell>
          <cell r="P394">
            <v>15000</v>
          </cell>
          <cell r="Q394">
            <v>30000</v>
          </cell>
          <cell r="T394" t="str">
            <v>UD. JOSUA</v>
          </cell>
          <cell r="V394" t="str">
            <v>Gestiwan Bazikho</v>
          </cell>
          <cell r="W394" t="str">
            <v>081375309828</v>
          </cell>
          <cell r="X394" t="str">
            <v>Jl. Diponegoro Kel. Pasar Telukdalam - Nias Selatan</v>
          </cell>
        </row>
        <row r="395">
          <cell r="C395" t="str">
            <v>5.1.02.01.01.0024</v>
          </cell>
          <cell r="D395" t="str">
            <v>06. 05. 08.</v>
          </cell>
          <cell r="G395">
            <v>389</v>
          </cell>
          <cell r="L395" t="str">
            <v>Baterey Kecil</v>
          </cell>
          <cell r="M395" t="str">
            <v>Baterey Kecil</v>
          </cell>
          <cell r="N395">
            <v>5</v>
          </cell>
          <cell r="O395" t="str">
            <v>pasang</v>
          </cell>
          <cell r="P395">
            <v>20000</v>
          </cell>
          <cell r="Q395">
            <v>100000</v>
          </cell>
          <cell r="T395" t="str">
            <v>UD. JOSUA</v>
          </cell>
          <cell r="V395" t="str">
            <v>Gestiwan Bazikho</v>
          </cell>
          <cell r="W395" t="str">
            <v>081375309828</v>
          </cell>
          <cell r="X395" t="str">
            <v>Jl. Diponegoro Kel. Pasar Telukdalam - Nias Selatan</v>
          </cell>
        </row>
        <row r="396">
          <cell r="C396" t="str">
            <v>5.1.02.01.01.0026</v>
          </cell>
          <cell r="D396" t="str">
            <v>06. 05. 08.</v>
          </cell>
          <cell r="G396">
            <v>390</v>
          </cell>
          <cell r="L396" t="str">
            <v>Foto Copy Filio dan Kuarto</v>
          </cell>
          <cell r="M396" t="str">
            <v>Foto Copy Filio dan Kuarto</v>
          </cell>
          <cell r="N396">
            <v>20880</v>
          </cell>
          <cell r="O396" t="str">
            <v>lembar</v>
          </cell>
          <cell r="P396">
            <v>350</v>
          </cell>
          <cell r="Q396">
            <v>7308000</v>
          </cell>
          <cell r="T396" t="str">
            <v>UD. JOSUA</v>
          </cell>
          <cell r="V396" t="str">
            <v>Gestiwan Bazikho</v>
          </cell>
          <cell r="W396" t="str">
            <v>081375309828</v>
          </cell>
          <cell r="X396" t="str">
            <v>Jl. Diponegoro Kel. Pasar Telukdalam - Nias Selatan</v>
          </cell>
        </row>
        <row r="397">
          <cell r="C397" t="str">
            <v>5.1.02.01.01.0030</v>
          </cell>
          <cell r="D397" t="str">
            <v>06. 05. 09.</v>
          </cell>
          <cell r="G397">
            <v>391</v>
          </cell>
          <cell r="L397" t="str">
            <v>Tisu--</v>
          </cell>
          <cell r="M397" t="str">
            <v>Tisu--</v>
          </cell>
          <cell r="N397">
            <v>12</v>
          </cell>
          <cell r="O397" t="str">
            <v>buah</v>
          </cell>
          <cell r="P397">
            <v>12500</v>
          </cell>
          <cell r="Q397">
            <v>150000</v>
          </cell>
          <cell r="T397" t="str">
            <v>UD. JOSUA</v>
          </cell>
          <cell r="V397" t="str">
            <v>Gestiwan Bazikho</v>
          </cell>
          <cell r="W397" t="str">
            <v>081375309828</v>
          </cell>
          <cell r="X397" t="str">
            <v>Jl. Diponegoro Kel. Pasar Telukdalam - Nias Selatan</v>
          </cell>
        </row>
        <row r="398">
          <cell r="C398" t="str">
            <v>5.1.02.01.01.0030</v>
          </cell>
          <cell r="D398" t="str">
            <v>06. 05. 09.</v>
          </cell>
          <cell r="G398">
            <v>392</v>
          </cell>
          <cell r="L398" t="str">
            <v>vixal 500ml</v>
          </cell>
          <cell r="M398" t="str">
            <v>vixal 500ml</v>
          </cell>
          <cell r="N398">
            <v>10</v>
          </cell>
          <cell r="O398" t="str">
            <v>botol</v>
          </cell>
          <cell r="P398">
            <v>30000</v>
          </cell>
          <cell r="Q398">
            <v>300000</v>
          </cell>
          <cell r="T398" t="str">
            <v>UD. JOSUA</v>
          </cell>
          <cell r="V398" t="str">
            <v>Gestiwan Bazikho</v>
          </cell>
          <cell r="W398" t="str">
            <v>081375309828</v>
          </cell>
          <cell r="X398" t="str">
            <v>Jl. Diponegoro Kel. Pasar Telukdalam - Nias Selatan</v>
          </cell>
        </row>
        <row r="399">
          <cell r="C399" t="str">
            <v>5.1.02.01.01.0030</v>
          </cell>
          <cell r="D399" t="str">
            <v>06. 05. 09.</v>
          </cell>
          <cell r="G399">
            <v>393</v>
          </cell>
          <cell r="L399" t="str">
            <v>Perlengkapan Kebersihan Pembersih Lantai Super Pel Varian 800ml</v>
          </cell>
          <cell r="N399">
            <v>15</v>
          </cell>
          <cell r="O399" t="str">
            <v>buah</v>
          </cell>
          <cell r="P399">
            <v>13500</v>
          </cell>
          <cell r="Q399">
            <v>202500</v>
          </cell>
          <cell r="T399" t="str">
            <v>UD. JOSUA</v>
          </cell>
          <cell r="V399" t="str">
            <v>Gestiwan Bazikho</v>
          </cell>
          <cell r="W399" t="str">
            <v>081375309828</v>
          </cell>
          <cell r="X399" t="str">
            <v>Jl. Diponegoro Kel. Pasar Telukdalam - Nias Selatan</v>
          </cell>
        </row>
        <row r="400">
          <cell r="C400" t="str">
            <v>5.1.02.01.01.0030</v>
          </cell>
          <cell r="D400" t="str">
            <v>06. 05. 09.</v>
          </cell>
          <cell r="G400">
            <v>394</v>
          </cell>
          <cell r="L400" t="str">
            <v>Cairan Pembersih Kaca</v>
          </cell>
          <cell r="N400">
            <v>5</v>
          </cell>
          <cell r="O400" t="str">
            <v>buah</v>
          </cell>
          <cell r="P400">
            <v>12000</v>
          </cell>
          <cell r="Q400">
            <v>60000</v>
          </cell>
          <cell r="T400" t="str">
            <v>UD. JOSUA</v>
          </cell>
          <cell r="V400" t="str">
            <v>Gestiwan Bazikho</v>
          </cell>
          <cell r="W400" t="str">
            <v>081375309828</v>
          </cell>
          <cell r="X400" t="str">
            <v>Jl. Diponegoro Kel. Pasar Telukdalam - Nias Selatan</v>
          </cell>
        </row>
        <row r="401">
          <cell r="C401" t="str">
            <v>5.1.02.01.01.0030</v>
          </cell>
          <cell r="D401" t="str">
            <v>06. 05. 09.</v>
          </cell>
          <cell r="G401">
            <v>395</v>
          </cell>
          <cell r="L401" t="str">
            <v>Perlengkapan Kebersihan Pembersih Pakaian Sunlight Refil 800ml</v>
          </cell>
          <cell r="N401">
            <v>3</v>
          </cell>
          <cell r="O401" t="str">
            <v>buah</v>
          </cell>
          <cell r="P401">
            <v>15000</v>
          </cell>
          <cell r="Q401">
            <v>45000</v>
          </cell>
          <cell r="T401" t="str">
            <v>UD. JOSUA</v>
          </cell>
          <cell r="V401" t="str">
            <v>Gestiwan Bazikho</v>
          </cell>
          <cell r="W401" t="str">
            <v>081375309828</v>
          </cell>
          <cell r="X401" t="str">
            <v>Jl. Diponegoro Kel. Pasar Telukdalam - Nias Selatan</v>
          </cell>
        </row>
        <row r="402">
          <cell r="C402" t="str">
            <v>5.1.02.01.01.0030</v>
          </cell>
          <cell r="D402" t="str">
            <v>06. 05. 09.</v>
          </cell>
          <cell r="G402">
            <v>396</v>
          </cell>
          <cell r="L402" t="str">
            <v>Spon Cuci</v>
          </cell>
          <cell r="N402">
            <v>5</v>
          </cell>
          <cell r="O402" t="str">
            <v>buah</v>
          </cell>
          <cell r="P402">
            <v>12000</v>
          </cell>
          <cell r="Q402">
            <v>60000</v>
          </cell>
          <cell r="T402" t="str">
            <v>UD. JOSUA</v>
          </cell>
          <cell r="V402" t="str">
            <v>Gestiwan Bazikho</v>
          </cell>
          <cell r="W402" t="str">
            <v>081375309828</v>
          </cell>
          <cell r="X402" t="str">
            <v>Jl. Diponegoro Kel. Pasar Telukdalam - Nias Selatan</v>
          </cell>
        </row>
        <row r="403">
          <cell r="C403" t="str">
            <v>5.1.02.01.01.0030</v>
          </cell>
          <cell r="D403" t="str">
            <v>06. 05. 09.</v>
          </cell>
          <cell r="G403">
            <v>397</v>
          </cell>
          <cell r="L403" t="str">
            <v>Handsoap/Pencuci Tangan</v>
          </cell>
          <cell r="N403">
            <v>5</v>
          </cell>
          <cell r="O403" t="str">
            <v>botol</v>
          </cell>
          <cell r="P403">
            <v>67000</v>
          </cell>
          <cell r="Q403">
            <v>335000</v>
          </cell>
          <cell r="T403" t="str">
            <v>UD. JOSUA</v>
          </cell>
          <cell r="V403" t="str">
            <v>Gestiwan Bazikho</v>
          </cell>
          <cell r="W403" t="str">
            <v>081375309828</v>
          </cell>
          <cell r="X403" t="str">
            <v>Jl. Diponegoro Kel. Pasar Telukdalam - Nias Selatan</v>
          </cell>
        </row>
        <row r="404">
          <cell r="C404" t="str">
            <v>5.1.02.01.01.0030</v>
          </cell>
          <cell r="D404" t="str">
            <v>06. 05. 09.</v>
          </cell>
          <cell r="G404">
            <v>398</v>
          </cell>
          <cell r="L404" t="str">
            <v>Pengharum Ruangan</v>
          </cell>
          <cell r="N404">
            <v>10</v>
          </cell>
          <cell r="O404" t="str">
            <v>buah</v>
          </cell>
          <cell r="P404">
            <v>12100</v>
          </cell>
          <cell r="Q404">
            <v>121000</v>
          </cell>
          <cell r="T404" t="str">
            <v>UD. JOSUA</v>
          </cell>
          <cell r="V404" t="str">
            <v>Gestiwan Bazikho</v>
          </cell>
          <cell r="W404" t="str">
            <v>081375309828</v>
          </cell>
          <cell r="X404" t="str">
            <v>Jl. Diponegoro Kel. Pasar Telukdalam - Nias Selatan</v>
          </cell>
        </row>
        <row r="405">
          <cell r="C405" t="str">
            <v>5.1.02.01.01.0030</v>
          </cell>
          <cell r="D405" t="str">
            <v>06. 05. 09.</v>
          </cell>
          <cell r="G405">
            <v>399</v>
          </cell>
          <cell r="L405" t="str">
            <v>Hand Sanitizer-Unit</v>
          </cell>
          <cell r="N405">
            <v>5</v>
          </cell>
          <cell r="O405" t="str">
            <v>unit</v>
          </cell>
          <cell r="P405">
            <v>70000</v>
          </cell>
          <cell r="Q405">
            <v>350000</v>
          </cell>
          <cell r="T405" t="str">
            <v>UD. JOSUA</v>
          </cell>
          <cell r="V405" t="str">
            <v>Gestiwan Bazikho</v>
          </cell>
          <cell r="W405" t="str">
            <v>081375309828</v>
          </cell>
          <cell r="X405" t="str">
            <v>Jl. Diponegoro Kel. Pasar Telukdalam - Nias Selatan</v>
          </cell>
        </row>
        <row r="406">
          <cell r="C406" t="str">
            <v>5.1.02.02.01.0061</v>
          </cell>
          <cell r="D406" t="str">
            <v>06. 07. 01.</v>
          </cell>
          <cell r="G406">
            <v>400</v>
          </cell>
          <cell r="L406" t="str">
            <v>Biaya Rekening Listrik--</v>
          </cell>
          <cell r="M406" t="str">
            <v>Langanan Jasa Listrik</v>
          </cell>
          <cell r="N406">
            <v>1</v>
          </cell>
          <cell r="O406" t="str">
            <v>bulan</v>
          </cell>
          <cell r="P406">
            <v>2000000</v>
          </cell>
          <cell r="Q406">
            <v>2000000</v>
          </cell>
          <cell r="V406" t="e">
            <v>#N/A</v>
          </cell>
          <cell r="W406" t="e">
            <v>#N/A</v>
          </cell>
          <cell r="X406" t="e">
            <v>#N/A</v>
          </cell>
        </row>
        <row r="407">
          <cell r="C407" t="str">
            <v>5.1.02.02.01.0063</v>
          </cell>
          <cell r="D407" t="str">
            <v>06. 07. 05.</v>
          </cell>
          <cell r="G407">
            <v>401</v>
          </cell>
          <cell r="L407" t="str">
            <v>Biaya Langganan Internet--</v>
          </cell>
          <cell r="M407" t="str">
            <v>Langganan Jasa Indihome</v>
          </cell>
          <cell r="N407">
            <v>1</v>
          </cell>
          <cell r="O407" t="str">
            <v>bulan</v>
          </cell>
          <cell r="P407">
            <v>1500000</v>
          </cell>
          <cell r="Q407">
            <v>1500000</v>
          </cell>
          <cell r="V407" t="e">
            <v>#N/A</v>
          </cell>
          <cell r="W407" t="e">
            <v>#N/A</v>
          </cell>
          <cell r="X407" t="e">
            <v>#N/A</v>
          </cell>
        </row>
        <row r="408">
          <cell r="C408" t="str">
            <v>5.1.02.02.01.0013</v>
          </cell>
          <cell r="D408" t="str">
            <v>07. 12. 01.</v>
          </cell>
          <cell r="G408">
            <v>402</v>
          </cell>
          <cell r="L408" t="str">
            <v>Selatieli Nehe</v>
          </cell>
          <cell r="M408" t="str">
            <v>Gaji Guru Tidak Tetap Sekolah</v>
          </cell>
          <cell r="N408">
            <v>41</v>
          </cell>
          <cell r="O408" t="str">
            <v>jpl</v>
          </cell>
          <cell r="P408">
            <v>60000</v>
          </cell>
          <cell r="Q408">
            <v>2460000</v>
          </cell>
          <cell r="V408" t="e">
            <v>#N/A</v>
          </cell>
          <cell r="W408" t="e">
            <v>#N/A</v>
          </cell>
          <cell r="X408" t="e">
            <v>#N/A</v>
          </cell>
        </row>
        <row r="409">
          <cell r="C409" t="str">
            <v>5.1.02.02.01.0013</v>
          </cell>
          <cell r="D409" t="str">
            <v>07. 12. 01.</v>
          </cell>
          <cell r="G409">
            <v>403</v>
          </cell>
          <cell r="L409" t="str">
            <v>Arifin Metodi Bate'e</v>
          </cell>
          <cell r="M409" t="str">
            <v>Gaji Guru Tidak Tetap Sekolah</v>
          </cell>
          <cell r="N409">
            <v>34</v>
          </cell>
          <cell r="O409" t="str">
            <v>jpl</v>
          </cell>
          <cell r="P409">
            <v>60000</v>
          </cell>
          <cell r="Q409">
            <v>2040000</v>
          </cell>
          <cell r="V409" t="e">
            <v>#N/A</v>
          </cell>
          <cell r="W409" t="e">
            <v>#N/A</v>
          </cell>
          <cell r="X409" t="e">
            <v>#N/A</v>
          </cell>
        </row>
        <row r="410">
          <cell r="C410" t="str">
            <v>5.1.02.02.01.0013</v>
          </cell>
          <cell r="D410" t="str">
            <v>07. 12. 01.</v>
          </cell>
          <cell r="G410">
            <v>404</v>
          </cell>
          <cell r="L410" t="str">
            <v>Ferdiwati Wau</v>
          </cell>
          <cell r="M410" t="str">
            <v>Gaji Guru Tidak Tetap Sekolah</v>
          </cell>
          <cell r="N410">
            <v>34</v>
          </cell>
          <cell r="O410" t="str">
            <v>jpl</v>
          </cell>
          <cell r="P410">
            <v>60000</v>
          </cell>
          <cell r="Q410">
            <v>2040000</v>
          </cell>
          <cell r="V410" t="e">
            <v>#N/A</v>
          </cell>
          <cell r="W410" t="e">
            <v>#N/A</v>
          </cell>
          <cell r="X410" t="e">
            <v>#N/A</v>
          </cell>
        </row>
        <row r="411">
          <cell r="C411" t="str">
            <v>5.1.02.02.01.0013</v>
          </cell>
          <cell r="D411" t="str">
            <v>07. 12. 01.</v>
          </cell>
          <cell r="G411">
            <v>405</v>
          </cell>
          <cell r="L411" t="str">
            <v>Noni Alfanita Sarumaha, S.Pd</v>
          </cell>
          <cell r="M411" t="str">
            <v>Gaji Guru Tidak Tetap Sekolah</v>
          </cell>
          <cell r="N411">
            <v>37</v>
          </cell>
          <cell r="O411" t="str">
            <v>jpl</v>
          </cell>
          <cell r="P411">
            <v>60000</v>
          </cell>
          <cell r="Q411">
            <v>2220000</v>
          </cell>
          <cell r="V411" t="e">
            <v>#N/A</v>
          </cell>
          <cell r="W411" t="e">
            <v>#N/A</v>
          </cell>
          <cell r="X411" t="e">
            <v>#N/A</v>
          </cell>
        </row>
        <row r="412">
          <cell r="C412" t="str">
            <v>5.1.02.02.01.0013</v>
          </cell>
          <cell r="D412" t="str">
            <v>07. 12. 01.</v>
          </cell>
          <cell r="G412">
            <v>406</v>
          </cell>
          <cell r="L412" t="str">
            <v>EMILA HAFO</v>
          </cell>
          <cell r="M412" t="str">
            <v>Gaji Guru Tidak Tetap Sekolah</v>
          </cell>
          <cell r="N412">
            <v>35</v>
          </cell>
          <cell r="O412" t="str">
            <v>jpl</v>
          </cell>
          <cell r="P412">
            <v>60000</v>
          </cell>
          <cell r="Q412">
            <v>2100000</v>
          </cell>
          <cell r="V412" t="e">
            <v>#N/A</v>
          </cell>
          <cell r="W412" t="e">
            <v>#N/A</v>
          </cell>
          <cell r="X412" t="e">
            <v>#N/A</v>
          </cell>
        </row>
        <row r="413">
          <cell r="C413" t="str">
            <v>5.1.02.02.01.0013</v>
          </cell>
          <cell r="D413" t="str">
            <v>07. 12. 01.</v>
          </cell>
          <cell r="G413">
            <v>407</v>
          </cell>
          <cell r="L413" t="str">
            <v>Asep Nurhidayat</v>
          </cell>
          <cell r="M413" t="str">
            <v>Gaji Guru Tidak Tetap Sekolah</v>
          </cell>
          <cell r="N413">
            <v>21</v>
          </cell>
          <cell r="O413" t="str">
            <v>jpl</v>
          </cell>
          <cell r="P413">
            <v>60000</v>
          </cell>
          <cell r="Q413">
            <v>1260000</v>
          </cell>
          <cell r="V413" t="e">
            <v>#N/A</v>
          </cell>
          <cell r="W413" t="e">
            <v>#N/A</v>
          </cell>
          <cell r="X413" t="e">
            <v>#N/A</v>
          </cell>
        </row>
        <row r="414">
          <cell r="C414" t="str">
            <v>5.1.02.02.01.0013</v>
          </cell>
          <cell r="D414" t="str">
            <v>07. 12. 01.</v>
          </cell>
          <cell r="G414">
            <v>408</v>
          </cell>
          <cell r="L414" t="str">
            <v>Amonius Dakhi</v>
          </cell>
          <cell r="M414" t="str">
            <v>Gaji Guru Tidak Tetap Sekolah</v>
          </cell>
          <cell r="N414">
            <v>24</v>
          </cell>
          <cell r="O414" t="str">
            <v>orang / jam pelajaran</v>
          </cell>
          <cell r="P414">
            <v>50000</v>
          </cell>
          <cell r="Q414">
            <v>1200000</v>
          </cell>
          <cell r="V414" t="e">
            <v>#N/A</v>
          </cell>
          <cell r="W414" t="e">
            <v>#N/A</v>
          </cell>
          <cell r="X414" t="e">
            <v>#N/A</v>
          </cell>
        </row>
        <row r="415">
          <cell r="C415" t="str">
            <v>5.1.02.02.01.0013</v>
          </cell>
          <cell r="D415" t="str">
            <v>07. 12. 01.</v>
          </cell>
          <cell r="G415">
            <v>409</v>
          </cell>
          <cell r="L415" t="str">
            <v>NELPI KARIANA WATI GOHAE</v>
          </cell>
          <cell r="M415" t="str">
            <v>Gaji Guru Tidak Tetap Sekolah</v>
          </cell>
          <cell r="N415">
            <v>24</v>
          </cell>
          <cell r="O415" t="str">
            <v>orang / jam pelajaran</v>
          </cell>
          <cell r="P415">
            <v>50000</v>
          </cell>
          <cell r="Q415">
            <v>1200000</v>
          </cell>
          <cell r="V415" t="e">
            <v>#N/A</v>
          </cell>
          <cell r="W415" t="e">
            <v>#N/A</v>
          </cell>
          <cell r="X415" t="e">
            <v>#N/A</v>
          </cell>
        </row>
        <row r="416">
          <cell r="C416" t="str">
            <v>5.1.02.02.01.0013</v>
          </cell>
          <cell r="D416" t="str">
            <v>07. 12. 01.</v>
          </cell>
          <cell r="G416">
            <v>410</v>
          </cell>
          <cell r="L416" t="str">
            <v>MERCY GRACE KARTIKA SARI ZAGOTO (1558776677230122)</v>
          </cell>
          <cell r="M416" t="str">
            <v>Gaji Guru Tidak Tetap Sekolah</v>
          </cell>
          <cell r="N416">
            <v>35</v>
          </cell>
          <cell r="O416" t="str">
            <v>orang / jam pelajaran</v>
          </cell>
          <cell r="P416">
            <v>50000</v>
          </cell>
          <cell r="Q416">
            <v>1750000</v>
          </cell>
          <cell r="V416" t="e">
            <v>#N/A</v>
          </cell>
          <cell r="W416" t="e">
            <v>#N/A</v>
          </cell>
          <cell r="X416" t="e">
            <v>#N/A</v>
          </cell>
        </row>
        <row r="417">
          <cell r="C417" t="str">
            <v>5.1.02.02.01.0026</v>
          </cell>
          <cell r="D417" t="str">
            <v>07. 12. 02.</v>
          </cell>
          <cell r="G417">
            <v>411</v>
          </cell>
          <cell r="L417" t="str">
            <v>Estera Nehe</v>
          </cell>
          <cell r="M417" t="str">
            <v>Gaji Pegawai Tidak Tetap Sekolah</v>
          </cell>
          <cell r="N417">
            <v>1</v>
          </cell>
          <cell r="O417" t="str">
            <v>bulan</v>
          </cell>
          <cell r="P417">
            <v>2000000</v>
          </cell>
          <cell r="Q417">
            <v>2000000</v>
          </cell>
          <cell r="V417" t="e">
            <v>#N/A</v>
          </cell>
          <cell r="W417" t="e">
            <v>#N/A</v>
          </cell>
          <cell r="X417" t="e">
            <v>#N/A</v>
          </cell>
        </row>
        <row r="418">
          <cell r="C418" t="str">
            <v>5.1.02.02.01.0026</v>
          </cell>
          <cell r="D418" t="str">
            <v>07. 12. 02.</v>
          </cell>
          <cell r="G418">
            <v>412</v>
          </cell>
          <cell r="L418" t="str">
            <v>Hatieli Buulolo</v>
          </cell>
          <cell r="M418" t="str">
            <v>Gaji Pegawai Tidak Tetap Sekolah</v>
          </cell>
          <cell r="N418">
            <v>1</v>
          </cell>
          <cell r="O418" t="str">
            <v>bulan</v>
          </cell>
          <cell r="P418">
            <v>2500000</v>
          </cell>
          <cell r="Q418">
            <v>2500000</v>
          </cell>
          <cell r="V418" t="e">
            <v>#N/A</v>
          </cell>
          <cell r="W418" t="e">
            <v>#N/A</v>
          </cell>
          <cell r="X418" t="e">
            <v>#N/A</v>
          </cell>
        </row>
        <row r="419">
          <cell r="C419" t="str">
            <v>5.1.02.02.01.0026</v>
          </cell>
          <cell r="D419" t="str">
            <v>07. 12. 02.</v>
          </cell>
          <cell r="G419">
            <v>413</v>
          </cell>
          <cell r="L419" t="str">
            <v>David J. Sitinjak</v>
          </cell>
          <cell r="M419" t="str">
            <v>Gaji Pegawai Tidak Tetap Sekolah</v>
          </cell>
          <cell r="N419">
            <v>1</v>
          </cell>
          <cell r="O419" t="str">
            <v>bulan</v>
          </cell>
          <cell r="P419">
            <v>2500000</v>
          </cell>
          <cell r="Q419">
            <v>2500000</v>
          </cell>
          <cell r="V419" t="e">
            <v>#N/A</v>
          </cell>
          <cell r="W419" t="e">
            <v>#N/A</v>
          </cell>
          <cell r="X419" t="e">
            <v>#N/A</v>
          </cell>
        </row>
        <row r="420">
          <cell r="C420" t="str">
            <v>5.1.02.02.01.0026</v>
          </cell>
          <cell r="D420" t="str">
            <v>07. 12. 02.</v>
          </cell>
          <cell r="G420">
            <v>414</v>
          </cell>
          <cell r="L420" t="str">
            <v>Siona Ziraluo</v>
          </cell>
          <cell r="M420" t="str">
            <v>Gaji Pegawai Tidak Tetap Sekolah</v>
          </cell>
          <cell r="N420">
            <v>1</v>
          </cell>
          <cell r="O420" t="str">
            <v>bulan</v>
          </cell>
          <cell r="P420">
            <v>2000000</v>
          </cell>
          <cell r="Q420">
            <v>2000000</v>
          </cell>
          <cell r="V420" t="e">
            <v>#N/A</v>
          </cell>
          <cell r="W420" t="e">
            <v>#N/A</v>
          </cell>
          <cell r="X420" t="e">
            <v>#N/A</v>
          </cell>
        </row>
        <row r="421">
          <cell r="C421" t="str">
            <v>5.1.02.02.01.0026</v>
          </cell>
          <cell r="D421" t="str">
            <v>07. 12. 02.</v>
          </cell>
          <cell r="G421">
            <v>415</v>
          </cell>
          <cell r="L421" t="str">
            <v>Merdina Ziraluo</v>
          </cell>
          <cell r="M421" t="str">
            <v>Gaji Pegawai Tidak Tetap Sekolah</v>
          </cell>
          <cell r="N421">
            <v>1</v>
          </cell>
          <cell r="O421" t="str">
            <v>bulan</v>
          </cell>
          <cell r="P421">
            <v>2500000</v>
          </cell>
          <cell r="Q421">
            <v>2500000</v>
          </cell>
          <cell r="V421" t="e">
            <v>#N/A</v>
          </cell>
          <cell r="W421" t="e">
            <v>#N/A</v>
          </cell>
          <cell r="X421" t="e">
            <v>#N/A</v>
          </cell>
        </row>
        <row r="422">
          <cell r="C422" t="str">
            <v>5.1.02.02.01.0026</v>
          </cell>
          <cell r="D422" t="str">
            <v>07. 12. 02.</v>
          </cell>
          <cell r="G422">
            <v>416</v>
          </cell>
          <cell r="L422" t="str">
            <v>Oksilia Buulolo, S.S</v>
          </cell>
          <cell r="M422" t="str">
            <v>Gaji Pegawai Tidak Tetap Sekolah</v>
          </cell>
          <cell r="N422">
            <v>1</v>
          </cell>
          <cell r="O422" t="str">
            <v>bulan/orang</v>
          </cell>
          <cell r="P422">
            <v>2000000</v>
          </cell>
          <cell r="Q422">
            <v>2000000</v>
          </cell>
          <cell r="V422" t="e">
            <v>#N/A</v>
          </cell>
          <cell r="W422" t="e">
            <v>#N/A</v>
          </cell>
          <cell r="X422" t="e">
            <v>#N/A</v>
          </cell>
        </row>
        <row r="423">
          <cell r="C423" t="str">
            <v>5.1.02.02.01.0026</v>
          </cell>
          <cell r="D423" t="str">
            <v>07. 12. 02.</v>
          </cell>
          <cell r="G423">
            <v>417</v>
          </cell>
          <cell r="L423" t="str">
            <v>Novika Efdimasari Halawa, S.S.I</v>
          </cell>
          <cell r="M423" t="str">
            <v>Gaji Pegawai Tidak Tetap Sekolah</v>
          </cell>
          <cell r="N423">
            <v>1</v>
          </cell>
          <cell r="O423" t="str">
            <v>bulan/orang</v>
          </cell>
          <cell r="P423">
            <v>2000000</v>
          </cell>
          <cell r="Q423">
            <v>2000000</v>
          </cell>
          <cell r="V423" t="e">
            <v>#N/A</v>
          </cell>
          <cell r="W423" t="e">
            <v>#N/A</v>
          </cell>
          <cell r="X423" t="e">
            <v>#N/A</v>
          </cell>
        </row>
        <row r="424">
          <cell r="C424" t="str">
            <v>5.1.02.02.01.0016</v>
          </cell>
          <cell r="D424" t="str">
            <v>07. 12. 04.</v>
          </cell>
          <cell r="G424">
            <v>418</v>
          </cell>
          <cell r="L424" t="str">
            <v>Zefrianus Zai</v>
          </cell>
          <cell r="M424" t="str">
            <v>Gaji Pegawai Tidak Tetap Sekolah</v>
          </cell>
          <cell r="N424">
            <v>1</v>
          </cell>
          <cell r="O424" t="str">
            <v>bulan/orang</v>
          </cell>
          <cell r="P424">
            <v>2000000</v>
          </cell>
          <cell r="Q424">
            <v>2000000</v>
          </cell>
          <cell r="V424" t="e">
            <v>#N/A</v>
          </cell>
          <cell r="W424" t="e">
            <v>#N/A</v>
          </cell>
          <cell r="X424" t="e">
            <v>#N/A</v>
          </cell>
        </row>
        <row r="425">
          <cell r="C425" t="str">
            <v>5.1.02.02.01.0030</v>
          </cell>
          <cell r="D425" t="str">
            <v>07. 12. 04.</v>
          </cell>
          <cell r="G425">
            <v>419</v>
          </cell>
          <cell r="L425" t="str">
            <v>Thomas Hondro</v>
          </cell>
          <cell r="M425" t="str">
            <v>Gaji Pegawai Tidak Tetap Sekolah</v>
          </cell>
          <cell r="N425">
            <v>1</v>
          </cell>
          <cell r="O425" t="str">
            <v>bulan</v>
          </cell>
          <cell r="P425">
            <v>1000000</v>
          </cell>
          <cell r="Q425">
            <v>1000000</v>
          </cell>
          <cell r="V425" t="e">
            <v>#N/A</v>
          </cell>
          <cell r="W425" t="e">
            <v>#N/A</v>
          </cell>
          <cell r="X425" t="e">
            <v>#N/A</v>
          </cell>
        </row>
      </sheetData>
      <sheetData sheetId="12"/>
      <sheetData sheetId="13"/>
      <sheetData sheetId="14">
        <row r="1">
          <cell r="C1" t="str">
            <v>Amplop Coklat Merk : Garda Ukuran Cabinet</v>
          </cell>
          <cell r="D1" t="str">
            <v>Amplop (Merk : Amplop Garda Ukuran : Super Kabinet Warna : Coklat polos Isi / Pack :100 pcs Ukuran : 14 cm x 27 cm)</v>
          </cell>
        </row>
        <row r="2">
          <cell r="C2" t="str">
            <v>Amplop Coklat Merk : GSU Ukuran : 1/2 folio, bergaris</v>
          </cell>
          <cell r="D2" t="str">
            <v>Amplop Coklat (Merk : GSU Ukuran : 1/2 folio, bergaris)</v>
          </cell>
        </row>
        <row r="3">
          <cell r="C3" t="str">
            <v>Amplop Coklat Merk : GSU Ukuran Folio polos</v>
          </cell>
          <cell r="D3" t="str">
            <v>Amplop Coklat Folio (Berat: 1000 gram. Panjang: 25 cm. Lebar: 5 cm. Tinggi: 35 cm)</v>
          </cell>
        </row>
        <row r="4">
          <cell r="C4" t="str">
            <v>Amplop Panjang Putih Polos Merk : Jaya Ukuran : 11 x 23 cm</v>
          </cell>
          <cell r="D4" t="str">
            <v xml:space="preserve"> Amplop Panjang Putih Polos (Merk : Jaya Ukuran : 11 x 23 cm)</v>
          </cell>
        </row>
        <row r="5">
          <cell r="C5" t="str">
            <v>Ballpoint Boldiner Standar</v>
          </cell>
          <cell r="D5" t="str">
            <v xml:space="preserve">Ballpoint Boldiner Standar  (Satuan. 300 Gram ; Dimensi Ukuran. 15X5X7.5Cm. (Berat Volume: 0.09Kg) </v>
          </cell>
        </row>
        <row r="6">
          <cell r="C6" t="str">
            <v>Ballpoint Drawing Pen 0,1 Snowman</v>
          </cell>
          <cell r="D6" t="str">
            <v>Ballpoint Drawing Pen 0,5 Snowman (Length 5.0Cm, Width 5.0Cm, Height 5.0Cm, Weight 5Gr)</v>
          </cell>
        </row>
        <row r="7">
          <cell r="C7" t="str">
            <v>Ballpoint Pilot G2</v>
          </cell>
          <cell r="D7" t="str">
            <v>Ballpoint Pilot G2 (Length 5.0Cm, Width 5.0Cm, Height 5.0Cm, Weight 5Gr)</v>
          </cell>
        </row>
        <row r="8">
          <cell r="C8" t="str">
            <v>Ballpoint Standard AE7</v>
          </cell>
          <cell r="D8" t="str">
            <v>Ballpoint Standard AE7 (Jenis Barang: Pulpen Merk: Standard Tipe: AE-7 Ukuran: 0.5 mm; Warna Tinta, hitam)</v>
          </cell>
        </row>
        <row r="9">
          <cell r="C9" t="str">
            <v>Bantalan Cap Besar</v>
          </cell>
          <cell r="D9" t="str">
            <v>Bantalan Cap Besar (Berat Produk 1 Kg, Panjang Produk 12 Cm, Lebar Produk 8 Cm, Tinggi Produk 12 Cm)</v>
          </cell>
        </row>
        <row r="10">
          <cell r="C10" t="str">
            <v>Bantalan Cap Kecil</v>
          </cell>
          <cell r="D10" t="str">
            <v>Bantalan Cap Kecil (Ukuran: ± 10cm x 7cm x 1cm)</v>
          </cell>
        </row>
        <row r="11">
          <cell r="C11" t="str">
            <v>Baterey Kecil</v>
          </cell>
          <cell r="D11" t="str">
            <v>Baterey Kecil (Type: Aa; Tegangan: 1.5 Volt; Ukuran: 14 X 50 Mm)</v>
          </cell>
        </row>
        <row r="12">
          <cell r="C12" t="str">
            <v>Baterey Tanggung</v>
          </cell>
          <cell r="D12" t="str">
            <v>Baterey Tanggung (Ukuran Sedang Tanggung R14C Biru 1.5V Brand : ABC Type : R14C 1.5V ukuran : tanggung Panjang : 5cm.)</v>
          </cell>
        </row>
        <row r="13">
          <cell r="C13" t="str">
            <v>Binder Klip  nomor 107</v>
          </cell>
          <cell r="D13" t="str">
            <v>Binder Clip N0 107 (Length 5.0Cm, Width 5.0Cm, Height 5.0Cm, Weight 5Gr)</v>
          </cell>
        </row>
        <row r="14">
          <cell r="C14" t="str">
            <v>Binder Klip  nomor 111</v>
          </cell>
          <cell r="D14" t="str">
            <v>Binder Clip No 111 (Length 5.0Cm, Width 5.0Cm, Height 5.0Cm, Weight 5Gr)</v>
          </cell>
        </row>
        <row r="15">
          <cell r="C15" t="str">
            <v>Binder Klip  nomor 200</v>
          </cell>
          <cell r="D15" t="str">
            <v>Binder Clip Nomor 200 (Length 5.0Cm, Width 5.0Cm, Height 5.0Cm, Weight 5Gr)</v>
          </cell>
        </row>
        <row r="16">
          <cell r="C16" t="str">
            <v>Binder Klip  nomor 260</v>
          </cell>
          <cell r="D16" t="str">
            <v>Binder Clip No 260 (Length 5.0Cm, Width 5.0Cm, Height 5.0Cm, Weight 5Gr)</v>
          </cell>
        </row>
        <row r="17">
          <cell r="C17" t="str">
            <v>Binder Klip Merk : KENKO nomor 105</v>
          </cell>
          <cell r="D17" t="str">
            <v xml:space="preserve">Binder Clip merk kenko NO 105 (Length 5.0cm, Width 5.0cm, Height 5.0cm, Weight 5gr)  </v>
          </cell>
        </row>
        <row r="18">
          <cell r="C18" t="str">
            <v>Binder Klip Ordner</v>
          </cell>
          <cell r="D18" t="str">
            <v>Binder Klip Ordner (Length 5.0Cm, Width 5.0Cm, Height 5.0Cm, Weight 5Gr)</v>
          </cell>
        </row>
        <row r="19">
          <cell r="C19" t="str">
            <v>Box File Merk : Bantex Ukuran : 115x270x325 mm</v>
          </cell>
          <cell r="D19" t="str">
            <v>Box File (Length 5.0Cm, Width 5.0Cm, Height 5.0Cm, Weight 5Gr)</v>
          </cell>
        </row>
        <row r="20">
          <cell r="C20" t="str">
            <v>Buku Ekspedisi 100</v>
          </cell>
          <cell r="D20" t="str">
            <v>Buku Ekspedisi 100 (Berat Satuan. 400 Gram ; Dimensi Ukuran. 32X11X1Cm)</v>
          </cell>
        </row>
        <row r="21">
          <cell r="C21" t="str">
            <v>Buku Induk/Inventaris 35 cm x 50 cm</v>
          </cell>
          <cell r="D21" t="str">
            <v>Buku Induk/Inventaris 35 Cm X 50 Cm (Lebar : 50 Cm, Tinggi : 4 Cm, Berat : 1000 Gr)</v>
          </cell>
        </row>
        <row r="22">
          <cell r="C22" t="str">
            <v>C. Tinta Printer EPSON Tinta Printer Epson Blue</v>
          </cell>
          <cell r="D22" t="str">
            <v>Tinta Printer Epson 664 Biru (Length 5.0Cm, Width 5.0Cm, Height 5.0Cm, Weight 5Gr)</v>
          </cell>
        </row>
        <row r="23">
          <cell r="C23" t="str">
            <v>C. Tinta Printer EPSON Tinta Printer Epson Read</v>
          </cell>
          <cell r="D23" t="str">
            <v>Tinta Printer Epson 664 Merah (Length 5.0Cm, Width 5.0Cm, Height 5.0Cm, Weight 5Gr)</v>
          </cell>
        </row>
        <row r="24">
          <cell r="C24" t="str">
            <v>C. Tinta Printer EPSON Tinta Printer Epson Yellow</v>
          </cell>
          <cell r="D24" t="str">
            <v>Tinta Printer Epson 664 Kuning (Length 5.0Cm, Width 5.0Cm, Height 5.0Cm, Weight 5Gr)</v>
          </cell>
        </row>
        <row r="25">
          <cell r="C25" t="str">
            <v>C. Tinta Printer EPSON Toner Epson 664 Black</v>
          </cell>
          <cell r="D25" t="str">
            <v>Tinta Printer Epson 664 Hitam (Length 5.0Cm, Width 5.0Cm, Height 5.0Cm, Weight 5Gr)</v>
          </cell>
        </row>
        <row r="26">
          <cell r="C26" t="str">
            <v>canon catridge 741-catridge 741</v>
          </cell>
          <cell r="D26" t="str">
            <v>canon catridge 741 (Merek: canon Tipe Catridge 741)</v>
          </cell>
        </row>
        <row r="27">
          <cell r="C27" t="str">
            <v>Catridge Printer Epson T 014--</v>
          </cell>
          <cell r="D27" t="str">
            <v>Catridge Printer (Merek: Epson Tipe: T 014)</v>
          </cell>
        </row>
        <row r="28">
          <cell r="C28" t="str">
            <v>gunting kertas-ukuran : panjang 21cm x lebar 8cm, stainless steel</v>
          </cell>
          <cell r="D28" t="str">
            <v>Gunting Besar (Length 5.0Cm, Width 5.0Cm, Height 5.0Cm, Weight 5Gr)</v>
          </cell>
        </row>
        <row r="29">
          <cell r="C29" t="str">
            <v>hardisk</v>
          </cell>
          <cell r="D29" t="str">
            <v>hardisk (Merek: Siagate, Kapasitas: 4 TB)</v>
          </cell>
        </row>
        <row r="30">
          <cell r="C30" t="str">
            <v>Isi Staples besar</v>
          </cell>
          <cell r="D30" t="str">
            <v>Isi Staples besar (Ukuran 10 mm (3/8″)Isi Kemasan 1000 staples/box)</v>
          </cell>
        </row>
        <row r="31">
          <cell r="C31" t="str">
            <v>Isi Staples Sedang</v>
          </cell>
          <cell r="D31" t="str">
            <v>Isi Staples Sedang (Dimensi, 2Cm X 4Cm X 1Cm. Berat, 5G.)</v>
          </cell>
        </row>
        <row r="32">
          <cell r="C32" t="str">
            <v>Kertas HVS 60 gram Merk : Paper One HVS F4 uk. 8.27"x11.69"</v>
          </cell>
          <cell r="D32" t="str">
            <v>Kertas Hvs 60Gsm Paper One F4 (Length 33.0Cm, Width 21.0Cm, Height 7.0Cm, Weight 1400Gr)</v>
          </cell>
        </row>
        <row r="33">
          <cell r="C33" t="str">
            <v>Kertas HVS 80 gram Merk : Paper One A4, Ukuran : 8,27" x 11,69", Isi : 500 lembar</v>
          </cell>
          <cell r="D33" t="str">
            <v>Kertas Hvs 80 Gram Merk : Paper One A4, Ukuran : 8,27" X 11,69", Isi : 500 Lembar</v>
          </cell>
        </row>
        <row r="34">
          <cell r="C34" t="str">
            <v>Kertas Label</v>
          </cell>
          <cell r="D34" t="str">
            <v>KERTAS LEBEL KOTAK (Length 5.0cm, Width 5.0cm, Height 7.0cm, Weight 5gr)</v>
          </cell>
        </row>
        <row r="35">
          <cell r="C35" t="str">
            <v>Kertas Lain-Lain Kertas Buffalo</v>
          </cell>
          <cell r="D35" t="str">
            <v>Kertas Buffalo F4 (Length 21.0Cm, Width 33.0Cm, Height 7.0Cm, Weight 1006Gr)</v>
          </cell>
        </row>
        <row r="36">
          <cell r="C36" t="str">
            <v>Kertas Post-It Warna Warni  Sign Here</v>
          </cell>
          <cell r="D36" t="str">
            <v>Post It Warna Warni (Length 7.0Cm, Width 7.0Cm, Height 7.0Cm, Weight 44Gr)</v>
          </cell>
        </row>
        <row r="37">
          <cell r="C37" t="str">
            <v>Kertas StensiI</v>
          </cell>
          <cell r="D37" t="str">
            <v>Kertas Stencil Folio (Length 33.0Cm, Width 21.0Cm, Height 5.0Cm, Weight 1400Gr)</v>
          </cell>
        </row>
        <row r="38">
          <cell r="C38" t="str">
            <v>Kertas Warna Blank Folio, Ukuran : 8,5 x 14",  70 gram</v>
          </cell>
          <cell r="D38" t="str">
            <v>Kertas Hvs Warna 70 Gsm (Length 21.0Cm, Width 33.0Cm, Height 7.0Cm, Weight 2400Gr)</v>
          </cell>
        </row>
        <row r="39">
          <cell r="C39" t="str">
            <v>Lakban Bening B</v>
          </cell>
          <cell r="D39" t="str">
            <v>Lakban Bening Besar (Brand : Daimaru • Ukuran : 48 mm x 109 Yard)</v>
          </cell>
        </row>
        <row r="40">
          <cell r="C40" t="str">
            <v>Lakban Bening K</v>
          </cell>
          <cell r="D40" t="str">
            <v>Lakban Bening Sedang (Ukuran: 2 inchi x 100 yard (48 mm x 100 yard), Diameter luar: 10,7 cm)</v>
          </cell>
        </row>
        <row r="41">
          <cell r="C41" t="str">
            <v>Lakban Besar</v>
          </cell>
          <cell r="D41" t="str">
            <v>Lakban Hitam Besar (Brand : Daimaru • Ukuran : 48 mm x 109 Yard)</v>
          </cell>
        </row>
        <row r="42">
          <cell r="C42" t="str">
            <v>Lakban Hitam--</v>
          </cell>
          <cell r="D42" t="str">
            <v>Lakban Hitam (Length 5.0Cm, Width 5.0Cm, Height 5.0Cm, Weight 5Gr)</v>
          </cell>
        </row>
        <row r="43">
          <cell r="C43" t="str">
            <v>Lakban Hitam uk 2 " Warna hitam uk. 2 "</v>
          </cell>
          <cell r="D43" t="str">
            <v>Lakban Warna Uk 2" Warna Hitam (Ukuran 90Yard Lebar : 48Mm)</v>
          </cell>
        </row>
        <row r="44">
          <cell r="C44" t="str">
            <v>lakban hitam-ukuran : lebar 2 inch, panjang 12m, bahan : kain</v>
          </cell>
          <cell r="D44" t="str">
            <v>Lakban Hitam Kecil (ukuran : lebar 2 inch, panjang 12m, bahan : kain)</v>
          </cell>
        </row>
        <row r="45">
          <cell r="C45" t="str">
            <v>Lakban warna Uk 2" Warna Coklat Cofiie</v>
          </cell>
          <cell r="D45" t="str">
            <v>Lakban Warna Uk 2" Warna Coklat Cofiie (Ukuran 90Yard Lebar : 48Mm)</v>
          </cell>
        </row>
        <row r="46">
          <cell r="C46" t="str">
            <v>Lem Fox isi 500 gram--</v>
          </cell>
          <cell r="D46" t="str">
            <v>Lem Fox Isi 500 Gram (Bahan Pvc, Berat 500Gr, Ukuran Botol Putih 500Gr)</v>
          </cell>
        </row>
        <row r="47">
          <cell r="C47" t="str">
            <v>Map Binder</v>
          </cell>
          <cell r="D47" t="str">
            <v>Map Binder (Length 5.0Cm, Width 5.0Cm, Height 5.0Cm, Weight 5Gr)</v>
          </cell>
        </row>
        <row r="48">
          <cell r="C48" t="str">
            <v>Materai 10.000</v>
          </cell>
          <cell r="D48" t="str">
            <v>Materai 10.000 (Segi Empat dengan Ukuran 21 x 28,95 mm)</v>
          </cell>
        </row>
        <row r="49">
          <cell r="C49" t="str">
            <v>PAPER CLIP  Paper Clip No 1</v>
          </cell>
          <cell r="D49" t="str">
            <v>Paper Clip No 1 (Length 5.0Cm, Width 5.0Cm, Height 5.0Cm, Weight 5Gr)</v>
          </cell>
        </row>
        <row r="50">
          <cell r="C50" t="str">
            <v>Paper Clip No 1  Paper Clip No 3</v>
          </cell>
          <cell r="D50" t="str">
            <v>Paper Clip No 3 (Length 5.0Cm, Width 5.0Cm, Height 5.0Cm, Weight 5Gr)</v>
          </cell>
        </row>
        <row r="51">
          <cell r="C51" t="str">
            <v>Penghapus White Board</v>
          </cell>
          <cell r="D51" t="str">
            <v>Penghapus White Board (Ukuran : 55 X 120 X 38 Mm - Berat : 30 Gram)</v>
          </cell>
        </row>
        <row r="52">
          <cell r="C52" t="str">
            <v>Pisau Cutter Kenko L-500</v>
          </cell>
          <cell r="D52" t="str">
            <v>Cutter L500 (Length 5.0Cm, Width 5.0Cm, Height 5.0Cm, Weight 5Gr)</v>
          </cell>
        </row>
        <row r="53">
          <cell r="C53" t="str">
            <v>Plastik Mika</v>
          </cell>
          <cell r="D53" t="str">
            <v>Plastik Mika Jilid F4 (Length 21.0Cm, Width 33.0Cm, Height 7.0Cm, Weight 548Gr)</v>
          </cell>
        </row>
        <row r="54">
          <cell r="C54" t="str">
            <v>Sampul Plastik</v>
          </cell>
          <cell r="D54" t="str">
            <v>Sampul Plastik (Length 5.0Cm, Width 5.0Cm, Height 5.0Cm, Weight 5Gr)</v>
          </cell>
        </row>
        <row r="55">
          <cell r="C55" t="str">
            <v>Spidol Refil Spidol White Board Snowman</v>
          </cell>
          <cell r="D55" t="str">
            <v>Spidol Refil Spidol White Board Snowman (Panjang. : 10 Cm ; Lebar. : 5 Cm ; Tinggi. : 7 Cm ; Berat. : 500 Gr)</v>
          </cell>
        </row>
        <row r="56">
          <cell r="C56" t="str">
            <v>Spidol White board</v>
          </cell>
          <cell r="D56" t="str">
            <v>Spidol White Board (Berat Produk 0.5 Kg, Panjang Produk 10 Cm, Lebar Produk 3 Cm, Tinggi Produk 10 Cm)</v>
          </cell>
        </row>
        <row r="57">
          <cell r="C57" t="str">
            <v>Stapler HD-10--</v>
          </cell>
          <cell r="D57" t="str">
            <v>Stapler HD-10 (Merk : MAX Ukuran : 3.5 x 10 cm)</v>
          </cell>
        </row>
        <row r="58">
          <cell r="C58" t="str">
            <v>Stapler Stapler No, 50 MAX</v>
          </cell>
          <cell r="D58" t="str">
            <v>Stapler 50 (Length 5.0Cm, Width 5.0Cm, Height 5.0Cm, Weight 5Gr)</v>
          </cell>
        </row>
        <row r="59">
          <cell r="C59" t="str">
            <v>Stempel Cap</v>
          </cell>
          <cell r="D59" t="str">
            <v>Stempel Cap (Ukuran 4,2Cm, Bentuk Bulat, Berat 50Gr)</v>
          </cell>
        </row>
        <row r="60">
          <cell r="C60" t="str">
            <v>Stempel Manual</v>
          </cell>
          <cell r="D60" t="str">
            <v>Stempel Manual (Berat Produk, 0.1 Kg ; Panjang Produk, 12 Cm ; Lebar Produk, 7 Cm ; Tinggi Produk, 9 Cm)</v>
          </cell>
        </row>
        <row r="61">
          <cell r="C61" t="str">
            <v>Stofmap Kertas</v>
          </cell>
          <cell r="D61" t="str">
            <v>Stofmap Kertas (Length 5.0Cm, Width 5.0Cm, Height 5.0Cm, Weight 5Gr)</v>
          </cell>
        </row>
        <row r="62">
          <cell r="C62" t="str">
            <v>Stofmap Transparan</v>
          </cell>
          <cell r="D62" t="str">
            <v>Stofmap Transparan (Length 5.0Cm, Width 5.0Cm, Height 5.0Cm, Weight 5Gr)</v>
          </cell>
        </row>
        <row r="63">
          <cell r="C63" t="str">
            <v>Stofmap Transparan tali</v>
          </cell>
          <cell r="D63" t="str">
            <v>Stofmap Transparan tali (Merk : Jenia Tipe : 2 Kancing + Tali Ukuran : 255 x 375 mm Bahan : Plastik PP 0,14 Micron)</v>
          </cell>
        </row>
        <row r="64">
          <cell r="C64" t="str">
            <v>Tinta Printer Canon 740 Hitam-740 Hitam</v>
          </cell>
          <cell r="D64" t="str">
            <v>Tinta Printer Canon Aiflo Hitam (Length 5.0cm, Width 5.0cm, Height 5.0cm, Weight 5gr)</v>
          </cell>
        </row>
        <row r="65">
          <cell r="C65" t="str">
            <v>Tinta Printer Canon 741 Warna-741 Warna</v>
          </cell>
          <cell r="D65" t="str">
            <v>Tinta Printer Canon Aiflo Warna (Length 5.0cm, Width 5.0cm, Height 5.0cm, Weight 5gr)</v>
          </cell>
        </row>
        <row r="66">
          <cell r="C66" t="str">
            <v>Tinta Stempel</v>
          </cell>
          <cell r="D66" t="str">
            <v>Tinta Stempel (Ukuran Produk 105 X 35 X 35 Mm, Isi 1 Botol 50 Ml, Berat Satuan 85 Gram)</v>
          </cell>
        </row>
        <row r="67">
          <cell r="C67" t="str">
            <v>USB FLASH DISK USB/Flash Disk 4GB</v>
          </cell>
          <cell r="D67" t="str">
            <v>USB Flash Disk/Flash Disk 4gb (Ukuran 50 X 15 X 6 Mm, Berat 26 Gr)</v>
          </cell>
        </row>
        <row r="68">
          <cell r="C68" t="str">
            <v>Gayung</v>
          </cell>
          <cell r="D68" t="str">
            <v xml:space="preserve">Gayung Lion Stars (Isi: 1,5 liter, diameter: 14 cm dan tinggi 13 cm)
 </v>
          </cell>
        </row>
        <row r="69">
          <cell r="C69" t="str">
            <v>Handsoap/Pencuci Tangan</v>
          </cell>
          <cell r="D69" t="str">
            <v>Handsoap/Pencuci Tangan (Antibacterial Hand Soap - 250ml, ekstrak aloevera)</v>
          </cell>
        </row>
        <row r="70">
          <cell r="C70" t="str">
            <v>Kain Lap  Bahan : Katun bermotif kotak-kotak</v>
          </cell>
          <cell r="D70" t="str">
            <v>Kain Lap (Bahan: Katun, Motif: Kotak-Kotak)</v>
          </cell>
        </row>
        <row r="71">
          <cell r="C71" t="str">
            <v>Serok Sampah--</v>
          </cell>
          <cell r="D71" t="str">
            <v xml:space="preserve">Serok sampah (merk Lion Star DP-5 Sigma Dust Pan, Lebar mulut serok 31,2 cm x panjang serokan 27,5 cm x Tinggi 83,5 cm)
</v>
          </cell>
        </row>
        <row r="72">
          <cell r="C72" t="str">
            <v>Alat Pel lantai besar</v>
          </cell>
          <cell r="D72" t="str">
            <v>Alat Pel lantai besar (Merek : Nagoya Code : 703-L, Ukuran : Besar, Tongkat : Aluminium, Kepala Pel: Sumbu, Panjang Tongkat 110cm, Lebar Kelapa Pel: 19cm)</v>
          </cell>
        </row>
        <row r="73">
          <cell r="C73" t="str">
            <v>Sapu</v>
          </cell>
          <cell r="D73" t="str">
            <v>Sapu (Sapu Lantai Nylon Plastik Dengan Gagang (Warna), Ukuran (P x L x T) : 43 x 28 x 105 cm)</v>
          </cell>
        </row>
        <row r="74">
          <cell r="C74" t="str">
            <v>Perlengkapan Kebersihan Pembersih Lantai Super Pel Varian 800ml</v>
          </cell>
          <cell r="D74" t="str">
            <v>Super Pel (Merek: Super Pel, Varian 800ml/Refill)</v>
          </cell>
        </row>
        <row r="75">
          <cell r="C75" t="str">
            <v>Serok Air Besar--</v>
          </cell>
          <cell r="D75" t="str">
            <v>Serok Air Besar (Merk : Dragon Ukuran : Lebar Karet 40 Cm Panjang Gagang 110 Cm. Berat: 2000 gr)</v>
          </cell>
        </row>
        <row r="76">
          <cell r="C76" t="str">
            <v>Pengharum Ruangan</v>
          </cell>
          <cell r="D76" t="str">
            <v>Pengharum Ruangan (Stella Pengharum Ruangan Gantung Lavender 42 g)</v>
          </cell>
        </row>
        <row r="77">
          <cell r="C77" t="str">
            <v>Perlengkapan Kebersihan Pembersih Pakaian Sunlight Refil 800ml</v>
          </cell>
          <cell r="D77" t="str">
            <v>Sunlight (Merk: Sunlight, Varian 800ml/Refill)</v>
          </cell>
        </row>
        <row r="78">
          <cell r="C78" t="str">
            <v>vixal 500ml</v>
          </cell>
          <cell r="D78" t="str">
            <v>Pembersih Lantai (Merk vixal, Kemasan Botol, isi  500ml)</v>
          </cell>
        </row>
        <row r="79">
          <cell r="C79" t="str">
            <v>Spon Cuci</v>
          </cell>
          <cell r="D79" t="str">
            <v>Spon Cuci (ukuran tebal 3 cm, panjang 7cm x 9cm)</v>
          </cell>
        </row>
        <row r="80">
          <cell r="C80" t="str">
            <v>Tisu--</v>
          </cell>
          <cell r="D80" t="str">
            <v>Tissue (Merk JOLLY 250 Sheets 2 Ply, Berat Volume = 285 gr)</v>
          </cell>
        </row>
        <row r="81">
          <cell r="C81" t="str">
            <v>Cairan Pembersih Kaca</v>
          </cell>
          <cell r="D81" t="str">
            <v>Cling (Merek: Cling, Varian: Ocean Fresh 425 ml)</v>
          </cell>
        </row>
        <row r="82">
          <cell r="C82" t="str">
            <v>Tempat sampah</v>
          </cell>
          <cell r="D82" t="str">
            <v>Tempat sampah (Bahan Plastik 33x32cm,)</v>
          </cell>
        </row>
        <row r="83">
          <cell r="C83" t="str">
            <v>Alat Pel</v>
          </cell>
          <cell r="D83" t="str">
            <v>Alat Pel (Merek Nagata, Tipe 405 MF Ukuran (MM) : 160 x 40 x 1680)</v>
          </cell>
        </row>
        <row r="84">
          <cell r="C84" t="str">
            <v>Sikat Pembersih</v>
          </cell>
          <cell r="D84" t="str">
            <v>Sikat Pembersih (Bahan: Platik Nylon, Gagang: Plat Besi, Panjang 110cm - 120cm, Lebar kepala sikat 18cm, Berat 1000gr)</v>
          </cell>
        </row>
        <row r="85">
          <cell r="C85" t="str">
            <v>Hand Sanitizer-Unit</v>
          </cell>
          <cell r="D85" t="str">
            <v>Hand Sanitizer (Kemasan Botol 500ml)</v>
          </cell>
        </row>
        <row r="86">
          <cell r="C86" t="str">
            <v>Sapu Lidi</v>
          </cell>
          <cell r="D86" t="str">
            <v>Sapu Lidi (Bahan Lidi, Panjang 120 cm, Berat 500gr)</v>
          </cell>
        </row>
        <row r="87">
          <cell r="C87" t="str">
            <v>Sikat WC Type : Gagang Panjang</v>
          </cell>
          <cell r="D87" t="str">
            <v>Sikat WC (Dimensi Panjang Brush: 39 cm, Diameter Brush: 7 cm, Holder: 12 x 16 x 9 cm)</v>
          </cell>
        </row>
        <row r="88">
          <cell r="C88" t="str">
            <v>Lakban Bening Sedang</v>
          </cell>
          <cell r="D88" t="str">
            <v>Lakban 45 MM x 50 Meter daimaru / 2 Inch x 50 M</v>
          </cell>
        </row>
        <row r="89">
          <cell r="C89" t="str">
            <v>Lakban Bening</v>
          </cell>
          <cell r="D89" t="str">
            <v>Isolasi Bening Sedang Mpi Solatip 24 X 72 Yard 1 Inc</v>
          </cell>
        </row>
        <row r="90">
          <cell r="C90" t="str">
            <v>Foto Copy Filio dan Kuarto</v>
          </cell>
          <cell r="D90" t="str">
            <v>Kertas HVS 70 gram Sinar Dunia A4, Ukuran : 8,27" x 11,69"</v>
          </cell>
        </row>
        <row r="98">
          <cell r="C98" t="str">
            <v>Nasi Kotak</v>
          </cell>
          <cell r="D98" t="str">
            <v>Nasi Kotak (isi: Nasi putih;Sop daging; Sayur; Berat 1000gr; Dimensi; (PxLxT) 25cmx25cmx10cm)</v>
          </cell>
        </row>
        <row r="99">
          <cell r="C99" t="str">
            <v>Aqua Botol 600 ml</v>
          </cell>
          <cell r="D99" t="str">
            <v>Aqua Botol (Berat Satuan 600 gram; Dimensi Ukuran 2x3x2cm; Berat volume: 0.00kg)</v>
          </cell>
        </row>
        <row r="100">
          <cell r="C100" t="str">
            <v>Aqua Cup</v>
          </cell>
          <cell r="D100" t="str">
            <v>Aqua Cup (Diameter: 6.3cm. Tinggi: 9.5cm)</v>
          </cell>
        </row>
        <row r="101">
          <cell r="C101" t="str">
            <v>Kue Besar</v>
          </cell>
          <cell r="D101" t="str">
            <v>Kue (bahan tepung terigu, gula, telur, mentega; berat 100gr, panjang 15cm, lebar 8 cm)</v>
          </cell>
        </row>
      </sheetData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96FE9-E97F-4C6D-8025-E4EAB39F3166}">
  <sheetPr codeName="Sheet2">
    <tabColor rgb="FFFF0000"/>
  </sheetPr>
  <dimension ref="A1:AL1581"/>
  <sheetViews>
    <sheetView tabSelected="1" zoomScale="80" zoomScaleNormal="80" workbookViewId="0">
      <pane ySplit="3" topLeftCell="A425" activePane="bottomLeft" state="frozen"/>
      <selection pane="bottomLeft" activeCell="A5" sqref="A5:AH426"/>
    </sheetView>
  </sheetViews>
  <sheetFormatPr defaultColWidth="8.7265625" defaultRowHeight="14.5"/>
  <cols>
    <col min="1" max="1" width="10.7265625" style="1" customWidth="1"/>
    <col min="2" max="2" width="11.26953125" style="132" customWidth="1"/>
    <col min="3" max="3" width="11.54296875" style="132" customWidth="1"/>
    <col min="4" max="4" width="15.6328125" style="1" customWidth="1"/>
    <col min="5" max="5" width="17.7265625" style="133" customWidth="1"/>
    <col min="6" max="7" width="12.7265625" style="133" customWidth="1"/>
    <col min="8" max="8" width="13.54296875" style="133" customWidth="1"/>
    <col min="9" max="9" width="13.54296875" style="134" customWidth="1"/>
    <col min="10" max="10" width="48.81640625" style="135" customWidth="1"/>
    <col min="11" max="11" width="31" style="128" customWidth="1"/>
    <col min="12" max="13" width="8.54296875" style="132" customWidth="1"/>
    <col min="14" max="14" width="14.26953125" style="130" customWidth="1"/>
    <col min="15" max="15" width="12.1796875" style="130" customWidth="1"/>
    <col min="16" max="16" width="22.54296875" style="132" bestFit="1" customWidth="1"/>
    <col min="17" max="17" width="62.453125" style="1" customWidth="1"/>
    <col min="18" max="19" width="14.7265625" style="1" customWidth="1"/>
    <col min="20" max="21" width="16.54296875" style="1" customWidth="1"/>
    <col min="22" max="22" width="14.81640625" style="1" customWidth="1"/>
    <col min="23" max="23" width="38.453125" style="1" customWidth="1"/>
    <col min="24" max="24" width="42.453125" style="1" customWidth="1"/>
    <col min="25" max="25" width="32.81640625" style="1" customWidth="1"/>
    <col min="26" max="26" width="23.453125" style="125" customWidth="1"/>
    <col min="27" max="27" width="12.54296875" style="126" customWidth="1"/>
    <col min="28" max="28" width="14.81640625" style="127" customWidth="1"/>
    <col min="29" max="29" width="17" style="127" customWidth="1"/>
    <col min="30" max="30" width="16.54296875" style="128" customWidth="1"/>
    <col min="31" max="32" width="18.54296875" style="129" customWidth="1"/>
    <col min="33" max="33" width="12.1796875" style="130" customWidth="1"/>
    <col min="34" max="34" width="17.1796875" style="131" customWidth="1"/>
    <col min="35" max="35" width="15.1796875" style="1" customWidth="1"/>
    <col min="36" max="36" width="12.81640625" style="1" customWidth="1"/>
    <col min="37" max="37" width="11" style="1" bestFit="1" customWidth="1"/>
    <col min="38" max="16384" width="8.7265625" style="1"/>
  </cols>
  <sheetData>
    <row r="1" spans="1:38" ht="44.5" customHeight="1" thickBot="1">
      <c r="A1" s="136" t="s">
        <v>0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</row>
    <row r="2" spans="1:38" s="9" customFormat="1" ht="57.65" customHeight="1" thickTop="1" thickBot="1">
      <c r="A2" s="2" t="s">
        <v>1</v>
      </c>
      <c r="B2" s="2" t="s">
        <v>2</v>
      </c>
      <c r="C2" s="3" t="s">
        <v>3</v>
      </c>
      <c r="D2" s="3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2" t="s">
        <v>23</v>
      </c>
      <c r="X2" s="2" t="s">
        <v>24</v>
      </c>
      <c r="Y2" s="3" t="s">
        <v>25</v>
      </c>
      <c r="Z2" s="5" t="s">
        <v>26</v>
      </c>
      <c r="AA2" s="6" t="s">
        <v>13</v>
      </c>
      <c r="AB2" s="7" t="s">
        <v>27</v>
      </c>
      <c r="AC2" s="7" t="s">
        <v>28</v>
      </c>
      <c r="AD2" s="3" t="s">
        <v>29</v>
      </c>
      <c r="AE2" s="8" t="s">
        <v>30</v>
      </c>
      <c r="AF2" s="8" t="s">
        <v>31</v>
      </c>
      <c r="AG2" s="2" t="s">
        <v>32</v>
      </c>
      <c r="AH2" s="2" t="s">
        <v>33</v>
      </c>
    </row>
    <row r="3" spans="1:38" s="16" customFormat="1" ht="13" customHeight="1" thickTop="1" thickBot="1">
      <c r="A3" s="10">
        <v>1</v>
      </c>
      <c r="B3" s="11">
        <v>2</v>
      </c>
      <c r="C3" s="10">
        <v>3</v>
      </c>
      <c r="D3" s="11">
        <v>4</v>
      </c>
      <c r="E3" s="10">
        <v>5</v>
      </c>
      <c r="F3" s="11">
        <v>6</v>
      </c>
      <c r="G3" s="10">
        <v>7</v>
      </c>
      <c r="H3" s="11">
        <v>8</v>
      </c>
      <c r="I3" s="10">
        <v>9</v>
      </c>
      <c r="J3" s="10">
        <v>10</v>
      </c>
      <c r="K3" s="10">
        <v>11</v>
      </c>
      <c r="L3" s="11">
        <v>12</v>
      </c>
      <c r="M3" s="10">
        <v>13</v>
      </c>
      <c r="N3" s="11">
        <v>14</v>
      </c>
      <c r="O3" s="10">
        <v>15</v>
      </c>
      <c r="P3" s="11">
        <v>16</v>
      </c>
      <c r="Q3" s="10">
        <v>17</v>
      </c>
      <c r="R3" s="11">
        <v>18</v>
      </c>
      <c r="S3" s="10">
        <v>19</v>
      </c>
      <c r="T3" s="11">
        <v>20</v>
      </c>
      <c r="U3" s="10">
        <v>21</v>
      </c>
      <c r="V3" s="11">
        <v>22</v>
      </c>
      <c r="W3" s="10">
        <v>23</v>
      </c>
      <c r="X3" s="11">
        <v>24</v>
      </c>
      <c r="Y3" s="10">
        <v>25</v>
      </c>
      <c r="Z3" s="11">
        <v>26</v>
      </c>
      <c r="AA3" s="10">
        <v>27</v>
      </c>
      <c r="AB3" s="11">
        <v>28</v>
      </c>
      <c r="AC3" s="10">
        <v>29</v>
      </c>
      <c r="AD3" s="11">
        <v>30</v>
      </c>
      <c r="AE3" s="10">
        <v>31</v>
      </c>
      <c r="AF3" s="11">
        <v>32</v>
      </c>
      <c r="AG3" s="10">
        <v>33</v>
      </c>
      <c r="AH3" s="12">
        <v>34</v>
      </c>
      <c r="AI3" s="13"/>
      <c r="AJ3" s="14"/>
      <c r="AK3" s="15"/>
      <c r="AL3" s="14"/>
    </row>
    <row r="4" spans="1:38" s="40" customFormat="1" ht="26" thickTop="1" thickBot="1">
      <c r="A4" s="17" t="str">
        <f>[1]Data2025!G3</f>
        <v>01</v>
      </c>
      <c r="B4" s="18" t="str">
        <f>[1]Data2025!K3</f>
        <v>BPU01</v>
      </c>
      <c r="C4" s="19" t="str">
        <f>[1]Data2025!D3</f>
        <v>05.05.02.</v>
      </c>
      <c r="D4" s="20" t="str">
        <f>[1]Data2025!C3</f>
        <v>5.1.02.01.01.0052</v>
      </c>
      <c r="E4" s="21">
        <f>[1]Data2025!E3</f>
        <v>45661</v>
      </c>
      <c r="F4" s="22" t="str">
        <f>[1]Data2025!F3</f>
        <v>06/01/2025</v>
      </c>
      <c r="G4" s="21" t="str">
        <f>[1]Data2025!H3</f>
        <v>06/01/2025</v>
      </c>
      <c r="H4" s="21" t="str">
        <f>G4</f>
        <v>06/01/2025</v>
      </c>
      <c r="I4" s="23" t="str">
        <f>[1]Data2025!J3</f>
        <v>23/01/2025</v>
      </c>
      <c r="J4" s="24" t="str">
        <f>[1]Data2025!L3</f>
        <v>Air Mineral pada pelaksanaan kegiatan bulanan Gerakan Bersih Lingkungan Sekolah</v>
      </c>
      <c r="K4" s="24" t="str">
        <f>[1]Data2025!M3</f>
        <v>Aqua Cup</v>
      </c>
      <c r="L4" s="25">
        <f>[1]Data2025!N3</f>
        <v>25</v>
      </c>
      <c r="M4" s="25" t="str">
        <f>[1]Data2025!O3</f>
        <v>dus</v>
      </c>
      <c r="N4" s="26">
        <f>[1]Data2025!P3</f>
        <v>50000</v>
      </c>
      <c r="O4" s="27">
        <f>[1]Data2025!Q3</f>
        <v>1250000</v>
      </c>
      <c r="P4" s="28" t="s">
        <v>34</v>
      </c>
      <c r="Q4" s="29" t="str">
        <f>VLOOKUP(K4,[1]Sheet1!$C$1:$D$101,2,)</f>
        <v>Aqua Cup (Diameter: 6.3cm. Tinggi: 9.5cm)</v>
      </c>
      <c r="R4" s="30">
        <v>55000</v>
      </c>
      <c r="S4" s="31">
        <v>65000</v>
      </c>
      <c r="T4" s="32" t="str">
        <f>[1]Data2025!T3</f>
        <v>Rumah Roti Helena</v>
      </c>
      <c r="U4" s="33" t="s">
        <v>35</v>
      </c>
      <c r="V4" s="32" t="str">
        <f>[1]Data2025!V3</f>
        <v>Fudi Supiyanto</v>
      </c>
      <c r="W4" s="32" t="str">
        <f>[1]Data2025!X3</f>
        <v>Jln Ahmad Yani No.89 Kel. Pasar Telukdalam, Nias Selatan</v>
      </c>
      <c r="X4" s="33" t="s">
        <v>36</v>
      </c>
      <c r="Y4" s="33" t="str">
        <f>P4</f>
        <v>Air Mineral</v>
      </c>
      <c r="Z4" s="34" t="str">
        <f>Y4</f>
        <v>Air Mineral</v>
      </c>
      <c r="AA4" s="35" t="s">
        <v>37</v>
      </c>
      <c r="AB4" s="36">
        <v>11000</v>
      </c>
      <c r="AC4" s="36">
        <v>55000</v>
      </c>
      <c r="AD4" s="30">
        <v>55000</v>
      </c>
      <c r="AE4" s="37">
        <v>49549.549549549549</v>
      </c>
      <c r="AF4" s="37">
        <v>55000</v>
      </c>
      <c r="AG4" s="38" t="s">
        <v>38</v>
      </c>
      <c r="AH4" s="39" t="str">
        <f>[1]Data2025!W3</f>
        <v>082164895397</v>
      </c>
    </row>
    <row r="5" spans="1:38" ht="16.5" thickTop="1" thickBot="1">
      <c r="A5" s="41" t="str">
        <f>[1]Data2025!G4</f>
        <v>02</v>
      </c>
      <c r="B5" s="42" t="str">
        <f>[1]Data2025!K4</f>
        <v>BPU02</v>
      </c>
      <c r="C5" s="43" t="str">
        <f>[1]Data2025!D4</f>
        <v>05. 08. 01.</v>
      </c>
      <c r="D5" s="44" t="str">
        <f>[1]Data2025!C4</f>
        <v>5.1.02.01.01.0012</v>
      </c>
      <c r="E5" s="45">
        <f>[1]Data2025!E4</f>
        <v>45661</v>
      </c>
      <c r="F5" s="46" t="str">
        <f>[1]Data2025!F4</f>
        <v>06/01/2025</v>
      </c>
      <c r="G5" s="45" t="str">
        <f>[1]Data2025!H4</f>
        <v>07/01/2025</v>
      </c>
      <c r="H5" s="45" t="str">
        <f t="shared" ref="H5:H68" si="0">G5</f>
        <v>07/01/2025</v>
      </c>
      <c r="I5" s="47" t="str">
        <f>[1]Data2025!J4</f>
        <v>23/01/2025</v>
      </c>
      <c r="J5" s="48" t="str">
        <f>[1]Data2025!L4</f>
        <v>Perbaikan dan Pengaspalan Jalan Sekolah</v>
      </c>
      <c r="K5" s="48" t="str">
        <f>[1]Data2025!M4</f>
        <v>Bayar Jasa Perbaikan</v>
      </c>
      <c r="L5" s="49">
        <f>[1]Data2025!N4</f>
        <v>1</v>
      </c>
      <c r="M5" s="49" t="str">
        <f>[1]Data2025!O4</f>
        <v>kegiatan</v>
      </c>
      <c r="N5" s="50">
        <f>[1]Data2025!P4</f>
        <v>37080000</v>
      </c>
      <c r="O5" s="51">
        <f>[1]Data2025!Q4</f>
        <v>37080000</v>
      </c>
      <c r="P5" s="52" t="s">
        <v>39</v>
      </c>
      <c r="Q5" s="53" t="e">
        <f>VLOOKUP(K5,[1]Sheet1!$C$1:$D$101,2,)</f>
        <v>#N/A</v>
      </c>
      <c r="R5" s="54">
        <v>95000</v>
      </c>
      <c r="S5" s="55">
        <v>97000</v>
      </c>
      <c r="T5" s="56" t="str">
        <f>[1]Data2025!T4</f>
        <v>CV. GORIYAKU WIRATRADE</v>
      </c>
      <c r="U5" s="57" t="s">
        <v>35</v>
      </c>
      <c r="V5" s="56" t="str">
        <f>[1]Data2025!V4</f>
        <v>Wirawan Bazikho</v>
      </c>
      <c r="W5" s="56" t="str">
        <f>[1]Data2025!X4</f>
        <v>Jl. Diponegoro No. 87, Kel Pasar Telukdalam - Nias Selatan</v>
      </c>
      <c r="X5" s="57" t="s">
        <v>36</v>
      </c>
      <c r="Y5" s="57" t="str">
        <f t="shared" ref="Y5:Y68" si="1">P5</f>
        <v>Pemeliharaan</v>
      </c>
      <c r="Z5" s="58" t="str">
        <f t="shared" ref="Z5:Z68" si="2">Y5</f>
        <v>Pemeliharaan</v>
      </c>
      <c r="AA5" s="59" t="s">
        <v>40</v>
      </c>
      <c r="AB5" s="60">
        <v>95000</v>
      </c>
      <c r="AC5" s="60">
        <v>95000</v>
      </c>
      <c r="AD5" s="54">
        <v>95000</v>
      </c>
      <c r="AE5" s="61">
        <v>85585.585585585592</v>
      </c>
      <c r="AF5" s="61">
        <v>95000</v>
      </c>
      <c r="AG5" s="62" t="s">
        <v>38</v>
      </c>
      <c r="AH5" s="63" t="str">
        <f>[1]Data2025!W4</f>
        <v>082166714290</v>
      </c>
    </row>
    <row r="6" spans="1:38" ht="16.5" thickTop="1" thickBot="1">
      <c r="A6" s="41" t="str">
        <f>[1]Data2025!G5</f>
        <v>03</v>
      </c>
      <c r="B6" s="42" t="str">
        <f>[1]Data2025!K5</f>
        <v>BPU03</v>
      </c>
      <c r="C6" s="43" t="str">
        <f>[1]Data2025!D5</f>
        <v>05. 08. 10.</v>
      </c>
      <c r="D6" s="44" t="str">
        <f>[1]Data2025!C5</f>
        <v>5.1.02.01.01.0031</v>
      </c>
      <c r="E6" s="45">
        <f>[1]Data2025!E5</f>
        <v>45661</v>
      </c>
      <c r="F6" s="46" t="str">
        <f>[1]Data2025!F5</f>
        <v>06/01/2025</v>
      </c>
      <c r="G6" s="45" t="str">
        <f>[1]Data2025!H5</f>
        <v>06/01/2025</v>
      </c>
      <c r="H6" s="45" t="str">
        <f t="shared" si="0"/>
        <v>06/01/2025</v>
      </c>
      <c r="I6" s="47" t="str">
        <f>[1]Data2025!J5</f>
        <v>23/01/2025</v>
      </c>
      <c r="J6" s="48" t="str">
        <f>[1]Data2025!L5</f>
        <v>bola lampu hannock-45 watt</v>
      </c>
      <c r="K6" s="48" t="str">
        <f>[1]Data2025!M5</f>
        <v>Bola Lampu</v>
      </c>
      <c r="L6" s="49">
        <f>[1]Data2025!N5</f>
        <v>23</v>
      </c>
      <c r="M6" s="49" t="str">
        <f>[1]Data2025!O5</f>
        <v>buah</v>
      </c>
      <c r="N6" s="50">
        <f>[1]Data2025!P5</f>
        <v>77800</v>
      </c>
      <c r="O6" s="51">
        <f>[1]Data2025!Q5</f>
        <v>1789400</v>
      </c>
      <c r="P6" s="52" t="s">
        <v>41</v>
      </c>
      <c r="Q6" s="53" t="e">
        <f>VLOOKUP(K6,[1]Sheet1!$C$1:$D$101,2,)</f>
        <v>#N/A</v>
      </c>
      <c r="R6" s="54">
        <v>2200000</v>
      </c>
      <c r="S6" s="55">
        <v>2202000</v>
      </c>
      <c r="T6" s="56" t="str">
        <f>[1]Data2025!T5</f>
        <v>CV. GORIYAKU WIRATRADE</v>
      </c>
      <c r="U6" s="57" t="s">
        <v>35</v>
      </c>
      <c r="V6" s="56" t="str">
        <f>[1]Data2025!V5</f>
        <v>Wirawan Bazikho</v>
      </c>
      <c r="W6" s="56" t="str">
        <f>[1]Data2025!X5</f>
        <v>Jl. Diponegoro No. 87, Kel Pasar Telukdalam - Nias Selatan</v>
      </c>
      <c r="X6" s="57" t="s">
        <v>36</v>
      </c>
      <c r="Y6" s="57" t="str">
        <f t="shared" si="1"/>
        <v>Peralatan Listrik</v>
      </c>
      <c r="Z6" s="58" t="str">
        <f t="shared" si="2"/>
        <v>Peralatan Listrik</v>
      </c>
      <c r="AA6" s="59" t="s">
        <v>42</v>
      </c>
      <c r="AB6" s="60">
        <v>2200000</v>
      </c>
      <c r="AC6" s="60">
        <v>2200000</v>
      </c>
      <c r="AD6" s="54">
        <v>2200000</v>
      </c>
      <c r="AE6" s="61">
        <v>1981981.981981982</v>
      </c>
      <c r="AF6" s="61">
        <v>2200000</v>
      </c>
      <c r="AG6" s="62" t="s">
        <v>38</v>
      </c>
      <c r="AH6" s="63" t="str">
        <f>[1]Data2025!W5</f>
        <v>082166714290</v>
      </c>
    </row>
    <row r="7" spans="1:38" s="88" customFormat="1" ht="16.5" thickTop="1" thickBot="1">
      <c r="A7" s="64" t="str">
        <f>[1]Data2025!G6</f>
        <v>04</v>
      </c>
      <c r="B7" s="65" t="str">
        <f>[1]Data2025!K6</f>
        <v>BPU04</v>
      </c>
      <c r="C7" s="66" t="str">
        <f>[1]Data2025!D6</f>
        <v>06. 05. 08.</v>
      </c>
      <c r="D7" s="67" t="str">
        <f>[1]Data2025!C6</f>
        <v>5.1.02.01.01.0024</v>
      </c>
      <c r="E7" s="68">
        <f>[1]Data2025!E6</f>
        <v>45661</v>
      </c>
      <c r="F7" s="69" t="str">
        <f>[1]Data2025!F6</f>
        <v>06/01/2025</v>
      </c>
      <c r="G7" s="68" t="str">
        <f>[1]Data2025!H6</f>
        <v>06/01/2025</v>
      </c>
      <c r="H7" s="68" t="str">
        <f t="shared" si="0"/>
        <v>06/01/2025</v>
      </c>
      <c r="I7" s="70" t="str">
        <f>[1]Data2025!J6</f>
        <v>23/01/2025</v>
      </c>
      <c r="J7" s="71" t="str">
        <f>[1]Data2025!L6</f>
        <v>Plastik Mika</v>
      </c>
      <c r="K7" s="71" t="str">
        <f>[1]Data2025!M6</f>
        <v>Plastik Mika</v>
      </c>
      <c r="L7" s="72">
        <f>[1]Data2025!N6</f>
        <v>5</v>
      </c>
      <c r="M7" s="72" t="str">
        <f>[1]Data2025!O6</f>
        <v>bungkus</v>
      </c>
      <c r="N7" s="73">
        <f>[1]Data2025!P6</f>
        <v>60000</v>
      </c>
      <c r="O7" s="74">
        <f>[1]Data2025!Q6</f>
        <v>300000</v>
      </c>
      <c r="P7" s="75" t="s">
        <v>43</v>
      </c>
      <c r="Q7" s="76" t="str">
        <f>VLOOKUP(K7,[1]Sheet1!$C$1:$D$101,2,)</f>
        <v>Plastik Mika Jilid F4 (Length 21.0Cm, Width 33.0Cm, Height 7.0Cm, Weight 548Gr)</v>
      </c>
      <c r="R7" s="77">
        <v>360000</v>
      </c>
      <c r="S7" s="78">
        <v>366000</v>
      </c>
      <c r="T7" s="79" t="str">
        <f>[1]Data2025!T6</f>
        <v>UD. JOSUA</v>
      </c>
      <c r="U7" s="80" t="s">
        <v>35</v>
      </c>
      <c r="V7" s="79" t="str">
        <f>[1]Data2025!V6</f>
        <v>Gestiwan Bazikho</v>
      </c>
      <c r="W7" s="79" t="str">
        <f>[1]Data2025!X6</f>
        <v>Jl. Diponegoro Kel. Pasar Telukdalam - Nias Selatan</v>
      </c>
      <c r="X7" s="80" t="s">
        <v>36</v>
      </c>
      <c r="Y7" s="80" t="str">
        <f t="shared" si="1"/>
        <v>Alat Tulis Kantor (ATK)</v>
      </c>
      <c r="Z7" s="81" t="str">
        <f t="shared" si="2"/>
        <v>Alat Tulis Kantor (ATK)</v>
      </c>
      <c r="AA7" s="82" t="s">
        <v>42</v>
      </c>
      <c r="AB7" s="83">
        <v>120000</v>
      </c>
      <c r="AC7" s="83">
        <v>360000</v>
      </c>
      <c r="AD7" s="77">
        <v>360000</v>
      </c>
      <c r="AE7" s="84">
        <v>324324.32432432432</v>
      </c>
      <c r="AF7" s="84">
        <v>360000</v>
      </c>
      <c r="AG7" s="85" t="s">
        <v>38</v>
      </c>
      <c r="AH7" s="86" t="str">
        <f>[1]Data2025!W6</f>
        <v>081375309828</v>
      </c>
      <c r="AI7" s="87"/>
      <c r="AJ7" s="87"/>
    </row>
    <row r="8" spans="1:38" s="88" customFormat="1" ht="26" thickTop="1" thickBot="1">
      <c r="A8" s="64" t="str">
        <f>[1]Data2025!G7</f>
        <v>04</v>
      </c>
      <c r="B8" s="65" t="str">
        <f>[1]Data2025!K7</f>
        <v>BPU04</v>
      </c>
      <c r="C8" s="66" t="str">
        <f>[1]Data2025!D7</f>
        <v>06. 05. 08.</v>
      </c>
      <c r="D8" s="67" t="str">
        <f>[1]Data2025!C7</f>
        <v>5.1.02.01.01.0024</v>
      </c>
      <c r="E8" s="68">
        <f>[1]Data2025!E7</f>
        <v>45661</v>
      </c>
      <c r="F8" s="69" t="str">
        <f>[1]Data2025!F7</f>
        <v>06/01/2025</v>
      </c>
      <c r="G8" s="68" t="str">
        <f>[1]Data2025!H7</f>
        <v>06/01/2025</v>
      </c>
      <c r="H8" s="68" t="str">
        <f t="shared" si="0"/>
        <v>06/01/2025</v>
      </c>
      <c r="I8" s="70" t="str">
        <f>[1]Data2025!J7</f>
        <v>23/01/2025</v>
      </c>
      <c r="J8" s="71" t="str">
        <f>[1]Data2025!L7</f>
        <v>Kertas Warna Blank Folio, Ukuran : 8,5 x 14",  70 gram</v>
      </c>
      <c r="K8" s="71" t="str">
        <f>[1]Data2025!M7</f>
        <v>Kertas Warna Blank Folio, Ukuran : 8,5 x 14",  70 gram</v>
      </c>
      <c r="L8" s="72">
        <f>[1]Data2025!N7</f>
        <v>2</v>
      </c>
      <c r="M8" s="72" t="str">
        <f>[1]Data2025!O7</f>
        <v>rim</v>
      </c>
      <c r="N8" s="73">
        <f>[1]Data2025!P7</f>
        <v>90000</v>
      </c>
      <c r="O8" s="74">
        <f>[1]Data2025!Q7</f>
        <v>180000</v>
      </c>
      <c r="P8" s="75" t="s">
        <v>43</v>
      </c>
      <c r="Q8" s="76" t="str">
        <f>VLOOKUP(K8,[1]Sheet1!$C$1:$D$101,2,)</f>
        <v>Kertas Hvs Warna 70 Gsm (Length 21.0Cm, Width 33.0Cm, Height 7.0Cm, Weight 2400Gr)</v>
      </c>
      <c r="R8" s="77">
        <v>550000</v>
      </c>
      <c r="S8" s="78">
        <v>750000</v>
      </c>
      <c r="T8" s="79" t="str">
        <f>[1]Data2025!T7</f>
        <v>UD. JOSUA</v>
      </c>
      <c r="U8" s="80" t="s">
        <v>35</v>
      </c>
      <c r="V8" s="79" t="str">
        <f>[1]Data2025!V7</f>
        <v>Gestiwan Bazikho</v>
      </c>
      <c r="W8" s="79" t="str">
        <f>[1]Data2025!X7</f>
        <v>Jl. Diponegoro Kel. Pasar Telukdalam - Nias Selatan</v>
      </c>
      <c r="X8" s="80" t="s">
        <v>36</v>
      </c>
      <c r="Y8" s="80" t="str">
        <f t="shared" si="1"/>
        <v>Alat Tulis Kantor (ATK)</v>
      </c>
      <c r="Z8" s="81" t="str">
        <f t="shared" si="2"/>
        <v>Alat Tulis Kantor (ATK)</v>
      </c>
      <c r="AA8" s="82" t="s">
        <v>42</v>
      </c>
      <c r="AB8" s="83">
        <v>5500</v>
      </c>
      <c r="AC8" s="83">
        <v>550000</v>
      </c>
      <c r="AD8" s="77">
        <v>550000</v>
      </c>
      <c r="AE8" s="84">
        <v>495495.4954954955</v>
      </c>
      <c r="AF8" s="84">
        <v>550000</v>
      </c>
      <c r="AG8" s="85" t="s">
        <v>38</v>
      </c>
      <c r="AH8" s="86" t="str">
        <f>[1]Data2025!W7</f>
        <v>081375309828</v>
      </c>
    </row>
    <row r="9" spans="1:38" s="88" customFormat="1" ht="16.5" thickTop="1" thickBot="1">
      <c r="A9" s="64" t="str">
        <f>[1]Data2025!G8</f>
        <v>04</v>
      </c>
      <c r="B9" s="65" t="str">
        <f>[1]Data2025!K8</f>
        <v>BPU04</v>
      </c>
      <c r="C9" s="66" t="str">
        <f>[1]Data2025!D8</f>
        <v>06. 05. 08.</v>
      </c>
      <c r="D9" s="67" t="str">
        <f>[1]Data2025!C8</f>
        <v>5.1.02.01.01.0024</v>
      </c>
      <c r="E9" s="68">
        <f>[1]Data2025!E8</f>
        <v>45661</v>
      </c>
      <c r="F9" s="69" t="str">
        <f>[1]Data2025!F8</f>
        <v>06/01/2025</v>
      </c>
      <c r="G9" s="68" t="str">
        <f>[1]Data2025!H8</f>
        <v>06/01/2025</v>
      </c>
      <c r="H9" s="68" t="str">
        <f t="shared" si="0"/>
        <v>06/01/2025</v>
      </c>
      <c r="I9" s="70" t="str">
        <f>[1]Data2025!J8</f>
        <v>23/01/2025</v>
      </c>
      <c r="J9" s="71" t="str">
        <f>[1]Data2025!L8</f>
        <v>Kertas Lain-Lain Kertas Buffalo</v>
      </c>
      <c r="K9" s="71" t="str">
        <f>[1]Data2025!M8</f>
        <v>Kertas Lain-Lain Kertas Buffalo</v>
      </c>
      <c r="L9" s="72">
        <f>[1]Data2025!N8</f>
        <v>5</v>
      </c>
      <c r="M9" s="72" t="str">
        <f>[1]Data2025!O8</f>
        <v>bungkus</v>
      </c>
      <c r="N9" s="73">
        <f>[1]Data2025!P8</f>
        <v>31000</v>
      </c>
      <c r="O9" s="74">
        <f>[1]Data2025!Q8</f>
        <v>155000</v>
      </c>
      <c r="P9" s="75" t="s">
        <v>43</v>
      </c>
      <c r="Q9" s="76" t="str">
        <f>VLOOKUP(K9,[1]Sheet1!$C$1:$D$101,2,)</f>
        <v>Kertas Buffalo F4 (Length 21.0Cm, Width 33.0Cm, Height 7.0Cm, Weight 1006Gr)</v>
      </c>
      <c r="R9" s="77">
        <v>120000</v>
      </c>
      <c r="S9" s="78">
        <v>124000</v>
      </c>
      <c r="T9" s="79" t="str">
        <f>[1]Data2025!T8</f>
        <v>UD. JOSUA</v>
      </c>
      <c r="U9" s="80" t="s">
        <v>35</v>
      </c>
      <c r="V9" s="79" t="str">
        <f>[1]Data2025!V8</f>
        <v>Gestiwan Bazikho</v>
      </c>
      <c r="W9" s="79" t="str">
        <f>[1]Data2025!X8</f>
        <v>Jl. Diponegoro Kel. Pasar Telukdalam - Nias Selatan</v>
      </c>
      <c r="X9" s="80" t="s">
        <v>36</v>
      </c>
      <c r="Y9" s="80" t="str">
        <f t="shared" si="1"/>
        <v>Alat Tulis Kantor (ATK)</v>
      </c>
      <c r="Z9" s="81" t="str">
        <f t="shared" si="2"/>
        <v>Alat Tulis Kantor (ATK)</v>
      </c>
      <c r="AA9" s="82" t="s">
        <v>44</v>
      </c>
      <c r="AB9" s="83">
        <v>60000</v>
      </c>
      <c r="AC9" s="83">
        <v>120000</v>
      </c>
      <c r="AD9" s="77">
        <v>120000</v>
      </c>
      <c r="AE9" s="84">
        <v>108108.10810810811</v>
      </c>
      <c r="AF9" s="84">
        <v>120000</v>
      </c>
      <c r="AG9" s="85" t="s">
        <v>38</v>
      </c>
      <c r="AH9" s="86" t="str">
        <f>[1]Data2025!W8</f>
        <v>081375309828</v>
      </c>
    </row>
    <row r="10" spans="1:38" s="88" customFormat="1" ht="26" thickTop="1" thickBot="1">
      <c r="A10" s="64" t="str">
        <f>[1]Data2025!G9</f>
        <v>04</v>
      </c>
      <c r="B10" s="65" t="str">
        <f>[1]Data2025!K9</f>
        <v>BPU04</v>
      </c>
      <c r="C10" s="66" t="str">
        <f>[1]Data2025!D9</f>
        <v>06. 05. 08.</v>
      </c>
      <c r="D10" s="67" t="str">
        <f>[1]Data2025!C9</f>
        <v>5.1.02.01.01.0024</v>
      </c>
      <c r="E10" s="68">
        <f>[1]Data2025!E9</f>
        <v>45661</v>
      </c>
      <c r="F10" s="69" t="str">
        <f>[1]Data2025!F9</f>
        <v>06/01/2025</v>
      </c>
      <c r="G10" s="68" t="str">
        <f>[1]Data2025!H9</f>
        <v>06/01/2025</v>
      </c>
      <c r="H10" s="68" t="str">
        <f t="shared" si="0"/>
        <v>06/01/2025</v>
      </c>
      <c r="I10" s="70" t="str">
        <f>[1]Data2025!J9</f>
        <v>23/01/2025</v>
      </c>
      <c r="J10" s="71" t="str">
        <f>[1]Data2025!L9</f>
        <v>Kertas Post-It Warna Warni  Sign Here</v>
      </c>
      <c r="K10" s="71" t="str">
        <f>[1]Data2025!M9</f>
        <v>Kertas Post-It Warna Warni  Sign Here</v>
      </c>
      <c r="L10" s="72">
        <f>[1]Data2025!N9</f>
        <v>5</v>
      </c>
      <c r="M10" s="72" t="str">
        <f>[1]Data2025!O9</f>
        <v>buah</v>
      </c>
      <c r="N10" s="73">
        <f>[1]Data2025!P9</f>
        <v>22800</v>
      </c>
      <c r="O10" s="74">
        <f>[1]Data2025!Q9</f>
        <v>114000</v>
      </c>
      <c r="P10" s="75" t="s">
        <v>43</v>
      </c>
      <c r="Q10" s="76" t="str">
        <f>VLOOKUP(K10,[1]Sheet1!$C$1:$D$101,2,)</f>
        <v>Post It Warna Warni (Length 7.0Cm, Width 7.0Cm, Height 7.0Cm, Weight 44Gr)</v>
      </c>
      <c r="R10" s="77">
        <v>40000</v>
      </c>
      <c r="S10" s="78">
        <v>44000</v>
      </c>
      <c r="T10" s="79" t="str">
        <f>[1]Data2025!T9</f>
        <v>UD. JOSUA</v>
      </c>
      <c r="U10" s="80" t="s">
        <v>35</v>
      </c>
      <c r="V10" s="79" t="str">
        <f>[1]Data2025!V9</f>
        <v>Gestiwan Bazikho</v>
      </c>
      <c r="W10" s="79" t="str">
        <f>[1]Data2025!X9</f>
        <v>Jl. Diponegoro Kel. Pasar Telukdalam - Nias Selatan</v>
      </c>
      <c r="X10" s="80" t="s">
        <v>36</v>
      </c>
      <c r="Y10" s="80" t="str">
        <f t="shared" si="1"/>
        <v>Alat Tulis Kantor (ATK)</v>
      </c>
      <c r="Z10" s="81" t="str">
        <f t="shared" si="2"/>
        <v>Alat Tulis Kantor (ATK)</v>
      </c>
      <c r="AA10" s="82" t="s">
        <v>42</v>
      </c>
      <c r="AB10" s="83">
        <v>20000</v>
      </c>
      <c r="AC10" s="83">
        <v>40000</v>
      </c>
      <c r="AD10" s="77">
        <v>40000</v>
      </c>
      <c r="AE10" s="84">
        <v>36036.036036036036</v>
      </c>
      <c r="AF10" s="84">
        <v>40000</v>
      </c>
      <c r="AG10" s="85" t="s">
        <v>38</v>
      </c>
      <c r="AH10" s="86" t="str">
        <f>[1]Data2025!W9</f>
        <v>081375309828</v>
      </c>
      <c r="AK10" s="89" t="s">
        <v>45</v>
      </c>
    </row>
    <row r="11" spans="1:38" s="88" customFormat="1" ht="26" thickTop="1" thickBot="1">
      <c r="A11" s="64" t="str">
        <f>[1]Data2025!G10</f>
        <v>04</v>
      </c>
      <c r="B11" s="65" t="str">
        <f>[1]Data2025!K10</f>
        <v>BPU04</v>
      </c>
      <c r="C11" s="66" t="str">
        <f>[1]Data2025!D10</f>
        <v>06. 05. 08.</v>
      </c>
      <c r="D11" s="67" t="str">
        <f>[1]Data2025!C10</f>
        <v>5.1.02.01.01.0024</v>
      </c>
      <c r="E11" s="68">
        <f>[1]Data2025!E10</f>
        <v>45661</v>
      </c>
      <c r="F11" s="69" t="str">
        <f>[1]Data2025!F10</f>
        <v>06/01/2025</v>
      </c>
      <c r="G11" s="68" t="str">
        <f>[1]Data2025!H10</f>
        <v>06/01/2025</v>
      </c>
      <c r="H11" s="68" t="str">
        <f t="shared" si="0"/>
        <v>06/01/2025</v>
      </c>
      <c r="I11" s="70" t="str">
        <f>[1]Data2025!J10</f>
        <v>23/01/2025</v>
      </c>
      <c r="J11" s="71" t="str">
        <f>[1]Data2025!L10</f>
        <v>Kertas HVS 60 gram Merk : Paper One HVS F4 uk. 8.27"x11.69"</v>
      </c>
      <c r="K11" s="71" t="str">
        <f>[1]Data2025!M10</f>
        <v>Kertas HVS 60 gram Merk : Paper One HVS F4 uk. 8.27"x11.69"</v>
      </c>
      <c r="L11" s="72">
        <f>[1]Data2025!N10</f>
        <v>10</v>
      </c>
      <c r="M11" s="72" t="str">
        <f>[1]Data2025!O10</f>
        <v>rim</v>
      </c>
      <c r="N11" s="73">
        <f>[1]Data2025!P10</f>
        <v>48500</v>
      </c>
      <c r="O11" s="74">
        <f>[1]Data2025!Q10</f>
        <v>485000</v>
      </c>
      <c r="P11" s="75" t="s">
        <v>43</v>
      </c>
      <c r="Q11" s="76" t="str">
        <f>VLOOKUP(K11,[1]Sheet1!$C$1:$D$101,2,)</f>
        <v>Kertas Hvs 60Gsm Paper One F4 (Length 33.0Cm, Width 21.0Cm, Height 7.0Cm, Weight 1400Gr)</v>
      </c>
      <c r="R11" s="77">
        <v>155000</v>
      </c>
      <c r="S11" s="78">
        <v>165000</v>
      </c>
      <c r="T11" s="79" t="str">
        <f>[1]Data2025!T10</f>
        <v>UD. JOSUA</v>
      </c>
      <c r="U11" s="80" t="s">
        <v>35</v>
      </c>
      <c r="V11" s="79" t="str">
        <f>[1]Data2025!V10</f>
        <v>Gestiwan Bazikho</v>
      </c>
      <c r="W11" s="79" t="str">
        <f>[1]Data2025!X10</f>
        <v>Jl. Diponegoro Kel. Pasar Telukdalam - Nias Selatan</v>
      </c>
      <c r="X11" s="80" t="s">
        <v>36</v>
      </c>
      <c r="Y11" s="80" t="str">
        <f t="shared" si="1"/>
        <v>Alat Tulis Kantor (ATK)</v>
      </c>
      <c r="Z11" s="81" t="str">
        <f t="shared" si="2"/>
        <v>Alat Tulis Kantor (ATK)</v>
      </c>
      <c r="AA11" s="82" t="s">
        <v>44</v>
      </c>
      <c r="AB11" s="83">
        <v>31000</v>
      </c>
      <c r="AC11" s="83">
        <v>155000</v>
      </c>
      <c r="AD11" s="77">
        <v>155000</v>
      </c>
      <c r="AE11" s="84">
        <v>139639.63963963964</v>
      </c>
      <c r="AF11" s="84">
        <v>155000</v>
      </c>
      <c r="AG11" s="85" t="s">
        <v>38</v>
      </c>
      <c r="AH11" s="86" t="str">
        <f>[1]Data2025!W10</f>
        <v>081375309828</v>
      </c>
      <c r="AK11" s="89" t="s">
        <v>46</v>
      </c>
    </row>
    <row r="12" spans="1:38" s="88" customFormat="1" ht="38.5" thickTop="1" thickBot="1">
      <c r="A12" s="64" t="str">
        <f>[1]Data2025!G11</f>
        <v>04</v>
      </c>
      <c r="B12" s="65" t="str">
        <f>[1]Data2025!K11</f>
        <v>BPU04</v>
      </c>
      <c r="C12" s="66" t="str">
        <f>[1]Data2025!D11</f>
        <v>06. 05. 08.</v>
      </c>
      <c r="D12" s="67" t="str">
        <f>[1]Data2025!C11</f>
        <v>5.1.02.01.01.0024</v>
      </c>
      <c r="E12" s="68">
        <f>[1]Data2025!E11</f>
        <v>45661</v>
      </c>
      <c r="F12" s="69" t="str">
        <f>[1]Data2025!F11</f>
        <v>06/01/2025</v>
      </c>
      <c r="G12" s="68" t="str">
        <f>[1]Data2025!H11</f>
        <v>06/01/2025</v>
      </c>
      <c r="H12" s="68" t="str">
        <f t="shared" si="0"/>
        <v>06/01/2025</v>
      </c>
      <c r="I12" s="70" t="str">
        <f>[1]Data2025!J11</f>
        <v>23/01/2025</v>
      </c>
      <c r="J12" s="71" t="str">
        <f>[1]Data2025!L11</f>
        <v>Kertas HVS 80 gram Merk : Paper One A4, Ukuran : 8,27" x 11,69", Isi : 500 lembar</v>
      </c>
      <c r="K12" s="71" t="str">
        <f>[1]Data2025!M11</f>
        <v>Kertas HVS 80 gram Merk : Paper One A4, Ukuran : 8,27" x 11,69", Isi : 500 lembar</v>
      </c>
      <c r="L12" s="72">
        <f>[1]Data2025!N11</f>
        <v>40</v>
      </c>
      <c r="M12" s="72" t="str">
        <f>[1]Data2025!O11</f>
        <v>rim</v>
      </c>
      <c r="N12" s="73">
        <f>[1]Data2025!P11</f>
        <v>50000</v>
      </c>
      <c r="O12" s="74">
        <f>[1]Data2025!Q11</f>
        <v>2000000</v>
      </c>
      <c r="P12" s="75" t="s">
        <v>43</v>
      </c>
      <c r="Q12" s="76" t="str">
        <f>VLOOKUP(K12,[1]Sheet1!$C$1:$D$101,2,)</f>
        <v>Kertas Hvs 80 Gram Merk : Paper One A4, Ukuran : 8,27" X 11,69", Isi : 500 Lembar</v>
      </c>
      <c r="R12" s="77">
        <v>50000</v>
      </c>
      <c r="S12" s="78">
        <v>60000</v>
      </c>
      <c r="T12" s="79" t="str">
        <f>[1]Data2025!T11</f>
        <v>UD. JOSUA</v>
      </c>
      <c r="U12" s="80" t="s">
        <v>35</v>
      </c>
      <c r="V12" s="79" t="str">
        <f>[1]Data2025!V11</f>
        <v>Gestiwan Bazikho</v>
      </c>
      <c r="W12" s="79" t="str">
        <f>[1]Data2025!X11</f>
        <v>Jl. Diponegoro Kel. Pasar Telukdalam - Nias Selatan</v>
      </c>
      <c r="X12" s="80" t="s">
        <v>36</v>
      </c>
      <c r="Y12" s="80" t="str">
        <f t="shared" si="1"/>
        <v>Alat Tulis Kantor (ATK)</v>
      </c>
      <c r="Z12" s="81" t="str">
        <f t="shared" si="2"/>
        <v>Alat Tulis Kantor (ATK)</v>
      </c>
      <c r="AA12" s="82" t="s">
        <v>42</v>
      </c>
      <c r="AB12" s="83">
        <v>10000</v>
      </c>
      <c r="AC12" s="83">
        <v>50000</v>
      </c>
      <c r="AD12" s="77">
        <v>50000</v>
      </c>
      <c r="AE12" s="84">
        <v>45045.045045045044</v>
      </c>
      <c r="AF12" s="84">
        <v>50000</v>
      </c>
      <c r="AG12" s="85" t="s">
        <v>38</v>
      </c>
      <c r="AH12" s="86" t="str">
        <f>[1]Data2025!W11</f>
        <v>081375309828</v>
      </c>
    </row>
    <row r="13" spans="1:38" s="88" customFormat="1" ht="16.5" thickTop="1" thickBot="1">
      <c r="A13" s="64" t="str">
        <f>[1]Data2025!G12</f>
        <v>04</v>
      </c>
      <c r="B13" s="65" t="str">
        <f>[1]Data2025!K12</f>
        <v>BPU04</v>
      </c>
      <c r="C13" s="66" t="str">
        <f>[1]Data2025!D12</f>
        <v>06. 05. 08.</v>
      </c>
      <c r="D13" s="67" t="str">
        <f>[1]Data2025!C12</f>
        <v>5.1.02.01.01.0024</v>
      </c>
      <c r="E13" s="68">
        <f>[1]Data2025!E12</f>
        <v>45661</v>
      </c>
      <c r="F13" s="69" t="str">
        <f>[1]Data2025!F12</f>
        <v>06/01/2025</v>
      </c>
      <c r="G13" s="68" t="str">
        <f>[1]Data2025!H12</f>
        <v>06/01/2025</v>
      </c>
      <c r="H13" s="68" t="str">
        <f t="shared" si="0"/>
        <v>06/01/2025</v>
      </c>
      <c r="I13" s="70" t="str">
        <f>[1]Data2025!J12</f>
        <v>23/01/2025</v>
      </c>
      <c r="J13" s="71" t="str">
        <f>[1]Data2025!L12</f>
        <v>Kertas StensiI</v>
      </c>
      <c r="K13" s="71" t="str">
        <f>[1]Data2025!M12</f>
        <v>Kertas StensiI</v>
      </c>
      <c r="L13" s="72">
        <f>[1]Data2025!N12</f>
        <v>10</v>
      </c>
      <c r="M13" s="72" t="str">
        <f>[1]Data2025!O12</f>
        <v>bungkus</v>
      </c>
      <c r="N13" s="73">
        <f>[1]Data2025!P12</f>
        <v>50000</v>
      </c>
      <c r="O13" s="74">
        <f>[1]Data2025!Q12</f>
        <v>500000</v>
      </c>
      <c r="P13" s="75" t="s">
        <v>43</v>
      </c>
      <c r="Q13" s="76" t="str">
        <f>VLOOKUP(K13,[1]Sheet1!$C$1:$D$101,2,)</f>
        <v>Kertas Stencil Folio (Length 33.0Cm, Width 21.0Cm, Height 5.0Cm, Weight 1400Gr)</v>
      </c>
      <c r="R13" s="77">
        <v>40000</v>
      </c>
      <c r="S13" s="78">
        <v>44000</v>
      </c>
      <c r="T13" s="79" t="str">
        <f>[1]Data2025!T12</f>
        <v>UD. JOSUA</v>
      </c>
      <c r="U13" s="80" t="s">
        <v>35</v>
      </c>
      <c r="V13" s="79" t="str">
        <f>[1]Data2025!V12</f>
        <v>Gestiwan Bazikho</v>
      </c>
      <c r="W13" s="79" t="str">
        <f>[1]Data2025!X12</f>
        <v>Jl. Diponegoro Kel. Pasar Telukdalam - Nias Selatan</v>
      </c>
      <c r="X13" s="80" t="s">
        <v>36</v>
      </c>
      <c r="Y13" s="80" t="str">
        <f t="shared" si="1"/>
        <v>Alat Tulis Kantor (ATK)</v>
      </c>
      <c r="Z13" s="81" t="str">
        <f t="shared" si="2"/>
        <v>Alat Tulis Kantor (ATK)</v>
      </c>
      <c r="AA13" s="82" t="s">
        <v>47</v>
      </c>
      <c r="AB13" s="83">
        <v>20000</v>
      </c>
      <c r="AC13" s="83">
        <v>40000</v>
      </c>
      <c r="AD13" s="77">
        <v>40000</v>
      </c>
      <c r="AE13" s="84">
        <v>36036.036036036036</v>
      </c>
      <c r="AF13" s="84">
        <v>40000</v>
      </c>
      <c r="AG13" s="85" t="s">
        <v>38</v>
      </c>
      <c r="AH13" s="86" t="str">
        <f>[1]Data2025!W12</f>
        <v>081375309828</v>
      </c>
    </row>
    <row r="14" spans="1:38" s="88" customFormat="1" ht="16.5" thickTop="1" thickBot="1">
      <c r="A14" s="64" t="str">
        <f>[1]Data2025!G13</f>
        <v>04</v>
      </c>
      <c r="B14" s="65" t="str">
        <f>[1]Data2025!K13</f>
        <v>BPU04</v>
      </c>
      <c r="C14" s="66" t="str">
        <f>[1]Data2025!D13</f>
        <v>06. 05. 08.</v>
      </c>
      <c r="D14" s="67" t="str">
        <f>[1]Data2025!C13</f>
        <v>5.1.02.01.01.0024</v>
      </c>
      <c r="E14" s="68">
        <f>[1]Data2025!E13</f>
        <v>45661</v>
      </c>
      <c r="F14" s="69" t="str">
        <f>[1]Data2025!F13</f>
        <v>06/01/2025</v>
      </c>
      <c r="G14" s="68" t="str">
        <f>[1]Data2025!H13</f>
        <v>06/01/2025</v>
      </c>
      <c r="H14" s="68" t="str">
        <f t="shared" si="0"/>
        <v>06/01/2025</v>
      </c>
      <c r="I14" s="70" t="str">
        <f>[1]Data2025!J13</f>
        <v>23/01/2025</v>
      </c>
      <c r="J14" s="71" t="str">
        <f>[1]Data2025!L13</f>
        <v>Kertas Label</v>
      </c>
      <c r="K14" s="71" t="str">
        <f>[1]Data2025!M13</f>
        <v>Kertas Label</v>
      </c>
      <c r="L14" s="72">
        <f>[1]Data2025!N13</f>
        <v>5</v>
      </c>
      <c r="M14" s="72" t="str">
        <f>[1]Data2025!O13</f>
        <v>lembar</v>
      </c>
      <c r="N14" s="73">
        <f>[1]Data2025!P13</f>
        <v>25000</v>
      </c>
      <c r="O14" s="74">
        <f>[1]Data2025!Q13</f>
        <v>125000</v>
      </c>
      <c r="P14" s="75" t="s">
        <v>43</v>
      </c>
      <c r="Q14" s="76" t="str">
        <f>VLOOKUP(K14,[1]Sheet1!$C$1:$D$101,2,)</f>
        <v>KERTAS LEBEL KOTAK (Length 5.0cm, Width 5.0cm, Height 7.0cm, Weight 5gr)</v>
      </c>
      <c r="R14" s="77">
        <v>396000</v>
      </c>
      <c r="S14" s="78">
        <v>420000</v>
      </c>
      <c r="T14" s="79" t="str">
        <f>[1]Data2025!T13</f>
        <v>UD. JOSUA</v>
      </c>
      <c r="U14" s="80" t="s">
        <v>35</v>
      </c>
      <c r="V14" s="79" t="str">
        <f>[1]Data2025!V13</f>
        <v>Gestiwan Bazikho</v>
      </c>
      <c r="W14" s="79" t="str">
        <f>[1]Data2025!X13</f>
        <v>Jl. Diponegoro Kel. Pasar Telukdalam - Nias Selatan</v>
      </c>
      <c r="X14" s="80" t="s">
        <v>36</v>
      </c>
      <c r="Y14" s="80" t="str">
        <f t="shared" si="1"/>
        <v>Alat Tulis Kantor (ATK)</v>
      </c>
      <c r="Z14" s="81" t="str">
        <f t="shared" si="2"/>
        <v>Alat Tulis Kantor (ATK)</v>
      </c>
      <c r="AA14" s="82" t="s">
        <v>48</v>
      </c>
      <c r="AB14" s="83">
        <v>33000</v>
      </c>
      <c r="AC14" s="83">
        <v>396000</v>
      </c>
      <c r="AD14" s="77">
        <v>396000</v>
      </c>
      <c r="AE14" s="84">
        <v>356756.75675675675</v>
      </c>
      <c r="AF14" s="84">
        <v>396000</v>
      </c>
      <c r="AG14" s="85" t="s">
        <v>38</v>
      </c>
      <c r="AH14" s="86" t="str">
        <f>[1]Data2025!W13</f>
        <v>081375309828</v>
      </c>
      <c r="AK14" s="89" t="s">
        <v>45</v>
      </c>
    </row>
    <row r="15" spans="1:38" s="88" customFormat="1" ht="26" thickTop="1" thickBot="1">
      <c r="A15" s="64" t="str">
        <f>[1]Data2025!G14</f>
        <v>04</v>
      </c>
      <c r="B15" s="65" t="str">
        <f>[1]Data2025!K14</f>
        <v>BPU04</v>
      </c>
      <c r="C15" s="66" t="str">
        <f>[1]Data2025!D14</f>
        <v>06. 05. 08.</v>
      </c>
      <c r="D15" s="67" t="str">
        <f>[1]Data2025!C14</f>
        <v>5.1.02.01.01.0024</v>
      </c>
      <c r="E15" s="68">
        <f>[1]Data2025!E14</f>
        <v>45661</v>
      </c>
      <c r="F15" s="69" t="str">
        <f>[1]Data2025!F14</f>
        <v>06/01/2025</v>
      </c>
      <c r="G15" s="68" t="str">
        <f>[1]Data2025!H14</f>
        <v>06/01/2025</v>
      </c>
      <c r="H15" s="68" t="str">
        <f t="shared" si="0"/>
        <v>06/01/2025</v>
      </c>
      <c r="I15" s="70" t="str">
        <f>[1]Data2025!J14</f>
        <v>23/01/2025</v>
      </c>
      <c r="J15" s="71" t="str">
        <f>[1]Data2025!L14</f>
        <v>Amplop Coklat Merk : GSU Ukuran : 1/2 folio, bergaris</v>
      </c>
      <c r="K15" s="71" t="str">
        <f>[1]Data2025!M14</f>
        <v>Amplop Coklat Merk : GSU Ukuran : 1/2 folio, bergaris</v>
      </c>
      <c r="L15" s="72">
        <f>[1]Data2025!N14</f>
        <v>1</v>
      </c>
      <c r="M15" s="72" t="str">
        <f>[1]Data2025!O14</f>
        <v>bungkus</v>
      </c>
      <c r="N15" s="73">
        <f>[1]Data2025!P14</f>
        <v>45000</v>
      </c>
      <c r="O15" s="74">
        <f>[1]Data2025!Q14</f>
        <v>45000</v>
      </c>
      <c r="P15" s="75" t="s">
        <v>43</v>
      </c>
      <c r="Q15" s="76" t="str">
        <f>VLOOKUP(K15,[1]Sheet1!$C$1:$D$101,2,)</f>
        <v>Amplop Coklat (Merk : GSU Ukuran : 1/2 folio, bergaris)</v>
      </c>
      <c r="R15" s="77">
        <v>75000</v>
      </c>
      <c r="S15" s="78">
        <v>85000</v>
      </c>
      <c r="T15" s="79" t="str">
        <f>[1]Data2025!T14</f>
        <v>UD. JOSUA</v>
      </c>
      <c r="U15" s="80" t="s">
        <v>35</v>
      </c>
      <c r="V15" s="79" t="str">
        <f>[1]Data2025!V14</f>
        <v>Gestiwan Bazikho</v>
      </c>
      <c r="W15" s="79" t="str">
        <f>[1]Data2025!X14</f>
        <v>Jl. Diponegoro Kel. Pasar Telukdalam - Nias Selatan</v>
      </c>
      <c r="X15" s="80" t="s">
        <v>36</v>
      </c>
      <c r="Y15" s="80" t="str">
        <f t="shared" si="1"/>
        <v>Alat Tulis Kantor (ATK)</v>
      </c>
      <c r="Z15" s="81" t="str">
        <f t="shared" si="2"/>
        <v>Alat Tulis Kantor (ATK)</v>
      </c>
      <c r="AA15" s="82" t="s">
        <v>42</v>
      </c>
      <c r="AB15" s="83">
        <v>15000</v>
      </c>
      <c r="AC15" s="83">
        <v>75000</v>
      </c>
      <c r="AD15" s="77">
        <v>75000</v>
      </c>
      <c r="AE15" s="84">
        <v>67567.567567567574</v>
      </c>
      <c r="AF15" s="84">
        <v>75000</v>
      </c>
      <c r="AG15" s="85" t="s">
        <v>38</v>
      </c>
      <c r="AH15" s="86" t="str">
        <f>[1]Data2025!W14</f>
        <v>081375309828</v>
      </c>
    </row>
    <row r="16" spans="1:38" s="88" customFormat="1" ht="26" thickTop="1" thickBot="1">
      <c r="A16" s="64" t="str">
        <f>[1]Data2025!G15</f>
        <v>04</v>
      </c>
      <c r="B16" s="65" t="str">
        <f>[1]Data2025!K15</f>
        <v>BPU04</v>
      </c>
      <c r="C16" s="66" t="str">
        <f>[1]Data2025!D15</f>
        <v>06. 05. 08.</v>
      </c>
      <c r="D16" s="67" t="str">
        <f>[1]Data2025!C15</f>
        <v>5.1.02.01.01.0024</v>
      </c>
      <c r="E16" s="68">
        <f>[1]Data2025!E15</f>
        <v>45661</v>
      </c>
      <c r="F16" s="69" t="str">
        <f>[1]Data2025!F15</f>
        <v>06/01/2025</v>
      </c>
      <c r="G16" s="68" t="str">
        <f>[1]Data2025!H15</f>
        <v>06/01/2025</v>
      </c>
      <c r="H16" s="68" t="str">
        <f t="shared" si="0"/>
        <v>06/01/2025</v>
      </c>
      <c r="I16" s="70" t="str">
        <f>[1]Data2025!J15</f>
        <v>23/01/2025</v>
      </c>
      <c r="J16" s="71" t="str">
        <f>[1]Data2025!L15</f>
        <v>Amplop Coklat Merk : Garda Ukuran Cabinet</v>
      </c>
      <c r="K16" s="71" t="str">
        <f>[1]Data2025!M15</f>
        <v>Amplop Coklat Merk : Garda Ukuran Cabinet</v>
      </c>
      <c r="L16" s="72">
        <f>[1]Data2025!N15</f>
        <v>3</v>
      </c>
      <c r="M16" s="72" t="str">
        <f>[1]Data2025!O15</f>
        <v>bungkus</v>
      </c>
      <c r="N16" s="73">
        <f>[1]Data2025!P15</f>
        <v>23000</v>
      </c>
      <c r="O16" s="74">
        <f>[1]Data2025!Q15</f>
        <v>69000</v>
      </c>
      <c r="P16" s="75" t="s">
        <v>43</v>
      </c>
      <c r="Q16" s="76" t="str">
        <f>VLOOKUP(K16,[1]Sheet1!$C$1:$D$101,2,)</f>
        <v>Amplop (Merk : Amplop Garda Ukuran : Super Kabinet Warna : Coklat polos Isi / Pack :100 pcs Ukuran : 14 cm x 27 cm)</v>
      </c>
      <c r="R16" s="77">
        <v>300000</v>
      </c>
      <c r="S16" s="78">
        <v>60000</v>
      </c>
      <c r="T16" s="79" t="str">
        <f>[1]Data2025!T15</f>
        <v>UD. JOSUA</v>
      </c>
      <c r="U16" s="80" t="s">
        <v>35</v>
      </c>
      <c r="V16" s="79" t="str">
        <f>[1]Data2025!V15</f>
        <v>Gestiwan Bazikho</v>
      </c>
      <c r="W16" s="79" t="str">
        <f>[1]Data2025!X15</f>
        <v>Jl. Diponegoro Kel. Pasar Telukdalam - Nias Selatan</v>
      </c>
      <c r="X16" s="80" t="s">
        <v>36</v>
      </c>
      <c r="Y16" s="80" t="str">
        <f t="shared" si="1"/>
        <v>Alat Tulis Kantor (ATK)</v>
      </c>
      <c r="Z16" s="81" t="str">
        <f t="shared" si="2"/>
        <v>Alat Tulis Kantor (ATK)</v>
      </c>
      <c r="AA16" s="82" t="s">
        <v>42</v>
      </c>
      <c r="AB16" s="83">
        <v>10000</v>
      </c>
      <c r="AC16" s="83">
        <v>50000</v>
      </c>
      <c r="AD16" s="77">
        <v>300000</v>
      </c>
      <c r="AE16" s="84">
        <v>270270.2702702703</v>
      </c>
      <c r="AF16" s="84">
        <v>300000</v>
      </c>
      <c r="AG16" s="85" t="s">
        <v>38</v>
      </c>
      <c r="AH16" s="86" t="str">
        <f>[1]Data2025!W15</f>
        <v>081375309828</v>
      </c>
    </row>
    <row r="17" spans="1:37" s="88" customFormat="1" ht="26" thickTop="1" thickBot="1">
      <c r="A17" s="64" t="str">
        <f>[1]Data2025!G16</f>
        <v>04</v>
      </c>
      <c r="B17" s="65" t="str">
        <f>[1]Data2025!K16</f>
        <v>BPU04</v>
      </c>
      <c r="C17" s="66" t="str">
        <f>[1]Data2025!D16</f>
        <v>06. 05. 08.</v>
      </c>
      <c r="D17" s="67" t="str">
        <f>[1]Data2025!C16</f>
        <v>5.1.02.01.01.0024</v>
      </c>
      <c r="E17" s="68">
        <f>[1]Data2025!E16</f>
        <v>45661</v>
      </c>
      <c r="F17" s="69" t="str">
        <f>[1]Data2025!F16</f>
        <v>06/01/2025</v>
      </c>
      <c r="G17" s="68" t="str">
        <f>[1]Data2025!H16</f>
        <v>06/01/2025</v>
      </c>
      <c r="H17" s="68" t="str">
        <f t="shared" si="0"/>
        <v>06/01/2025</v>
      </c>
      <c r="I17" s="70" t="str">
        <f>[1]Data2025!J16</f>
        <v>23/01/2025</v>
      </c>
      <c r="J17" s="71" t="str">
        <f>[1]Data2025!L16</f>
        <v>Amplop Coklat Merk : GSU Ukuran Folio polos</v>
      </c>
      <c r="K17" s="71" t="str">
        <f>[1]Data2025!M16</f>
        <v>Amplop Coklat Merk : GSU Ukuran Folio polos</v>
      </c>
      <c r="L17" s="72">
        <f>[1]Data2025!N16</f>
        <v>2</v>
      </c>
      <c r="M17" s="72" t="str">
        <f>[1]Data2025!O16</f>
        <v>bungkus</v>
      </c>
      <c r="N17" s="73">
        <f>[1]Data2025!P16</f>
        <v>60000</v>
      </c>
      <c r="O17" s="74">
        <f>[1]Data2025!Q16</f>
        <v>120000</v>
      </c>
      <c r="P17" s="75" t="s">
        <v>43</v>
      </c>
      <c r="Q17" s="76" t="str">
        <f>VLOOKUP(K17,[1]Sheet1!$C$1:$D$101,2,)</f>
        <v>Amplop Coklat Folio (Berat: 1000 gram. Panjang: 25 cm. Lebar: 5 cm. Tinggi: 35 cm)</v>
      </c>
      <c r="R17" s="77">
        <v>75000</v>
      </c>
      <c r="S17" s="78">
        <v>85000</v>
      </c>
      <c r="T17" s="79" t="str">
        <f>[1]Data2025!T16</f>
        <v>UD. JOSUA</v>
      </c>
      <c r="U17" s="80" t="s">
        <v>35</v>
      </c>
      <c r="V17" s="79" t="str">
        <f>[1]Data2025!V16</f>
        <v>Gestiwan Bazikho</v>
      </c>
      <c r="W17" s="79" t="str">
        <f>[1]Data2025!X16</f>
        <v>Jl. Diponegoro Kel. Pasar Telukdalam - Nias Selatan</v>
      </c>
      <c r="X17" s="80" t="s">
        <v>36</v>
      </c>
      <c r="Y17" s="80" t="str">
        <f t="shared" si="1"/>
        <v>Alat Tulis Kantor (ATK)</v>
      </c>
      <c r="Z17" s="81" t="str">
        <f t="shared" si="2"/>
        <v>Alat Tulis Kantor (ATK)</v>
      </c>
      <c r="AA17" s="82" t="s">
        <v>42</v>
      </c>
      <c r="AB17" s="83">
        <v>15000</v>
      </c>
      <c r="AC17" s="83">
        <v>75000</v>
      </c>
      <c r="AD17" s="77">
        <v>75000</v>
      </c>
      <c r="AE17" s="84">
        <v>67567.567567567574</v>
      </c>
      <c r="AF17" s="84">
        <v>75000</v>
      </c>
      <c r="AG17" s="85" t="s">
        <v>38</v>
      </c>
      <c r="AH17" s="86" t="str">
        <f>[1]Data2025!W16</f>
        <v>081375309828</v>
      </c>
      <c r="AK17" s="89" t="s">
        <v>46</v>
      </c>
    </row>
    <row r="18" spans="1:37" s="88" customFormat="1" ht="26" thickTop="1" thickBot="1">
      <c r="A18" s="64" t="str">
        <f>[1]Data2025!G17</f>
        <v>04</v>
      </c>
      <c r="B18" s="65" t="str">
        <f>[1]Data2025!K17</f>
        <v>BPU04</v>
      </c>
      <c r="C18" s="66" t="str">
        <f>[1]Data2025!D17</f>
        <v>06. 05. 08.</v>
      </c>
      <c r="D18" s="67" t="str">
        <f>[1]Data2025!C17</f>
        <v>5.1.02.01.01.0024</v>
      </c>
      <c r="E18" s="68">
        <f>[1]Data2025!E17</f>
        <v>45661</v>
      </c>
      <c r="F18" s="69" t="str">
        <f>[1]Data2025!F17</f>
        <v>06/01/2025</v>
      </c>
      <c r="G18" s="68" t="str">
        <f>[1]Data2025!H17</f>
        <v>06/01/2025</v>
      </c>
      <c r="H18" s="68" t="str">
        <f t="shared" si="0"/>
        <v>06/01/2025</v>
      </c>
      <c r="I18" s="70" t="str">
        <f>[1]Data2025!J17</f>
        <v>23/01/2025</v>
      </c>
      <c r="J18" s="71" t="str">
        <f>[1]Data2025!L17</f>
        <v>Amplop Panjang Putih Polos Merk : Jaya Ukuran : 11 x 23 cm</v>
      </c>
      <c r="K18" s="71" t="str">
        <f>[1]Data2025!M17</f>
        <v>Amplop Panjang Putih Polos Merk : Jaya Ukuran : 11 x 23 cm</v>
      </c>
      <c r="L18" s="72">
        <f>[1]Data2025!N17</f>
        <v>1</v>
      </c>
      <c r="M18" s="72" t="str">
        <f>[1]Data2025!O17</f>
        <v>kotak</v>
      </c>
      <c r="N18" s="73">
        <f>[1]Data2025!P17</f>
        <v>48000</v>
      </c>
      <c r="O18" s="74">
        <f>[1]Data2025!Q17</f>
        <v>48000</v>
      </c>
      <c r="P18" s="75" t="s">
        <v>43</v>
      </c>
      <c r="Q18" s="76" t="str">
        <f>VLOOKUP(K18,[1]Sheet1!$C$1:$D$101,2,)</f>
        <v xml:space="preserve"> Amplop Panjang Putih Polos (Merk : Jaya Ukuran : 11 x 23 cm)</v>
      </c>
      <c r="R18" s="77">
        <v>37500</v>
      </c>
      <c r="S18" s="78">
        <v>47500</v>
      </c>
      <c r="T18" s="79" t="str">
        <f>[1]Data2025!T17</f>
        <v>UD. JOSUA</v>
      </c>
      <c r="U18" s="80" t="s">
        <v>35</v>
      </c>
      <c r="V18" s="79" t="str">
        <f>[1]Data2025!V17</f>
        <v>Gestiwan Bazikho</v>
      </c>
      <c r="W18" s="79" t="str">
        <f>[1]Data2025!X17</f>
        <v>Jl. Diponegoro Kel. Pasar Telukdalam - Nias Selatan</v>
      </c>
      <c r="X18" s="80" t="s">
        <v>36</v>
      </c>
      <c r="Y18" s="80" t="str">
        <f t="shared" si="1"/>
        <v>Alat Tulis Kantor (ATK)</v>
      </c>
      <c r="Z18" s="81" t="str">
        <f t="shared" si="2"/>
        <v>Alat Tulis Kantor (ATK)</v>
      </c>
      <c r="AA18" s="82" t="s">
        <v>37</v>
      </c>
      <c r="AB18" s="83">
        <v>7500</v>
      </c>
      <c r="AC18" s="83">
        <v>37500</v>
      </c>
      <c r="AD18" s="77">
        <v>37500</v>
      </c>
      <c r="AE18" s="84">
        <v>33783.783783783787</v>
      </c>
      <c r="AF18" s="84">
        <v>37500</v>
      </c>
      <c r="AG18" s="85" t="s">
        <v>38</v>
      </c>
      <c r="AH18" s="86" t="str">
        <f>[1]Data2025!W17</f>
        <v>081375309828</v>
      </c>
      <c r="AI18" s="87"/>
      <c r="AJ18" s="87"/>
    </row>
    <row r="19" spans="1:37" s="88" customFormat="1" ht="16.5" thickTop="1" thickBot="1">
      <c r="A19" s="64" t="str">
        <f>[1]Data2025!G18</f>
        <v>04</v>
      </c>
      <c r="B19" s="65" t="str">
        <f>[1]Data2025!K18</f>
        <v>BPU04</v>
      </c>
      <c r="C19" s="66" t="str">
        <f>[1]Data2025!D18</f>
        <v>06. 05. 08.</v>
      </c>
      <c r="D19" s="67" t="str">
        <f>[1]Data2025!C18</f>
        <v>5.1.02.01.01.0024</v>
      </c>
      <c r="E19" s="68">
        <f>[1]Data2025!E18</f>
        <v>45661</v>
      </c>
      <c r="F19" s="69" t="str">
        <f>[1]Data2025!F18</f>
        <v>06/01/2025</v>
      </c>
      <c r="G19" s="68" t="str">
        <f>[1]Data2025!H18</f>
        <v>06/01/2025</v>
      </c>
      <c r="H19" s="68" t="str">
        <f t="shared" si="0"/>
        <v>06/01/2025</v>
      </c>
      <c r="I19" s="70" t="str">
        <f>[1]Data2025!J18</f>
        <v>23/01/2025</v>
      </c>
      <c r="J19" s="71" t="str">
        <f>[1]Data2025!L18</f>
        <v>Ballpoint Boldiner Standar</v>
      </c>
      <c r="K19" s="71" t="str">
        <f>[1]Data2025!M18</f>
        <v>Ballpoint Boldiner Standar</v>
      </c>
      <c r="L19" s="72">
        <f>[1]Data2025!N18</f>
        <v>2</v>
      </c>
      <c r="M19" s="72" t="str">
        <f>[1]Data2025!O18</f>
        <v>lusin</v>
      </c>
      <c r="N19" s="73">
        <f>[1]Data2025!P18</f>
        <v>225000</v>
      </c>
      <c r="O19" s="74">
        <f>[1]Data2025!Q18</f>
        <v>450000</v>
      </c>
      <c r="P19" s="75" t="s">
        <v>43</v>
      </c>
      <c r="Q19" s="76" t="str">
        <f>VLOOKUP(K19,[1]Sheet1!$C$1:$D$101,2,)</f>
        <v xml:space="preserve">Ballpoint Boldiner Standar  (Satuan. 300 Gram ; Dimensi Ukuran. 15X5X7.5Cm. (Berat Volume: 0.09Kg) </v>
      </c>
      <c r="R19" s="77">
        <v>69000</v>
      </c>
      <c r="S19" s="78">
        <v>75000</v>
      </c>
      <c r="T19" s="79" t="str">
        <f>[1]Data2025!T18</f>
        <v>UD. JOSUA</v>
      </c>
      <c r="U19" s="80" t="s">
        <v>35</v>
      </c>
      <c r="V19" s="79" t="str">
        <f>[1]Data2025!V18</f>
        <v>Gestiwan Bazikho</v>
      </c>
      <c r="W19" s="79" t="str">
        <f>[1]Data2025!X18</f>
        <v>Jl. Diponegoro Kel. Pasar Telukdalam - Nias Selatan</v>
      </c>
      <c r="X19" s="80" t="s">
        <v>36</v>
      </c>
      <c r="Y19" s="80" t="str">
        <f t="shared" si="1"/>
        <v>Alat Tulis Kantor (ATK)</v>
      </c>
      <c r="Z19" s="81" t="str">
        <f t="shared" si="2"/>
        <v>Alat Tulis Kantor (ATK)</v>
      </c>
      <c r="AA19" s="82" t="s">
        <v>44</v>
      </c>
      <c r="AB19" s="83">
        <v>23000</v>
      </c>
      <c r="AC19" s="83">
        <v>69000</v>
      </c>
      <c r="AD19" s="77">
        <v>69000</v>
      </c>
      <c r="AE19" s="84">
        <v>62162.16216216216</v>
      </c>
      <c r="AF19" s="84">
        <v>69000</v>
      </c>
      <c r="AG19" s="85" t="s">
        <v>38</v>
      </c>
      <c r="AH19" s="86" t="str">
        <f>[1]Data2025!W18</f>
        <v>081375309828</v>
      </c>
    </row>
    <row r="20" spans="1:37" s="88" customFormat="1" ht="16.5" thickTop="1" thickBot="1">
      <c r="A20" s="64" t="str">
        <f>[1]Data2025!G19</f>
        <v>04</v>
      </c>
      <c r="B20" s="65" t="str">
        <f>[1]Data2025!K19</f>
        <v>BPU04</v>
      </c>
      <c r="C20" s="66" t="str">
        <f>[1]Data2025!D19</f>
        <v>06. 05. 08.</v>
      </c>
      <c r="D20" s="67" t="str">
        <f>[1]Data2025!C19</f>
        <v>5.1.02.01.01.0024</v>
      </c>
      <c r="E20" s="68">
        <f>[1]Data2025!E19</f>
        <v>45661</v>
      </c>
      <c r="F20" s="69" t="str">
        <f>[1]Data2025!F19</f>
        <v>06/01/2025</v>
      </c>
      <c r="G20" s="68" t="str">
        <f>[1]Data2025!H19</f>
        <v>06/01/2025</v>
      </c>
      <c r="H20" s="68" t="str">
        <f t="shared" si="0"/>
        <v>06/01/2025</v>
      </c>
      <c r="I20" s="70" t="str">
        <f>[1]Data2025!J19</f>
        <v>23/01/2025</v>
      </c>
      <c r="J20" s="71" t="str">
        <f>[1]Data2025!L19</f>
        <v>Ballpoint Drawing Pen 0,1 Snowman</v>
      </c>
      <c r="K20" s="71" t="str">
        <f>[1]Data2025!M19</f>
        <v>Ballpoint Drawing Pen 0,1 Snowman</v>
      </c>
      <c r="L20" s="72">
        <f>[1]Data2025!N19</f>
        <v>1</v>
      </c>
      <c r="M20" s="72" t="str">
        <f>[1]Data2025!O19</f>
        <v>lusin</v>
      </c>
      <c r="N20" s="73">
        <f>[1]Data2025!P19</f>
        <v>95000</v>
      </c>
      <c r="O20" s="74">
        <f>[1]Data2025!Q19</f>
        <v>95000</v>
      </c>
      <c r="P20" s="75" t="s">
        <v>43</v>
      </c>
      <c r="Q20" s="76" t="str">
        <f>VLOOKUP(K20,[1]Sheet1!$C$1:$D$101,2,)</f>
        <v>Ballpoint Drawing Pen 0,5 Snowman (Length 5.0Cm, Width 5.0Cm, Height 5.0Cm, Weight 5Gr)</v>
      </c>
      <c r="R20" s="77">
        <v>125000</v>
      </c>
      <c r="S20" s="78">
        <v>135000</v>
      </c>
      <c r="T20" s="79" t="str">
        <f>[1]Data2025!T19</f>
        <v>UD. JOSUA</v>
      </c>
      <c r="U20" s="80" t="s">
        <v>35</v>
      </c>
      <c r="V20" s="79" t="str">
        <f>[1]Data2025!V19</f>
        <v>Gestiwan Bazikho</v>
      </c>
      <c r="W20" s="79" t="str">
        <f>[1]Data2025!X19</f>
        <v>Jl. Diponegoro Kel. Pasar Telukdalam - Nias Selatan</v>
      </c>
      <c r="X20" s="80" t="s">
        <v>36</v>
      </c>
      <c r="Y20" s="80" t="str">
        <f t="shared" si="1"/>
        <v>Alat Tulis Kantor (ATK)</v>
      </c>
      <c r="Z20" s="81" t="str">
        <f t="shared" si="2"/>
        <v>Alat Tulis Kantor (ATK)</v>
      </c>
      <c r="AA20" s="82" t="s">
        <v>49</v>
      </c>
      <c r="AB20" s="83">
        <v>25000</v>
      </c>
      <c r="AC20" s="83">
        <v>125000</v>
      </c>
      <c r="AD20" s="77">
        <v>125000</v>
      </c>
      <c r="AE20" s="84">
        <v>112612.61261261262</v>
      </c>
      <c r="AF20" s="84">
        <v>125000</v>
      </c>
      <c r="AG20" s="85" t="s">
        <v>38</v>
      </c>
      <c r="AH20" s="86" t="str">
        <f>[1]Data2025!W19</f>
        <v>081375309828</v>
      </c>
    </row>
    <row r="21" spans="1:37" s="88" customFormat="1" ht="16.5" thickTop="1" thickBot="1">
      <c r="A21" s="64" t="str">
        <f>[1]Data2025!G20</f>
        <v>04</v>
      </c>
      <c r="B21" s="65" t="str">
        <f>[1]Data2025!K20</f>
        <v>BPU04</v>
      </c>
      <c r="C21" s="66" t="str">
        <f>[1]Data2025!D20</f>
        <v>06. 05. 08.</v>
      </c>
      <c r="D21" s="67" t="str">
        <f>[1]Data2025!C20</f>
        <v>5.1.02.01.01.0024</v>
      </c>
      <c r="E21" s="68">
        <f>[1]Data2025!E20</f>
        <v>45661</v>
      </c>
      <c r="F21" s="69" t="str">
        <f>[1]Data2025!F20</f>
        <v>06/01/2025</v>
      </c>
      <c r="G21" s="68" t="str">
        <f>[1]Data2025!H20</f>
        <v>06/01/2025</v>
      </c>
      <c r="H21" s="68" t="str">
        <f t="shared" si="0"/>
        <v>06/01/2025</v>
      </c>
      <c r="I21" s="70" t="str">
        <f>[1]Data2025!J20</f>
        <v>23/01/2025</v>
      </c>
      <c r="J21" s="71" t="str">
        <f>[1]Data2025!L20</f>
        <v>Ballpoint Standard AE7</v>
      </c>
      <c r="K21" s="71" t="str">
        <f>[1]Data2025!M20</f>
        <v>Ballpoint Standard AE7</v>
      </c>
      <c r="L21" s="72">
        <f>[1]Data2025!N20</f>
        <v>2</v>
      </c>
      <c r="M21" s="72" t="str">
        <f>[1]Data2025!O20</f>
        <v>lusin</v>
      </c>
      <c r="N21" s="73">
        <f>[1]Data2025!P20</f>
        <v>20000</v>
      </c>
      <c r="O21" s="74">
        <f>[1]Data2025!Q20</f>
        <v>40000</v>
      </c>
      <c r="P21" s="75" t="s">
        <v>43</v>
      </c>
      <c r="Q21" s="76" t="str">
        <f>VLOOKUP(K21,[1]Sheet1!$C$1:$D$101,2,)</f>
        <v>Ballpoint Standard AE7 (Jenis Barang: Pulpen Merk: Standard Tipe: AE-7 Ukuran: 0.5 mm; Warna Tinta, hitam)</v>
      </c>
      <c r="R21" s="77">
        <v>209000</v>
      </c>
      <c r="S21" s="78">
        <v>229000</v>
      </c>
      <c r="T21" s="79" t="str">
        <f>[1]Data2025!T20</f>
        <v>UD. JOSUA</v>
      </c>
      <c r="U21" s="80" t="s">
        <v>35</v>
      </c>
      <c r="V21" s="79" t="str">
        <f>[1]Data2025!V20</f>
        <v>Gestiwan Bazikho</v>
      </c>
      <c r="W21" s="79" t="str">
        <f>[1]Data2025!X20</f>
        <v>Jl. Diponegoro Kel. Pasar Telukdalam - Nias Selatan</v>
      </c>
      <c r="X21" s="80" t="s">
        <v>36</v>
      </c>
      <c r="Y21" s="80" t="str">
        <f t="shared" si="1"/>
        <v>Alat Tulis Kantor (ATK)</v>
      </c>
      <c r="Z21" s="81" t="str">
        <f t="shared" si="2"/>
        <v>Alat Tulis Kantor (ATK)</v>
      </c>
      <c r="AA21" s="82" t="s">
        <v>42</v>
      </c>
      <c r="AB21" s="83">
        <v>20900</v>
      </c>
      <c r="AC21" s="83">
        <v>209000</v>
      </c>
      <c r="AD21" s="77">
        <v>209000</v>
      </c>
      <c r="AE21" s="84">
        <v>188288.28828828828</v>
      </c>
      <c r="AF21" s="84">
        <v>209000</v>
      </c>
      <c r="AG21" s="85" t="s">
        <v>38</v>
      </c>
      <c r="AH21" s="86" t="str">
        <f>[1]Data2025!W20</f>
        <v>081375309828</v>
      </c>
    </row>
    <row r="22" spans="1:37" s="88" customFormat="1" ht="16.5" thickTop="1" thickBot="1">
      <c r="A22" s="64" t="str">
        <f>[1]Data2025!G21</f>
        <v>04</v>
      </c>
      <c r="B22" s="65" t="str">
        <f>[1]Data2025!K21</f>
        <v>BPU04</v>
      </c>
      <c r="C22" s="66" t="str">
        <f>[1]Data2025!D21</f>
        <v>06. 05. 08.</v>
      </c>
      <c r="D22" s="67" t="str">
        <f>[1]Data2025!C21</f>
        <v>5.1.02.01.01.0024</v>
      </c>
      <c r="E22" s="68">
        <f>[1]Data2025!E21</f>
        <v>45661</v>
      </c>
      <c r="F22" s="69" t="str">
        <f>[1]Data2025!F21</f>
        <v>06/01/2025</v>
      </c>
      <c r="G22" s="68" t="str">
        <f>[1]Data2025!H21</f>
        <v>06/01/2025</v>
      </c>
      <c r="H22" s="68" t="str">
        <f t="shared" si="0"/>
        <v>06/01/2025</v>
      </c>
      <c r="I22" s="70" t="str">
        <f>[1]Data2025!J21</f>
        <v>23/01/2025</v>
      </c>
      <c r="J22" s="71" t="str">
        <f>[1]Data2025!L21</f>
        <v>Ballpoint Pilot G2</v>
      </c>
      <c r="K22" s="71" t="str">
        <f>[1]Data2025!M21</f>
        <v>Ballpoint Pilot G2</v>
      </c>
      <c r="L22" s="72">
        <f>[1]Data2025!N21</f>
        <v>1</v>
      </c>
      <c r="M22" s="72" t="str">
        <f>[1]Data2025!O21</f>
        <v>lusin</v>
      </c>
      <c r="N22" s="73">
        <f>[1]Data2025!P21</f>
        <v>235000</v>
      </c>
      <c r="O22" s="74">
        <f>[1]Data2025!Q21</f>
        <v>235000</v>
      </c>
      <c r="P22" s="75" t="s">
        <v>43</v>
      </c>
      <c r="Q22" s="76" t="str">
        <f>VLOOKUP(K22,[1]Sheet1!$C$1:$D$101,2,)</f>
        <v>Ballpoint Pilot G2 (Length 5.0Cm, Width 5.0Cm, Height 5.0Cm, Weight 5Gr)</v>
      </c>
      <c r="R22" s="77">
        <v>10000</v>
      </c>
      <c r="S22" s="78">
        <v>14000</v>
      </c>
      <c r="T22" s="79" t="str">
        <f>[1]Data2025!T21</f>
        <v>UD. JOSUA</v>
      </c>
      <c r="U22" s="80" t="s">
        <v>35</v>
      </c>
      <c r="V22" s="79" t="str">
        <f>[1]Data2025!V21</f>
        <v>Gestiwan Bazikho</v>
      </c>
      <c r="W22" s="79" t="str">
        <f>[1]Data2025!X21</f>
        <v>Jl. Diponegoro Kel. Pasar Telukdalam - Nias Selatan</v>
      </c>
      <c r="X22" s="80" t="s">
        <v>36</v>
      </c>
      <c r="Y22" s="80" t="str">
        <f t="shared" si="1"/>
        <v>Alat Tulis Kantor (ATK)</v>
      </c>
      <c r="Z22" s="81" t="str">
        <f t="shared" si="2"/>
        <v>Alat Tulis Kantor (ATK)</v>
      </c>
      <c r="AA22" s="82" t="s">
        <v>37</v>
      </c>
      <c r="AB22" s="83">
        <v>5000</v>
      </c>
      <c r="AC22" s="83">
        <v>10000</v>
      </c>
      <c r="AD22" s="77">
        <v>10000</v>
      </c>
      <c r="AE22" s="84">
        <v>9009.0090090090089</v>
      </c>
      <c r="AF22" s="84">
        <v>10000</v>
      </c>
      <c r="AG22" s="85" t="s">
        <v>38</v>
      </c>
      <c r="AH22" s="86" t="str">
        <f>[1]Data2025!W21</f>
        <v>081375309828</v>
      </c>
    </row>
    <row r="23" spans="1:37" s="88" customFormat="1" ht="16.5" thickTop="1" thickBot="1">
      <c r="A23" s="64" t="str">
        <f>[1]Data2025!G22</f>
        <v>04</v>
      </c>
      <c r="B23" s="65" t="str">
        <f>[1]Data2025!K22</f>
        <v>BPU04</v>
      </c>
      <c r="C23" s="66" t="str">
        <f>[1]Data2025!D22</f>
        <v>06. 05. 08.</v>
      </c>
      <c r="D23" s="67" t="str">
        <f>[1]Data2025!C22</f>
        <v>5.1.02.01.01.0024</v>
      </c>
      <c r="E23" s="68">
        <f>[1]Data2025!E22</f>
        <v>45661</v>
      </c>
      <c r="F23" s="69" t="str">
        <f>[1]Data2025!F22</f>
        <v>06/01/2025</v>
      </c>
      <c r="G23" s="68" t="str">
        <f>[1]Data2025!H22</f>
        <v>06/01/2025</v>
      </c>
      <c r="H23" s="68" t="str">
        <f t="shared" si="0"/>
        <v>06/01/2025</v>
      </c>
      <c r="I23" s="70" t="str">
        <f>[1]Data2025!J22</f>
        <v>23/01/2025</v>
      </c>
      <c r="J23" s="71" t="str">
        <f>[1]Data2025!L22</f>
        <v>Binder Klip  nomor 107</v>
      </c>
      <c r="K23" s="71" t="str">
        <f>[1]Data2025!M22</f>
        <v>Binder Klip  nomor 107</v>
      </c>
      <c r="L23" s="72">
        <f>[1]Data2025!N22</f>
        <v>5</v>
      </c>
      <c r="M23" s="72" t="str">
        <f>[1]Data2025!O22</f>
        <v>kotak</v>
      </c>
      <c r="N23" s="73">
        <f>[1]Data2025!P22</f>
        <v>7800</v>
      </c>
      <c r="O23" s="74">
        <f>[1]Data2025!Q22</f>
        <v>39000</v>
      </c>
      <c r="P23" s="75" t="s">
        <v>43</v>
      </c>
      <c r="Q23" s="76" t="str">
        <f>VLOOKUP(K23,[1]Sheet1!$C$1:$D$101,2,)</f>
        <v>Binder Clip N0 107 (Length 5.0Cm, Width 5.0Cm, Height 5.0Cm, Weight 5Gr)</v>
      </c>
      <c r="R23" s="77">
        <v>235000</v>
      </c>
      <c r="S23" s="78">
        <v>237000</v>
      </c>
      <c r="T23" s="79" t="str">
        <f>[1]Data2025!T22</f>
        <v>UD. JOSUA</v>
      </c>
      <c r="U23" s="80" t="s">
        <v>35</v>
      </c>
      <c r="V23" s="79" t="str">
        <f>[1]Data2025!V22</f>
        <v>Gestiwan Bazikho</v>
      </c>
      <c r="W23" s="79" t="str">
        <f>[1]Data2025!X22</f>
        <v>Jl. Diponegoro Kel. Pasar Telukdalam - Nias Selatan</v>
      </c>
      <c r="X23" s="80" t="s">
        <v>36</v>
      </c>
      <c r="Y23" s="80" t="str">
        <f t="shared" si="1"/>
        <v>Alat Tulis Kantor (ATK)</v>
      </c>
      <c r="Z23" s="81" t="str">
        <f t="shared" si="2"/>
        <v>Alat Tulis Kantor (ATK)</v>
      </c>
      <c r="AA23" s="82" t="s">
        <v>40</v>
      </c>
      <c r="AB23" s="83">
        <v>235000</v>
      </c>
      <c r="AC23" s="83">
        <v>235000</v>
      </c>
      <c r="AD23" s="77">
        <v>235000</v>
      </c>
      <c r="AE23" s="84">
        <v>211711.71171171172</v>
      </c>
      <c r="AF23" s="84">
        <v>235000</v>
      </c>
      <c r="AG23" s="85" t="s">
        <v>38</v>
      </c>
      <c r="AH23" s="86" t="str">
        <f>[1]Data2025!W22</f>
        <v>081375309828</v>
      </c>
    </row>
    <row r="24" spans="1:37" s="88" customFormat="1" ht="16.5" thickTop="1" thickBot="1">
      <c r="A24" s="64" t="str">
        <f>[1]Data2025!G23</f>
        <v>04</v>
      </c>
      <c r="B24" s="65" t="str">
        <f>[1]Data2025!K23</f>
        <v>BPU04</v>
      </c>
      <c r="C24" s="66" t="str">
        <f>[1]Data2025!D23</f>
        <v>06. 05. 08.</v>
      </c>
      <c r="D24" s="67" t="str">
        <f>[1]Data2025!C23</f>
        <v>5.1.02.01.01.0024</v>
      </c>
      <c r="E24" s="68">
        <f>[1]Data2025!E23</f>
        <v>45661</v>
      </c>
      <c r="F24" s="69" t="str">
        <f>[1]Data2025!F23</f>
        <v>06/01/2025</v>
      </c>
      <c r="G24" s="68" t="str">
        <f>[1]Data2025!H23</f>
        <v>06/01/2025</v>
      </c>
      <c r="H24" s="68" t="str">
        <f t="shared" si="0"/>
        <v>06/01/2025</v>
      </c>
      <c r="I24" s="70" t="str">
        <f>[1]Data2025!J23</f>
        <v>23/01/2025</v>
      </c>
      <c r="J24" s="71" t="str">
        <f>[1]Data2025!L23</f>
        <v>Binder Klip  nomor 111</v>
      </c>
      <c r="K24" s="71" t="str">
        <f>[1]Data2025!M23</f>
        <v>Binder Klip  nomor 111</v>
      </c>
      <c r="L24" s="72">
        <f>[1]Data2025!N23</f>
        <v>5</v>
      </c>
      <c r="M24" s="72" t="str">
        <f>[1]Data2025!O23</f>
        <v>kotak</v>
      </c>
      <c r="N24" s="73">
        <f>[1]Data2025!P23</f>
        <v>11000</v>
      </c>
      <c r="O24" s="74">
        <f>[1]Data2025!Q23</f>
        <v>55000</v>
      </c>
      <c r="P24" s="75" t="s">
        <v>43</v>
      </c>
      <c r="Q24" s="76" t="str">
        <f>VLOOKUP(K24,[1]Sheet1!$C$1:$D$101,2,)</f>
        <v>Binder Clip No 111 (Length 5.0Cm, Width 5.0Cm, Height 5.0Cm, Weight 5Gr)</v>
      </c>
      <c r="R24" s="77">
        <v>450000</v>
      </c>
      <c r="S24" s="78">
        <v>454000</v>
      </c>
      <c r="T24" s="79" t="str">
        <f>[1]Data2025!T23</f>
        <v>UD. JOSUA</v>
      </c>
      <c r="U24" s="80" t="s">
        <v>35</v>
      </c>
      <c r="V24" s="79" t="str">
        <f>[1]Data2025!V23</f>
        <v>Gestiwan Bazikho</v>
      </c>
      <c r="W24" s="79" t="str">
        <f>[1]Data2025!X23</f>
        <v>Jl. Diponegoro Kel. Pasar Telukdalam - Nias Selatan</v>
      </c>
      <c r="X24" s="80" t="s">
        <v>36</v>
      </c>
      <c r="Y24" s="80" t="str">
        <f t="shared" si="1"/>
        <v>Alat Tulis Kantor (ATK)</v>
      </c>
      <c r="Z24" s="81" t="str">
        <f t="shared" si="2"/>
        <v>Alat Tulis Kantor (ATK)</v>
      </c>
      <c r="AA24" s="82" t="s">
        <v>40</v>
      </c>
      <c r="AB24" s="83">
        <v>225000</v>
      </c>
      <c r="AC24" s="83">
        <v>450000</v>
      </c>
      <c r="AD24" s="77">
        <v>450000</v>
      </c>
      <c r="AE24" s="84">
        <v>405405.40540540538</v>
      </c>
      <c r="AF24" s="84">
        <v>450000</v>
      </c>
      <c r="AG24" s="85" t="s">
        <v>38</v>
      </c>
      <c r="AH24" s="86" t="str">
        <f>[1]Data2025!W23</f>
        <v>081375309828</v>
      </c>
    </row>
    <row r="25" spans="1:37" s="88" customFormat="1" ht="16.5" thickTop="1" thickBot="1">
      <c r="A25" s="64" t="str">
        <f>[1]Data2025!G24</f>
        <v>04</v>
      </c>
      <c r="B25" s="65" t="str">
        <f>[1]Data2025!K24</f>
        <v>BPU04</v>
      </c>
      <c r="C25" s="66" t="str">
        <f>[1]Data2025!D24</f>
        <v>06. 05. 08.</v>
      </c>
      <c r="D25" s="67" t="str">
        <f>[1]Data2025!C24</f>
        <v>5.1.02.01.01.0024</v>
      </c>
      <c r="E25" s="68">
        <f>[1]Data2025!E24</f>
        <v>45661</v>
      </c>
      <c r="F25" s="69" t="str">
        <f>[1]Data2025!F24</f>
        <v>06/01/2025</v>
      </c>
      <c r="G25" s="68" t="str">
        <f>[1]Data2025!H24</f>
        <v>06/01/2025</v>
      </c>
      <c r="H25" s="68" t="str">
        <f t="shared" si="0"/>
        <v>06/01/2025</v>
      </c>
      <c r="I25" s="70" t="str">
        <f>[1]Data2025!J24</f>
        <v>23/01/2025</v>
      </c>
      <c r="J25" s="71" t="str">
        <f>[1]Data2025!L24</f>
        <v>Binder Klip  nomor 200</v>
      </c>
      <c r="K25" s="71" t="str">
        <f>[1]Data2025!M24</f>
        <v>Binder Klip  nomor 200</v>
      </c>
      <c r="L25" s="72">
        <f>[1]Data2025!N24</f>
        <v>10</v>
      </c>
      <c r="M25" s="72" t="str">
        <f>[1]Data2025!O24</f>
        <v>kotak</v>
      </c>
      <c r="N25" s="73">
        <f>[1]Data2025!P24</f>
        <v>16500</v>
      </c>
      <c r="O25" s="74">
        <f>[1]Data2025!Q24</f>
        <v>165000</v>
      </c>
      <c r="P25" s="75" t="s">
        <v>43</v>
      </c>
      <c r="Q25" s="76" t="str">
        <f>VLOOKUP(K25,[1]Sheet1!$C$1:$D$101,2,)</f>
        <v>Binder Clip Nomor 200 (Length 5.0Cm, Width 5.0Cm, Height 5.0Cm, Weight 5Gr)</v>
      </c>
      <c r="R25" s="77">
        <v>440000</v>
      </c>
      <c r="S25" s="78">
        <v>448000</v>
      </c>
      <c r="T25" s="79" t="str">
        <f>[1]Data2025!T24</f>
        <v>UD. JOSUA</v>
      </c>
      <c r="U25" s="80" t="s">
        <v>35</v>
      </c>
      <c r="V25" s="79" t="str">
        <f>[1]Data2025!V24</f>
        <v>Gestiwan Bazikho</v>
      </c>
      <c r="W25" s="79" t="str">
        <f>[1]Data2025!X24</f>
        <v>Jl. Diponegoro Kel. Pasar Telukdalam - Nias Selatan</v>
      </c>
      <c r="X25" s="80" t="s">
        <v>36</v>
      </c>
      <c r="Y25" s="80" t="str">
        <f t="shared" si="1"/>
        <v>Alat Tulis Kantor (ATK)</v>
      </c>
      <c r="Z25" s="81" t="str">
        <f t="shared" si="2"/>
        <v>Alat Tulis Kantor (ATK)</v>
      </c>
      <c r="AA25" s="82" t="s">
        <v>48</v>
      </c>
      <c r="AB25" s="83">
        <v>110000</v>
      </c>
      <c r="AC25" s="83">
        <v>440000</v>
      </c>
      <c r="AD25" s="77">
        <v>440000</v>
      </c>
      <c r="AE25" s="84">
        <v>396396.39639639639</v>
      </c>
      <c r="AF25" s="84">
        <v>440000</v>
      </c>
      <c r="AG25" s="85" t="s">
        <v>38</v>
      </c>
      <c r="AH25" s="86" t="str">
        <f>[1]Data2025!W24</f>
        <v>081375309828</v>
      </c>
    </row>
    <row r="26" spans="1:37" s="88" customFormat="1" ht="16.5" thickTop="1" thickBot="1">
      <c r="A26" s="64" t="str">
        <f>[1]Data2025!G25</f>
        <v>04</v>
      </c>
      <c r="B26" s="65" t="str">
        <f>[1]Data2025!K25</f>
        <v>BPU04</v>
      </c>
      <c r="C26" s="66" t="str">
        <f>[1]Data2025!D25</f>
        <v>06. 05. 08.</v>
      </c>
      <c r="D26" s="67" t="str">
        <f>[1]Data2025!C25</f>
        <v>5.1.02.01.01.0024</v>
      </c>
      <c r="E26" s="68">
        <f>[1]Data2025!E25</f>
        <v>45661</v>
      </c>
      <c r="F26" s="69" t="str">
        <f>[1]Data2025!F25</f>
        <v>06/01/2025</v>
      </c>
      <c r="G26" s="68" t="str">
        <f>[1]Data2025!H25</f>
        <v>06/01/2025</v>
      </c>
      <c r="H26" s="68" t="str">
        <f t="shared" si="0"/>
        <v>06/01/2025</v>
      </c>
      <c r="I26" s="70" t="str">
        <f>[1]Data2025!J25</f>
        <v>23/01/2025</v>
      </c>
      <c r="J26" s="71" t="str">
        <f>[1]Data2025!L25</f>
        <v>Binder Klip  nomor 260</v>
      </c>
      <c r="K26" s="71" t="str">
        <f>[1]Data2025!M25</f>
        <v>Binder Klip  nomor 260</v>
      </c>
      <c r="L26" s="72">
        <f>[1]Data2025!N25</f>
        <v>10</v>
      </c>
      <c r="M26" s="72" t="str">
        <f>[1]Data2025!O25</f>
        <v>kotak</v>
      </c>
      <c r="N26" s="73">
        <f>[1]Data2025!P25</f>
        <v>20000</v>
      </c>
      <c r="O26" s="74">
        <f>[1]Data2025!Q25</f>
        <v>200000</v>
      </c>
      <c r="P26" s="75" t="s">
        <v>43</v>
      </c>
      <c r="Q26" s="76" t="str">
        <f>VLOOKUP(K26,[1]Sheet1!$C$1:$D$101,2,)</f>
        <v>Binder Clip No 260 (Length 5.0Cm, Width 5.0Cm, Height 5.0Cm, Weight 5Gr)</v>
      </c>
      <c r="R26" s="77">
        <v>426000</v>
      </c>
      <c r="S26" s="78">
        <v>450000</v>
      </c>
      <c r="T26" s="79" t="str">
        <f>[1]Data2025!T25</f>
        <v>UD. JOSUA</v>
      </c>
      <c r="U26" s="80" t="s">
        <v>35</v>
      </c>
      <c r="V26" s="79" t="str">
        <f>[1]Data2025!V25</f>
        <v>Gestiwan Bazikho</v>
      </c>
      <c r="W26" s="79" t="str">
        <f>[1]Data2025!X25</f>
        <v>Jl. Diponegoro Kel. Pasar Telukdalam - Nias Selatan</v>
      </c>
      <c r="X26" s="80" t="s">
        <v>36</v>
      </c>
      <c r="Y26" s="80" t="str">
        <f t="shared" si="1"/>
        <v>Alat Tulis Kantor (ATK)</v>
      </c>
      <c r="Z26" s="81" t="str">
        <f t="shared" si="2"/>
        <v>Alat Tulis Kantor (ATK)</v>
      </c>
      <c r="AA26" s="82" t="s">
        <v>42</v>
      </c>
      <c r="AB26" s="83">
        <v>35500</v>
      </c>
      <c r="AC26" s="83">
        <v>426000</v>
      </c>
      <c r="AD26" s="77">
        <v>426000</v>
      </c>
      <c r="AE26" s="84">
        <v>383783.78378378379</v>
      </c>
      <c r="AF26" s="84">
        <v>426000</v>
      </c>
      <c r="AG26" s="85" t="s">
        <v>38</v>
      </c>
      <c r="AH26" s="86" t="str">
        <f>[1]Data2025!W25</f>
        <v>081375309828</v>
      </c>
    </row>
    <row r="27" spans="1:37" s="88" customFormat="1" ht="26" thickTop="1" thickBot="1">
      <c r="A27" s="64" t="str">
        <f>[1]Data2025!G26</f>
        <v>04</v>
      </c>
      <c r="B27" s="65" t="str">
        <f>[1]Data2025!K26</f>
        <v>BPU04</v>
      </c>
      <c r="C27" s="66" t="str">
        <f>[1]Data2025!D26</f>
        <v>06. 05. 08.</v>
      </c>
      <c r="D27" s="67" t="str">
        <f>[1]Data2025!C26</f>
        <v>5.1.02.01.01.0024</v>
      </c>
      <c r="E27" s="68">
        <f>[1]Data2025!E26</f>
        <v>45661</v>
      </c>
      <c r="F27" s="69" t="str">
        <f>[1]Data2025!F26</f>
        <v>06/01/2025</v>
      </c>
      <c r="G27" s="68" t="str">
        <f>[1]Data2025!H26</f>
        <v>06/01/2025</v>
      </c>
      <c r="H27" s="68" t="str">
        <f t="shared" si="0"/>
        <v>06/01/2025</v>
      </c>
      <c r="I27" s="70" t="str">
        <f>[1]Data2025!J26</f>
        <v>23/01/2025</v>
      </c>
      <c r="J27" s="71" t="str">
        <f>[1]Data2025!L26</f>
        <v>Binder Klip Merk : KENKO nomor 105</v>
      </c>
      <c r="K27" s="71" t="str">
        <f>[1]Data2025!M26</f>
        <v>Binder Klip Merk : KENKO nomor 105</v>
      </c>
      <c r="L27" s="72">
        <f>[1]Data2025!N26</f>
        <v>2</v>
      </c>
      <c r="M27" s="72" t="str">
        <f>[1]Data2025!O26</f>
        <v>kotak</v>
      </c>
      <c r="N27" s="73">
        <f>[1]Data2025!P26</f>
        <v>5000</v>
      </c>
      <c r="O27" s="74">
        <f>[1]Data2025!Q26</f>
        <v>10000</v>
      </c>
      <c r="P27" s="75" t="s">
        <v>43</v>
      </c>
      <c r="Q27" s="76" t="str">
        <f>VLOOKUP(K27,[1]Sheet1!$C$1:$D$101,2,)</f>
        <v xml:space="preserve">Binder Clip merk kenko NO 105 (Length 5.0cm, Width 5.0cm, Height 5.0cm, Weight 5gr)  </v>
      </c>
      <c r="R27" s="77">
        <v>500000</v>
      </c>
      <c r="S27" s="78">
        <v>510000</v>
      </c>
      <c r="T27" s="79" t="str">
        <f>[1]Data2025!T26</f>
        <v>UD. JOSUA</v>
      </c>
      <c r="U27" s="80" t="s">
        <v>35</v>
      </c>
      <c r="V27" s="79" t="str">
        <f>[1]Data2025!V26</f>
        <v>Gestiwan Bazikho</v>
      </c>
      <c r="W27" s="79" t="str">
        <f>[1]Data2025!X26</f>
        <v>Jl. Diponegoro Kel. Pasar Telukdalam - Nias Selatan</v>
      </c>
      <c r="X27" s="80" t="s">
        <v>36</v>
      </c>
      <c r="Y27" s="80" t="str">
        <f t="shared" si="1"/>
        <v>Alat Tulis Kantor (ATK)</v>
      </c>
      <c r="Z27" s="81" t="str">
        <f t="shared" si="2"/>
        <v>Alat Tulis Kantor (ATK)</v>
      </c>
      <c r="AA27" s="82" t="s">
        <v>42</v>
      </c>
      <c r="AB27" s="83">
        <v>100000</v>
      </c>
      <c r="AC27" s="83">
        <v>500000</v>
      </c>
      <c r="AD27" s="77">
        <v>500000</v>
      </c>
      <c r="AE27" s="84">
        <v>450450.45045045047</v>
      </c>
      <c r="AF27" s="84">
        <v>500000</v>
      </c>
      <c r="AG27" s="85" t="s">
        <v>38</v>
      </c>
      <c r="AH27" s="86" t="str">
        <f>[1]Data2025!W26</f>
        <v>081375309828</v>
      </c>
    </row>
    <row r="28" spans="1:37" s="88" customFormat="1" ht="16.5" thickTop="1" thickBot="1">
      <c r="A28" s="64" t="str">
        <f>[1]Data2025!G27</f>
        <v>04</v>
      </c>
      <c r="B28" s="65" t="str">
        <f>[1]Data2025!K27</f>
        <v>BPU04</v>
      </c>
      <c r="C28" s="66" t="str">
        <f>[1]Data2025!D27</f>
        <v>06. 05. 08.</v>
      </c>
      <c r="D28" s="67" t="str">
        <f>[1]Data2025!C27</f>
        <v>5.1.02.01.01.0024</v>
      </c>
      <c r="E28" s="68">
        <f>[1]Data2025!E27</f>
        <v>45661</v>
      </c>
      <c r="F28" s="69" t="str">
        <f>[1]Data2025!F27</f>
        <v>06/01/2025</v>
      </c>
      <c r="G28" s="68" t="str">
        <f>[1]Data2025!H27</f>
        <v>06/01/2025</v>
      </c>
      <c r="H28" s="68" t="str">
        <f t="shared" si="0"/>
        <v>06/01/2025</v>
      </c>
      <c r="I28" s="70" t="str">
        <f>[1]Data2025!J27</f>
        <v>23/01/2025</v>
      </c>
      <c r="J28" s="71" t="str">
        <f>[1]Data2025!L27</f>
        <v>Map Binder</v>
      </c>
      <c r="K28" s="71" t="str">
        <f>[1]Data2025!M27</f>
        <v>Map Binder</v>
      </c>
      <c r="L28" s="72">
        <f>[1]Data2025!N27</f>
        <v>12</v>
      </c>
      <c r="M28" s="72" t="str">
        <f>[1]Data2025!O27</f>
        <v>buah</v>
      </c>
      <c r="N28" s="73">
        <f>[1]Data2025!P27</f>
        <v>35500</v>
      </c>
      <c r="O28" s="74">
        <f>[1]Data2025!Q27</f>
        <v>426000</v>
      </c>
      <c r="P28" s="75" t="s">
        <v>43</v>
      </c>
      <c r="Q28" s="76" t="str">
        <f>VLOOKUP(K28,[1]Sheet1!$C$1:$D$101,2,)</f>
        <v>Map Binder (Length 5.0Cm, Width 5.0Cm, Height 5.0Cm, Weight 5Gr)</v>
      </c>
      <c r="R28" s="77">
        <v>50000</v>
      </c>
      <c r="S28" s="78">
        <v>54000</v>
      </c>
      <c r="T28" s="79" t="str">
        <f>[1]Data2025!T27</f>
        <v>UD. JOSUA</v>
      </c>
      <c r="U28" s="80" t="s">
        <v>35</v>
      </c>
      <c r="V28" s="79" t="str">
        <f>[1]Data2025!V27</f>
        <v>Gestiwan Bazikho</v>
      </c>
      <c r="W28" s="79" t="str">
        <f>[1]Data2025!X27</f>
        <v>Jl. Diponegoro Kel. Pasar Telukdalam - Nias Selatan</v>
      </c>
      <c r="X28" s="80" t="s">
        <v>36</v>
      </c>
      <c r="Y28" s="80" t="str">
        <f t="shared" si="1"/>
        <v>Alat Tulis Kantor (ATK)</v>
      </c>
      <c r="Z28" s="81" t="str">
        <f t="shared" si="2"/>
        <v>Alat Tulis Kantor (ATK)</v>
      </c>
      <c r="AA28" s="82" t="s">
        <v>42</v>
      </c>
      <c r="AB28" s="83">
        <v>25000</v>
      </c>
      <c r="AC28" s="83">
        <v>50000</v>
      </c>
      <c r="AD28" s="77">
        <v>50000</v>
      </c>
      <c r="AE28" s="84">
        <v>45045.045045045044</v>
      </c>
      <c r="AF28" s="84">
        <v>50000</v>
      </c>
      <c r="AG28" s="85" t="s">
        <v>38</v>
      </c>
      <c r="AH28" s="86" t="str">
        <f>[1]Data2025!W27</f>
        <v>081375309828</v>
      </c>
    </row>
    <row r="29" spans="1:37" s="88" customFormat="1" ht="16.5" thickTop="1" thickBot="1">
      <c r="A29" s="64" t="str">
        <f>[1]Data2025!G28</f>
        <v>04</v>
      </c>
      <c r="B29" s="65" t="str">
        <f>[1]Data2025!K28</f>
        <v>BPU04</v>
      </c>
      <c r="C29" s="66" t="str">
        <f>[1]Data2025!D28</f>
        <v>06. 05. 08.</v>
      </c>
      <c r="D29" s="67" t="str">
        <f>[1]Data2025!C28</f>
        <v>5.1.02.01.01.0024</v>
      </c>
      <c r="E29" s="68">
        <f>[1]Data2025!E28</f>
        <v>45661</v>
      </c>
      <c r="F29" s="69" t="str">
        <f>[1]Data2025!F28</f>
        <v>06/01/2025</v>
      </c>
      <c r="G29" s="68" t="str">
        <f>[1]Data2025!H28</f>
        <v>06/01/2025</v>
      </c>
      <c r="H29" s="68" t="str">
        <f t="shared" si="0"/>
        <v>06/01/2025</v>
      </c>
      <c r="I29" s="70" t="str">
        <f>[1]Data2025!J28</f>
        <v>23/01/2025</v>
      </c>
      <c r="J29" s="71" t="str">
        <f>[1]Data2025!L28</f>
        <v>Stofmap Kertas</v>
      </c>
      <c r="K29" s="71" t="str">
        <f>[1]Data2025!M28</f>
        <v>Stofmap Kertas</v>
      </c>
      <c r="L29" s="72">
        <f>[1]Data2025!N28</f>
        <v>1</v>
      </c>
      <c r="M29" s="72" t="str">
        <f>[1]Data2025!O28</f>
        <v>pak</v>
      </c>
      <c r="N29" s="73">
        <f>[1]Data2025!P28</f>
        <v>88000</v>
      </c>
      <c r="O29" s="74">
        <f>[1]Data2025!Q28</f>
        <v>88000</v>
      </c>
      <c r="P29" s="75" t="s">
        <v>43</v>
      </c>
      <c r="Q29" s="76" t="str">
        <f>VLOOKUP(K29,[1]Sheet1!$C$1:$D$101,2,)</f>
        <v>Stofmap Kertas (Length 5.0Cm, Width 5.0Cm, Height 5.0Cm, Weight 5Gr)</v>
      </c>
      <c r="R29" s="77">
        <v>45000</v>
      </c>
      <c r="S29" s="78">
        <v>47000</v>
      </c>
      <c r="T29" s="79" t="str">
        <f>[1]Data2025!T28</f>
        <v>UD. JOSUA</v>
      </c>
      <c r="U29" s="80" t="s">
        <v>35</v>
      </c>
      <c r="V29" s="79" t="str">
        <f>[1]Data2025!V28</f>
        <v>Gestiwan Bazikho</v>
      </c>
      <c r="W29" s="79" t="str">
        <f>[1]Data2025!X28</f>
        <v>Jl. Diponegoro Kel. Pasar Telukdalam - Nias Selatan</v>
      </c>
      <c r="X29" s="80" t="s">
        <v>36</v>
      </c>
      <c r="Y29" s="80" t="str">
        <f t="shared" si="1"/>
        <v>Alat Tulis Kantor (ATK)</v>
      </c>
      <c r="Z29" s="81" t="str">
        <f t="shared" si="2"/>
        <v>Alat Tulis Kantor (ATK)</v>
      </c>
      <c r="AA29" s="82" t="s">
        <v>44</v>
      </c>
      <c r="AB29" s="83">
        <v>45000</v>
      </c>
      <c r="AC29" s="83">
        <v>45000</v>
      </c>
      <c r="AD29" s="77">
        <v>45000</v>
      </c>
      <c r="AE29" s="84">
        <v>40540.54054054054</v>
      </c>
      <c r="AF29" s="84">
        <v>45000</v>
      </c>
      <c r="AG29" s="85" t="s">
        <v>38</v>
      </c>
      <c r="AH29" s="86" t="str">
        <f>[1]Data2025!W28</f>
        <v>081375309828</v>
      </c>
    </row>
    <row r="30" spans="1:37" s="88" customFormat="1" ht="16.5" thickTop="1" thickBot="1">
      <c r="A30" s="64" t="str">
        <f>[1]Data2025!G29</f>
        <v>04</v>
      </c>
      <c r="B30" s="65" t="str">
        <f>[1]Data2025!K29</f>
        <v>BPU04</v>
      </c>
      <c r="C30" s="66" t="str">
        <f>[1]Data2025!D29</f>
        <v>06. 05. 08.</v>
      </c>
      <c r="D30" s="67" t="str">
        <f>[1]Data2025!C29</f>
        <v>5.1.02.01.01.0024</v>
      </c>
      <c r="E30" s="68">
        <f>[1]Data2025!E29</f>
        <v>45661</v>
      </c>
      <c r="F30" s="69" t="str">
        <f>[1]Data2025!F29</f>
        <v>06/01/2025</v>
      </c>
      <c r="G30" s="68" t="str">
        <f>[1]Data2025!H29</f>
        <v>06/01/2025</v>
      </c>
      <c r="H30" s="68" t="str">
        <f t="shared" si="0"/>
        <v>06/01/2025</v>
      </c>
      <c r="I30" s="70" t="str">
        <f>[1]Data2025!J29</f>
        <v>23/01/2025</v>
      </c>
      <c r="J30" s="71" t="str">
        <f>[1]Data2025!L29</f>
        <v>Stofmap Transparan tali</v>
      </c>
      <c r="K30" s="71" t="str">
        <f>[1]Data2025!M29</f>
        <v>Stofmap Transparan tali</v>
      </c>
      <c r="L30" s="72">
        <f>[1]Data2025!N29</f>
        <v>100</v>
      </c>
      <c r="M30" s="72" t="str">
        <f>[1]Data2025!O29</f>
        <v>buah</v>
      </c>
      <c r="N30" s="73">
        <f>[1]Data2025!P29</f>
        <v>5500</v>
      </c>
      <c r="O30" s="74">
        <f>[1]Data2025!Q29</f>
        <v>550000</v>
      </c>
      <c r="P30" s="75" t="s">
        <v>43</v>
      </c>
      <c r="Q30" s="76" t="str">
        <f>VLOOKUP(K30,[1]Sheet1!$C$1:$D$101,2,)</f>
        <v>Stofmap Transparan tali (Merk : Jenia Tipe : 2 Kancing + Tali Ukuran : 255 x 375 mm Bahan : Plastik PP 0,14 Micron)</v>
      </c>
      <c r="R30" s="77">
        <v>77500</v>
      </c>
      <c r="S30" s="78">
        <v>87500</v>
      </c>
      <c r="T30" s="79" t="str">
        <f>[1]Data2025!T29</f>
        <v>UD. JOSUA</v>
      </c>
      <c r="U30" s="80" t="s">
        <v>35</v>
      </c>
      <c r="V30" s="79" t="str">
        <f>[1]Data2025!V29</f>
        <v>Gestiwan Bazikho</v>
      </c>
      <c r="W30" s="79" t="str">
        <f>[1]Data2025!X29</f>
        <v>Jl. Diponegoro Kel. Pasar Telukdalam - Nias Selatan</v>
      </c>
      <c r="X30" s="80" t="s">
        <v>36</v>
      </c>
      <c r="Y30" s="80" t="str">
        <f t="shared" si="1"/>
        <v>Alat Tulis Kantor (ATK)</v>
      </c>
      <c r="Z30" s="81" t="str">
        <f t="shared" si="2"/>
        <v>Alat Tulis Kantor (ATK)</v>
      </c>
      <c r="AA30" s="82" t="s">
        <v>42</v>
      </c>
      <c r="AB30" s="83">
        <v>15500</v>
      </c>
      <c r="AC30" s="83">
        <v>77500</v>
      </c>
      <c r="AD30" s="77">
        <v>77500</v>
      </c>
      <c r="AE30" s="84">
        <v>69819.819819819822</v>
      </c>
      <c r="AF30" s="84">
        <v>77500</v>
      </c>
      <c r="AG30" s="85" t="s">
        <v>38</v>
      </c>
      <c r="AH30" s="86" t="str">
        <f>[1]Data2025!W29</f>
        <v>081375309828</v>
      </c>
    </row>
    <row r="31" spans="1:37" s="88" customFormat="1" ht="16.5" thickTop="1" thickBot="1">
      <c r="A31" s="64" t="str">
        <f>[1]Data2025!G30</f>
        <v>04</v>
      </c>
      <c r="B31" s="65" t="str">
        <f>[1]Data2025!K30</f>
        <v>BPU04</v>
      </c>
      <c r="C31" s="66" t="str">
        <f>[1]Data2025!D30</f>
        <v>06. 05. 08.</v>
      </c>
      <c r="D31" s="67" t="str">
        <f>[1]Data2025!C30</f>
        <v>5.1.02.01.01.0024</v>
      </c>
      <c r="E31" s="68">
        <f>[1]Data2025!E30</f>
        <v>45661</v>
      </c>
      <c r="F31" s="69" t="str">
        <f>[1]Data2025!F30</f>
        <v>06/01/2025</v>
      </c>
      <c r="G31" s="68" t="str">
        <f>[1]Data2025!H30</f>
        <v>06/01/2025</v>
      </c>
      <c r="H31" s="68" t="str">
        <f t="shared" si="0"/>
        <v>06/01/2025</v>
      </c>
      <c r="I31" s="70" t="str">
        <f>[1]Data2025!J30</f>
        <v>23/01/2025</v>
      </c>
      <c r="J31" s="71" t="str">
        <f>[1]Data2025!L30</f>
        <v>Stofmap Transparan</v>
      </c>
      <c r="K31" s="71" t="str">
        <f>[1]Data2025!M30</f>
        <v>Stofmap Transparan</v>
      </c>
      <c r="L31" s="72">
        <f>[1]Data2025!N30</f>
        <v>100</v>
      </c>
      <c r="M31" s="72" t="str">
        <f>[1]Data2025!O30</f>
        <v>buah</v>
      </c>
      <c r="N31" s="73">
        <f>[1]Data2025!P30</f>
        <v>5500</v>
      </c>
      <c r="O31" s="74">
        <f>[1]Data2025!Q30</f>
        <v>550000</v>
      </c>
      <c r="P31" s="75" t="s">
        <v>43</v>
      </c>
      <c r="Q31" s="76" t="str">
        <f>VLOOKUP(K31,[1]Sheet1!$C$1:$D$101,2,)</f>
        <v>Stofmap Transparan (Length 5.0Cm, Width 5.0Cm, Height 5.0Cm, Weight 5Gr)</v>
      </c>
      <c r="R31" s="77">
        <v>30000</v>
      </c>
      <c r="S31" s="78">
        <v>40000</v>
      </c>
      <c r="T31" s="79" t="str">
        <f>[1]Data2025!T30</f>
        <v>UD. JOSUA</v>
      </c>
      <c r="U31" s="80" t="s">
        <v>35</v>
      </c>
      <c r="V31" s="79" t="str">
        <f>[1]Data2025!V30</f>
        <v>Gestiwan Bazikho</v>
      </c>
      <c r="W31" s="79" t="str">
        <f>[1]Data2025!X30</f>
        <v>Jl. Diponegoro Kel. Pasar Telukdalam - Nias Selatan</v>
      </c>
      <c r="X31" s="80" t="s">
        <v>36</v>
      </c>
      <c r="Y31" s="80" t="str">
        <f t="shared" si="1"/>
        <v>Alat Tulis Kantor (ATK)</v>
      </c>
      <c r="Z31" s="81" t="str">
        <f t="shared" si="2"/>
        <v>Alat Tulis Kantor (ATK)</v>
      </c>
      <c r="AA31" s="82" t="s">
        <v>37</v>
      </c>
      <c r="AB31" s="83">
        <v>6000</v>
      </c>
      <c r="AC31" s="83">
        <v>30000</v>
      </c>
      <c r="AD31" s="77">
        <v>30000</v>
      </c>
      <c r="AE31" s="84">
        <v>27027.027027027027</v>
      </c>
      <c r="AF31" s="84">
        <v>30000</v>
      </c>
      <c r="AG31" s="85" t="s">
        <v>38</v>
      </c>
      <c r="AH31" s="86" t="str">
        <f>[1]Data2025!W30</f>
        <v>081375309828</v>
      </c>
    </row>
    <row r="32" spans="1:37" s="88" customFormat="1" ht="16.5" thickTop="1" thickBot="1">
      <c r="A32" s="64" t="str">
        <f>[1]Data2025!G31</f>
        <v>04</v>
      </c>
      <c r="B32" s="65" t="str">
        <f>[1]Data2025!K31</f>
        <v>BPU04</v>
      </c>
      <c r="C32" s="66" t="str">
        <f>[1]Data2025!D31</f>
        <v>06. 05. 08.</v>
      </c>
      <c r="D32" s="67" t="str">
        <f>[1]Data2025!C31</f>
        <v>5.1.02.01.01.0024</v>
      </c>
      <c r="E32" s="68">
        <f>[1]Data2025!E31</f>
        <v>45661</v>
      </c>
      <c r="F32" s="69" t="str">
        <f>[1]Data2025!F31</f>
        <v>06/01/2025</v>
      </c>
      <c r="G32" s="68" t="str">
        <f>[1]Data2025!H31</f>
        <v>06/01/2025</v>
      </c>
      <c r="H32" s="68" t="str">
        <f t="shared" si="0"/>
        <v>06/01/2025</v>
      </c>
      <c r="I32" s="70" t="str">
        <f>[1]Data2025!J31</f>
        <v>23/01/2025</v>
      </c>
      <c r="J32" s="71" t="str">
        <f>[1]Data2025!L31</f>
        <v>Binder Klip Ordner</v>
      </c>
      <c r="K32" s="71" t="str">
        <f>[1]Data2025!M31</f>
        <v>Binder Klip Ordner</v>
      </c>
      <c r="L32" s="72">
        <f>[1]Data2025!N31</f>
        <v>6</v>
      </c>
      <c r="M32" s="72" t="str">
        <f>[1]Data2025!O31</f>
        <v>buah</v>
      </c>
      <c r="N32" s="73">
        <f>[1]Data2025!P31</f>
        <v>49500</v>
      </c>
      <c r="O32" s="74">
        <f>[1]Data2025!Q31</f>
        <v>297000</v>
      </c>
      <c r="P32" s="75" t="s">
        <v>43</v>
      </c>
      <c r="Q32" s="76" t="str">
        <f>VLOOKUP(K32,[1]Sheet1!$C$1:$D$101,2,)</f>
        <v>Binder Klip Ordner (Length 5.0Cm, Width 5.0Cm, Height 5.0Cm, Weight 5Gr)</v>
      </c>
      <c r="R32" s="77">
        <v>125000</v>
      </c>
      <c r="S32" s="78">
        <v>135000</v>
      </c>
      <c r="T32" s="79" t="str">
        <f>[1]Data2025!T31</f>
        <v>UD. JOSUA</v>
      </c>
      <c r="U32" s="80" t="s">
        <v>35</v>
      </c>
      <c r="V32" s="79" t="str">
        <f>[1]Data2025!V31</f>
        <v>Gestiwan Bazikho</v>
      </c>
      <c r="W32" s="79" t="str">
        <f>[1]Data2025!X31</f>
        <v>Jl. Diponegoro Kel. Pasar Telukdalam - Nias Selatan</v>
      </c>
      <c r="X32" s="80" t="s">
        <v>36</v>
      </c>
      <c r="Y32" s="80" t="str">
        <f t="shared" si="1"/>
        <v>Alat Tulis Kantor (ATK)</v>
      </c>
      <c r="Z32" s="81" t="str">
        <f t="shared" si="2"/>
        <v>Alat Tulis Kantor (ATK)</v>
      </c>
      <c r="AA32" s="82" t="s">
        <v>42</v>
      </c>
      <c r="AB32" s="83">
        <v>25000</v>
      </c>
      <c r="AC32" s="83">
        <v>125000</v>
      </c>
      <c r="AD32" s="77">
        <v>125000</v>
      </c>
      <c r="AE32" s="84">
        <v>112612.61261261262</v>
      </c>
      <c r="AF32" s="84">
        <v>125000</v>
      </c>
      <c r="AG32" s="85" t="s">
        <v>38</v>
      </c>
      <c r="AH32" s="86" t="str">
        <f>[1]Data2025!W31</f>
        <v>081375309828</v>
      </c>
    </row>
    <row r="33" spans="1:37" s="88" customFormat="1" ht="26" thickTop="1" thickBot="1">
      <c r="A33" s="64" t="str">
        <f>[1]Data2025!G32</f>
        <v>04</v>
      </c>
      <c r="B33" s="65" t="str">
        <f>[1]Data2025!K32</f>
        <v>BPU04</v>
      </c>
      <c r="C33" s="66" t="str">
        <f>[1]Data2025!D32</f>
        <v>06. 05. 08.</v>
      </c>
      <c r="D33" s="67" t="str">
        <f>[1]Data2025!C32</f>
        <v>5.1.02.01.01.0024</v>
      </c>
      <c r="E33" s="68">
        <f>[1]Data2025!E32</f>
        <v>45661</v>
      </c>
      <c r="F33" s="69" t="str">
        <f>[1]Data2025!F32</f>
        <v>06/01/2025</v>
      </c>
      <c r="G33" s="68" t="str">
        <f>[1]Data2025!H32</f>
        <v>06/01/2025</v>
      </c>
      <c r="H33" s="68" t="str">
        <f t="shared" si="0"/>
        <v>06/01/2025</v>
      </c>
      <c r="I33" s="70" t="str">
        <f>[1]Data2025!J32</f>
        <v>23/01/2025</v>
      </c>
      <c r="J33" s="71" t="str">
        <f>[1]Data2025!L32</f>
        <v>Box File Merk : Bantex Ukuran : 115x270x325 mm</v>
      </c>
      <c r="K33" s="71" t="str">
        <f>[1]Data2025!M32</f>
        <v>Box File Merk : Bantex Ukuran : 115x270x325 mm</v>
      </c>
      <c r="L33" s="72">
        <f>[1]Data2025!N32</f>
        <v>4</v>
      </c>
      <c r="M33" s="72" t="str">
        <f>[1]Data2025!O32</f>
        <v>buah</v>
      </c>
      <c r="N33" s="73">
        <f>[1]Data2025!P32</f>
        <v>59000</v>
      </c>
      <c r="O33" s="74">
        <f>[1]Data2025!Q32</f>
        <v>236000</v>
      </c>
      <c r="P33" s="75" t="s">
        <v>43</v>
      </c>
      <c r="Q33" s="76" t="str">
        <f>VLOOKUP(K33,[1]Sheet1!$C$1:$D$101,2,)</f>
        <v>Box File (Length 5.0Cm, Width 5.0Cm, Height 5.0Cm, Weight 5Gr)</v>
      </c>
      <c r="R33" s="77">
        <v>500000</v>
      </c>
      <c r="S33" s="78">
        <v>520000</v>
      </c>
      <c r="T33" s="79" t="str">
        <f>[1]Data2025!T32</f>
        <v>UD. JOSUA</v>
      </c>
      <c r="U33" s="80" t="s">
        <v>35</v>
      </c>
      <c r="V33" s="79" t="str">
        <f>[1]Data2025!V32</f>
        <v>Gestiwan Bazikho</v>
      </c>
      <c r="W33" s="79" t="str">
        <f>[1]Data2025!X32</f>
        <v>Jl. Diponegoro Kel. Pasar Telukdalam - Nias Selatan</v>
      </c>
      <c r="X33" s="80" t="s">
        <v>36</v>
      </c>
      <c r="Y33" s="80" t="str">
        <f t="shared" si="1"/>
        <v>Alat Tulis Kantor (ATK)</v>
      </c>
      <c r="Z33" s="81" t="str">
        <f t="shared" si="2"/>
        <v>Alat Tulis Kantor (ATK)</v>
      </c>
      <c r="AA33" s="82" t="s">
        <v>44</v>
      </c>
      <c r="AB33" s="83">
        <v>50000</v>
      </c>
      <c r="AC33" s="83">
        <v>500000</v>
      </c>
      <c r="AD33" s="77">
        <v>500000</v>
      </c>
      <c r="AE33" s="84">
        <v>450450.45045045047</v>
      </c>
      <c r="AF33" s="84">
        <v>500000</v>
      </c>
      <c r="AG33" s="85" t="s">
        <v>38</v>
      </c>
      <c r="AH33" s="86" t="str">
        <f>[1]Data2025!W32</f>
        <v>081375309828</v>
      </c>
    </row>
    <row r="34" spans="1:37" s="88" customFormat="1" ht="16.5" thickTop="1" thickBot="1">
      <c r="A34" s="64" t="str">
        <f>[1]Data2025!G33</f>
        <v>04</v>
      </c>
      <c r="B34" s="65" t="str">
        <f>[1]Data2025!K33</f>
        <v>BPU04</v>
      </c>
      <c r="C34" s="66" t="str">
        <f>[1]Data2025!D33</f>
        <v>06. 05. 08.</v>
      </c>
      <c r="D34" s="67" t="str">
        <f>[1]Data2025!C33</f>
        <v>5.1.02.01.01.0024</v>
      </c>
      <c r="E34" s="68">
        <f>[1]Data2025!E33</f>
        <v>45661</v>
      </c>
      <c r="F34" s="69" t="str">
        <f>[1]Data2025!F33</f>
        <v>06/01/2025</v>
      </c>
      <c r="G34" s="68" t="str">
        <f>[1]Data2025!H33</f>
        <v>06/01/2025</v>
      </c>
      <c r="H34" s="68" t="str">
        <f t="shared" si="0"/>
        <v>06/01/2025</v>
      </c>
      <c r="I34" s="70" t="str">
        <f>[1]Data2025!J33</f>
        <v>23/01/2025</v>
      </c>
      <c r="J34" s="71" t="str">
        <f>[1]Data2025!L33</f>
        <v>Sampul Plastik</v>
      </c>
      <c r="K34" s="71" t="str">
        <f>[1]Data2025!M33</f>
        <v>Sampul Plastik</v>
      </c>
      <c r="L34" s="72">
        <f>[1]Data2025!N33</f>
        <v>5</v>
      </c>
      <c r="M34" s="72" t="str">
        <f>[1]Data2025!O33</f>
        <v>bungkus</v>
      </c>
      <c r="N34" s="73">
        <f>[1]Data2025!P33</f>
        <v>65000</v>
      </c>
      <c r="O34" s="74">
        <f>[1]Data2025!Q33</f>
        <v>325000</v>
      </c>
      <c r="P34" s="75" t="s">
        <v>43</v>
      </c>
      <c r="Q34" s="76" t="str">
        <f>VLOOKUP(K34,[1]Sheet1!$C$1:$D$101,2,)</f>
        <v>Sampul Plastik (Length 5.0Cm, Width 5.0Cm, Height 5.0Cm, Weight 5Gr)</v>
      </c>
      <c r="R34" s="77">
        <v>240000</v>
      </c>
      <c r="S34" s="78">
        <v>244000</v>
      </c>
      <c r="T34" s="79" t="str">
        <f>[1]Data2025!T33</f>
        <v>UD. JOSUA</v>
      </c>
      <c r="U34" s="80" t="s">
        <v>35</v>
      </c>
      <c r="V34" s="79" t="str">
        <f>[1]Data2025!V33</f>
        <v>Gestiwan Bazikho</v>
      </c>
      <c r="W34" s="79" t="str">
        <f>[1]Data2025!X33</f>
        <v>Jl. Diponegoro Kel. Pasar Telukdalam - Nias Selatan</v>
      </c>
      <c r="X34" s="80" t="s">
        <v>36</v>
      </c>
      <c r="Y34" s="80" t="str">
        <f t="shared" si="1"/>
        <v>Alat Tulis Kantor (ATK)</v>
      </c>
      <c r="Z34" s="81" t="str">
        <f t="shared" si="2"/>
        <v>Alat Tulis Kantor (ATK)</v>
      </c>
      <c r="AA34" s="82" t="s">
        <v>40</v>
      </c>
      <c r="AB34" s="83">
        <v>120000</v>
      </c>
      <c r="AC34" s="83">
        <v>240000</v>
      </c>
      <c r="AD34" s="77">
        <v>240000</v>
      </c>
      <c r="AE34" s="84">
        <v>216216.21621621621</v>
      </c>
      <c r="AF34" s="84">
        <v>240000</v>
      </c>
      <c r="AG34" s="85" t="s">
        <v>38</v>
      </c>
      <c r="AH34" s="86" t="str">
        <f>[1]Data2025!W33</f>
        <v>081375309828</v>
      </c>
    </row>
    <row r="35" spans="1:37" s="88" customFormat="1" ht="26" thickTop="1" thickBot="1">
      <c r="A35" s="64" t="str">
        <f>[1]Data2025!G34</f>
        <v>04</v>
      </c>
      <c r="B35" s="65" t="str">
        <f>[1]Data2025!K34</f>
        <v>BPU04</v>
      </c>
      <c r="C35" s="66" t="str">
        <f>[1]Data2025!D34</f>
        <v>06. 05. 08.</v>
      </c>
      <c r="D35" s="67" t="str">
        <f>[1]Data2025!C34</f>
        <v>5.1.02.01.01.0024</v>
      </c>
      <c r="E35" s="68">
        <f>[1]Data2025!E34</f>
        <v>45661</v>
      </c>
      <c r="F35" s="69" t="str">
        <f>[1]Data2025!F34</f>
        <v>06/01/2025</v>
      </c>
      <c r="G35" s="68" t="str">
        <f>[1]Data2025!H34</f>
        <v>06/01/2025</v>
      </c>
      <c r="H35" s="68" t="str">
        <f t="shared" si="0"/>
        <v>06/01/2025</v>
      </c>
      <c r="I35" s="70" t="str">
        <f>[1]Data2025!J34</f>
        <v>23/01/2025</v>
      </c>
      <c r="J35" s="71" t="str">
        <f>[1]Data2025!L34</f>
        <v>Tinta Printer Canon 740 Hitam-740 Hitam</v>
      </c>
      <c r="K35" s="71" t="str">
        <f>[1]Data2025!M34</f>
        <v>Tinta Printer Canon 740 Hitam-740 Hitam</v>
      </c>
      <c r="L35" s="72">
        <f>[1]Data2025!N34</f>
        <v>8</v>
      </c>
      <c r="M35" s="72" t="str">
        <f>[1]Data2025!O34</f>
        <v>botol</v>
      </c>
      <c r="N35" s="73">
        <f>[1]Data2025!P34</f>
        <v>30000</v>
      </c>
      <c r="O35" s="74">
        <f>[1]Data2025!Q34</f>
        <v>240000</v>
      </c>
      <c r="P35" s="75" t="s">
        <v>43</v>
      </c>
      <c r="Q35" s="76" t="str">
        <f>VLOOKUP(K35,[1]Sheet1!$C$1:$D$101,2,)</f>
        <v>Tinta Printer Canon Aiflo Hitam (Length 5.0cm, Width 5.0cm, Height 5.0cm, Weight 5gr)</v>
      </c>
      <c r="R35" s="77">
        <v>30000</v>
      </c>
      <c r="S35" s="78">
        <v>34000</v>
      </c>
      <c r="T35" s="79" t="str">
        <f>[1]Data2025!T34</f>
        <v>UD. JOSUA</v>
      </c>
      <c r="U35" s="80" t="s">
        <v>35</v>
      </c>
      <c r="V35" s="79" t="str">
        <f>[1]Data2025!V34</f>
        <v>Gestiwan Bazikho</v>
      </c>
      <c r="W35" s="79" t="str">
        <f>[1]Data2025!X34</f>
        <v>Jl. Diponegoro Kel. Pasar Telukdalam - Nias Selatan</v>
      </c>
      <c r="X35" s="80" t="s">
        <v>36</v>
      </c>
      <c r="Y35" s="80" t="str">
        <f t="shared" si="1"/>
        <v>Alat Tulis Kantor (ATK)</v>
      </c>
      <c r="Z35" s="81" t="str">
        <f t="shared" si="2"/>
        <v>Alat Tulis Kantor (ATK)</v>
      </c>
      <c r="AA35" s="82" t="s">
        <v>42</v>
      </c>
      <c r="AB35" s="83">
        <v>15000</v>
      </c>
      <c r="AC35" s="83">
        <v>30000</v>
      </c>
      <c r="AD35" s="77">
        <v>30000</v>
      </c>
      <c r="AE35" s="84">
        <v>27027.027027027027</v>
      </c>
      <c r="AF35" s="84">
        <v>30000</v>
      </c>
      <c r="AG35" s="85" t="s">
        <v>38</v>
      </c>
      <c r="AH35" s="86" t="str">
        <f>[1]Data2025!W34</f>
        <v>081375309828</v>
      </c>
    </row>
    <row r="36" spans="1:37" s="88" customFormat="1" ht="26" thickTop="1" thickBot="1">
      <c r="A36" s="64" t="str">
        <f>[1]Data2025!G35</f>
        <v>04</v>
      </c>
      <c r="B36" s="65" t="str">
        <f>[1]Data2025!K35</f>
        <v>BPU04</v>
      </c>
      <c r="C36" s="66" t="str">
        <f>[1]Data2025!D35</f>
        <v>06. 05. 08.</v>
      </c>
      <c r="D36" s="67" t="str">
        <f>[1]Data2025!C35</f>
        <v>5.1.02.01.01.0024</v>
      </c>
      <c r="E36" s="68">
        <f>[1]Data2025!E35</f>
        <v>45661</v>
      </c>
      <c r="F36" s="69" t="str">
        <f>[1]Data2025!F35</f>
        <v>06/01/2025</v>
      </c>
      <c r="G36" s="68" t="str">
        <f>[1]Data2025!H35</f>
        <v>06/01/2025</v>
      </c>
      <c r="H36" s="68" t="str">
        <f t="shared" si="0"/>
        <v>06/01/2025</v>
      </c>
      <c r="I36" s="70" t="str">
        <f>[1]Data2025!J35</f>
        <v>23/01/2025</v>
      </c>
      <c r="J36" s="71" t="str">
        <f>[1]Data2025!L35</f>
        <v>Tinta Printer Canon 741 Warna-741 Warna</v>
      </c>
      <c r="K36" s="71" t="str">
        <f>[1]Data2025!M35</f>
        <v>Tinta Printer Canon 741 Warna-741 Warna</v>
      </c>
      <c r="L36" s="72">
        <f>[1]Data2025!N35</f>
        <v>12</v>
      </c>
      <c r="M36" s="72" t="str">
        <f>[1]Data2025!O35</f>
        <v>botol</v>
      </c>
      <c r="N36" s="73">
        <f>[1]Data2025!P35</f>
        <v>33000</v>
      </c>
      <c r="O36" s="74">
        <f>[1]Data2025!Q35</f>
        <v>396000</v>
      </c>
      <c r="P36" s="75" t="s">
        <v>43</v>
      </c>
      <c r="Q36" s="76" t="str">
        <f>VLOOKUP(K36,[1]Sheet1!$C$1:$D$101,2,)</f>
        <v>Tinta Printer Canon Aiflo Warna (Length 5.0cm, Width 5.0cm, Height 5.0cm, Weight 5gr)</v>
      </c>
      <c r="R36" s="77">
        <v>70800</v>
      </c>
      <c r="S36" s="78">
        <v>74800</v>
      </c>
      <c r="T36" s="79" t="str">
        <f>[1]Data2025!T35</f>
        <v>UD. JOSUA</v>
      </c>
      <c r="U36" s="80" t="s">
        <v>35</v>
      </c>
      <c r="V36" s="79" t="str">
        <f>[1]Data2025!V35</f>
        <v>Gestiwan Bazikho</v>
      </c>
      <c r="W36" s="79" t="str">
        <f>[1]Data2025!X35</f>
        <v>Jl. Diponegoro Kel. Pasar Telukdalam - Nias Selatan</v>
      </c>
      <c r="X36" s="80" t="s">
        <v>36</v>
      </c>
      <c r="Y36" s="80" t="str">
        <f t="shared" si="1"/>
        <v>Alat Tulis Kantor (ATK)</v>
      </c>
      <c r="Z36" s="81" t="str">
        <f t="shared" si="2"/>
        <v>Alat Tulis Kantor (ATK)</v>
      </c>
      <c r="AA36" s="82" t="s">
        <v>42</v>
      </c>
      <c r="AB36" s="83">
        <v>35400</v>
      </c>
      <c r="AC36" s="83">
        <v>70800</v>
      </c>
      <c r="AD36" s="77">
        <v>70800</v>
      </c>
      <c r="AE36" s="84">
        <v>63783.783783783787</v>
      </c>
      <c r="AF36" s="84">
        <v>70800</v>
      </c>
      <c r="AG36" s="85" t="s">
        <v>38</v>
      </c>
      <c r="AH36" s="86" t="str">
        <f>[1]Data2025!W35</f>
        <v>081375309828</v>
      </c>
      <c r="AI36" s="87"/>
      <c r="AJ36" s="87"/>
      <c r="AK36" s="90"/>
    </row>
    <row r="37" spans="1:37" s="88" customFormat="1" ht="26" thickTop="1" thickBot="1">
      <c r="A37" s="64" t="str">
        <f>[1]Data2025!G36</f>
        <v>04</v>
      </c>
      <c r="B37" s="65" t="str">
        <f>[1]Data2025!K36</f>
        <v>BPU04</v>
      </c>
      <c r="C37" s="66" t="str">
        <f>[1]Data2025!D36</f>
        <v>06. 05. 08.</v>
      </c>
      <c r="D37" s="67" t="str">
        <f>[1]Data2025!C36</f>
        <v>5.1.02.01.01.0024</v>
      </c>
      <c r="E37" s="68">
        <f>[1]Data2025!E36</f>
        <v>45661</v>
      </c>
      <c r="F37" s="69" t="str">
        <f>[1]Data2025!F36</f>
        <v>06/01/2025</v>
      </c>
      <c r="G37" s="68" t="str">
        <f>[1]Data2025!H36</f>
        <v>06/01/2025</v>
      </c>
      <c r="H37" s="68" t="str">
        <f t="shared" si="0"/>
        <v>06/01/2025</v>
      </c>
      <c r="I37" s="70" t="str">
        <f>[1]Data2025!J36</f>
        <v>23/01/2025</v>
      </c>
      <c r="J37" s="71" t="str">
        <f>[1]Data2025!L36</f>
        <v>C. Tinta Printer EPSON Toner Epson 664 Black</v>
      </c>
      <c r="K37" s="71" t="str">
        <f>[1]Data2025!M36</f>
        <v>C. Tinta Printer EPSON Toner Epson 664 Black</v>
      </c>
      <c r="L37" s="72">
        <f>[1]Data2025!N36</f>
        <v>6</v>
      </c>
      <c r="M37" s="72" t="str">
        <f>[1]Data2025!O36</f>
        <v>botol</v>
      </c>
      <c r="N37" s="73">
        <f>[1]Data2025!P36</f>
        <v>85000</v>
      </c>
      <c r="O37" s="74">
        <f>[1]Data2025!Q36</f>
        <v>510000</v>
      </c>
      <c r="P37" s="75" t="s">
        <v>43</v>
      </c>
      <c r="Q37" s="76" t="str">
        <f>VLOOKUP(K37,[1]Sheet1!$C$1:$D$101,2,)</f>
        <v>Tinta Printer Epson 664 Hitam (Length 5.0Cm, Width 5.0Cm, Height 5.0Cm, Weight 5Gr)</v>
      </c>
      <c r="R37" s="77">
        <v>90000</v>
      </c>
      <c r="S37" s="78">
        <v>102000</v>
      </c>
      <c r="T37" s="79" t="str">
        <f>[1]Data2025!T36</f>
        <v>UD. JOSUA</v>
      </c>
      <c r="U37" s="80" t="s">
        <v>35</v>
      </c>
      <c r="V37" s="79" t="str">
        <f>[1]Data2025!V36</f>
        <v>Gestiwan Bazikho</v>
      </c>
      <c r="W37" s="79" t="str">
        <f>[1]Data2025!X36</f>
        <v>Jl. Diponegoro Kel. Pasar Telukdalam - Nias Selatan</v>
      </c>
      <c r="X37" s="80" t="s">
        <v>36</v>
      </c>
      <c r="Y37" s="80" t="str">
        <f t="shared" si="1"/>
        <v>Alat Tulis Kantor (ATK)</v>
      </c>
      <c r="Z37" s="81" t="str">
        <f t="shared" si="2"/>
        <v>Alat Tulis Kantor (ATK)</v>
      </c>
      <c r="AA37" s="82" t="s">
        <v>42</v>
      </c>
      <c r="AB37" s="83">
        <v>15000</v>
      </c>
      <c r="AC37" s="83">
        <v>90000</v>
      </c>
      <c r="AD37" s="77">
        <v>90000</v>
      </c>
      <c r="AE37" s="84">
        <v>81081.08108108108</v>
      </c>
      <c r="AF37" s="84">
        <v>90000</v>
      </c>
      <c r="AG37" s="85" t="s">
        <v>38</v>
      </c>
      <c r="AH37" s="86" t="str">
        <f>[1]Data2025!W36</f>
        <v>081375309828</v>
      </c>
    </row>
    <row r="38" spans="1:37" s="88" customFormat="1" ht="26" thickTop="1" thickBot="1">
      <c r="A38" s="64" t="str">
        <f>[1]Data2025!G37</f>
        <v>04</v>
      </c>
      <c r="B38" s="65" t="str">
        <f>[1]Data2025!K37</f>
        <v>BPU04</v>
      </c>
      <c r="C38" s="66" t="str">
        <f>[1]Data2025!D37</f>
        <v>06. 05. 08.</v>
      </c>
      <c r="D38" s="67" t="str">
        <f>[1]Data2025!C37</f>
        <v>5.1.02.01.01.0024</v>
      </c>
      <c r="E38" s="68">
        <f>[1]Data2025!E37</f>
        <v>45661</v>
      </c>
      <c r="F38" s="69" t="str">
        <f>[1]Data2025!F37</f>
        <v>06/01/2025</v>
      </c>
      <c r="G38" s="68" t="str">
        <f>[1]Data2025!H37</f>
        <v>06/01/2025</v>
      </c>
      <c r="H38" s="68" t="str">
        <f t="shared" si="0"/>
        <v>06/01/2025</v>
      </c>
      <c r="I38" s="70" t="str">
        <f>[1]Data2025!J37</f>
        <v>23/01/2025</v>
      </c>
      <c r="J38" s="71" t="str">
        <f>[1]Data2025!L37</f>
        <v>C. Tinta Printer EPSON Tinta Printer Epson Yellow</v>
      </c>
      <c r="K38" s="71" t="str">
        <f>[1]Data2025!M37</f>
        <v>C. Tinta Printer EPSON Tinta Printer Epson Yellow</v>
      </c>
      <c r="L38" s="72">
        <f>[1]Data2025!N37</f>
        <v>4</v>
      </c>
      <c r="M38" s="72" t="str">
        <f>[1]Data2025!O37</f>
        <v>botol</v>
      </c>
      <c r="N38" s="73">
        <f>[1]Data2025!P37</f>
        <v>110000</v>
      </c>
      <c r="O38" s="74">
        <f>[1]Data2025!Q37</f>
        <v>440000</v>
      </c>
      <c r="P38" s="75" t="s">
        <v>43</v>
      </c>
      <c r="Q38" s="76" t="str">
        <f>VLOOKUP(K38,[1]Sheet1!$C$1:$D$101,2,)</f>
        <v>Tinta Printer Epson 664 Kuning (Length 5.0Cm, Width 5.0Cm, Height 5.0Cm, Weight 5Gr)</v>
      </c>
      <c r="R38" s="77">
        <v>200000</v>
      </c>
      <c r="S38" s="78">
        <v>220000</v>
      </c>
      <c r="T38" s="79" t="str">
        <f>[1]Data2025!T37</f>
        <v>UD. JOSUA</v>
      </c>
      <c r="U38" s="80" t="s">
        <v>35</v>
      </c>
      <c r="V38" s="79" t="str">
        <f>[1]Data2025!V37</f>
        <v>Gestiwan Bazikho</v>
      </c>
      <c r="W38" s="79" t="str">
        <f>[1]Data2025!X37</f>
        <v>Jl. Diponegoro Kel. Pasar Telukdalam - Nias Selatan</v>
      </c>
      <c r="X38" s="80" t="s">
        <v>36</v>
      </c>
      <c r="Y38" s="80" t="str">
        <f t="shared" si="1"/>
        <v>Alat Tulis Kantor (ATK)</v>
      </c>
      <c r="Z38" s="81" t="str">
        <f t="shared" si="2"/>
        <v>Alat Tulis Kantor (ATK)</v>
      </c>
      <c r="AA38" s="82" t="s">
        <v>37</v>
      </c>
      <c r="AB38" s="83">
        <v>20000</v>
      </c>
      <c r="AC38" s="83">
        <v>200000</v>
      </c>
      <c r="AD38" s="77">
        <v>200000</v>
      </c>
      <c r="AE38" s="84">
        <v>180180.18018018018</v>
      </c>
      <c r="AF38" s="84">
        <v>200000</v>
      </c>
      <c r="AG38" s="85" t="s">
        <v>38</v>
      </c>
      <c r="AH38" s="86" t="str">
        <f>[1]Data2025!W37</f>
        <v>081375309828</v>
      </c>
    </row>
    <row r="39" spans="1:37" s="88" customFormat="1" ht="26" thickTop="1" thickBot="1">
      <c r="A39" s="64" t="str">
        <f>[1]Data2025!G38</f>
        <v>04</v>
      </c>
      <c r="B39" s="65" t="str">
        <f>[1]Data2025!K38</f>
        <v>BPU04</v>
      </c>
      <c r="C39" s="66" t="str">
        <f>[1]Data2025!D38</f>
        <v>06. 05. 08.</v>
      </c>
      <c r="D39" s="67" t="str">
        <f>[1]Data2025!C38</f>
        <v>5.1.02.01.01.0024</v>
      </c>
      <c r="E39" s="68">
        <f>[1]Data2025!E38</f>
        <v>45661</v>
      </c>
      <c r="F39" s="69" t="str">
        <f>[1]Data2025!F38</f>
        <v>06/01/2025</v>
      </c>
      <c r="G39" s="68" t="str">
        <f>[1]Data2025!H38</f>
        <v>06/01/2025</v>
      </c>
      <c r="H39" s="68" t="str">
        <f t="shared" si="0"/>
        <v>06/01/2025</v>
      </c>
      <c r="I39" s="70" t="str">
        <f>[1]Data2025!J38</f>
        <v>23/01/2025</v>
      </c>
      <c r="J39" s="71" t="str">
        <f>[1]Data2025!L38</f>
        <v>C. Tinta Printer EPSON Tinta Printer Epson Blue</v>
      </c>
      <c r="K39" s="71" t="str">
        <f>[1]Data2025!M38</f>
        <v>C. Tinta Printer EPSON Tinta Printer Epson Blue</v>
      </c>
      <c r="L39" s="72">
        <f>[1]Data2025!N38</f>
        <v>4</v>
      </c>
      <c r="M39" s="72" t="str">
        <f>[1]Data2025!O38</f>
        <v>botol</v>
      </c>
      <c r="N39" s="73">
        <f>[1]Data2025!P38</f>
        <v>110000</v>
      </c>
      <c r="O39" s="74">
        <f>[1]Data2025!Q38</f>
        <v>440000</v>
      </c>
      <c r="P39" s="75" t="s">
        <v>43</v>
      </c>
      <c r="Q39" s="76" t="str">
        <f>VLOOKUP(K39,[1]Sheet1!$C$1:$D$101,2,)</f>
        <v>Tinta Printer Epson 664 Biru (Length 5.0Cm, Width 5.0Cm, Height 5.0Cm, Weight 5Gr)</v>
      </c>
      <c r="R39" s="77">
        <v>440000</v>
      </c>
      <c r="S39" s="78">
        <v>448000</v>
      </c>
      <c r="T39" s="79" t="str">
        <f>[1]Data2025!T38</f>
        <v>UD. JOSUA</v>
      </c>
      <c r="U39" s="80" t="s">
        <v>35</v>
      </c>
      <c r="V39" s="79" t="str">
        <f>[1]Data2025!V38</f>
        <v>Gestiwan Bazikho</v>
      </c>
      <c r="W39" s="79" t="str">
        <f>[1]Data2025!X38</f>
        <v>Jl. Diponegoro Kel. Pasar Telukdalam - Nias Selatan</v>
      </c>
      <c r="X39" s="80" t="s">
        <v>36</v>
      </c>
      <c r="Y39" s="80" t="str">
        <f t="shared" si="1"/>
        <v>Alat Tulis Kantor (ATK)</v>
      </c>
      <c r="Z39" s="81" t="str">
        <f t="shared" si="2"/>
        <v>Alat Tulis Kantor (ATK)</v>
      </c>
      <c r="AA39" s="82" t="s">
        <v>48</v>
      </c>
      <c r="AB39" s="83">
        <v>110000</v>
      </c>
      <c r="AC39" s="83">
        <v>440000</v>
      </c>
      <c r="AD39" s="77">
        <v>440000</v>
      </c>
      <c r="AE39" s="84">
        <v>396396.39639639639</v>
      </c>
      <c r="AF39" s="84">
        <v>440000</v>
      </c>
      <c r="AG39" s="85" t="s">
        <v>38</v>
      </c>
      <c r="AH39" s="86" t="str">
        <f>[1]Data2025!W38</f>
        <v>081375309828</v>
      </c>
    </row>
    <row r="40" spans="1:37" s="88" customFormat="1" ht="26" thickTop="1" thickBot="1">
      <c r="A40" s="64" t="str">
        <f>[1]Data2025!G39</f>
        <v>04</v>
      </c>
      <c r="B40" s="65" t="str">
        <f>[1]Data2025!K39</f>
        <v>BPU04</v>
      </c>
      <c r="C40" s="66" t="str">
        <f>[1]Data2025!D39</f>
        <v>06. 05. 08.</v>
      </c>
      <c r="D40" s="67" t="str">
        <f>[1]Data2025!C39</f>
        <v>5.1.02.01.01.0024</v>
      </c>
      <c r="E40" s="68">
        <f>[1]Data2025!E39</f>
        <v>45661</v>
      </c>
      <c r="F40" s="69" t="str">
        <f>[1]Data2025!F39</f>
        <v>06/01/2025</v>
      </c>
      <c r="G40" s="68" t="str">
        <f>[1]Data2025!H39</f>
        <v>06/01/2025</v>
      </c>
      <c r="H40" s="68" t="str">
        <f t="shared" si="0"/>
        <v>06/01/2025</v>
      </c>
      <c r="I40" s="70" t="str">
        <f>[1]Data2025!J39</f>
        <v>23/01/2025</v>
      </c>
      <c r="J40" s="71" t="str">
        <f>[1]Data2025!L39</f>
        <v>C. Tinta Printer EPSON Tinta Printer Epson Read</v>
      </c>
      <c r="K40" s="71" t="str">
        <f>[1]Data2025!M39</f>
        <v>C. Tinta Printer EPSON Tinta Printer Epson Read</v>
      </c>
      <c r="L40" s="72">
        <f>[1]Data2025!N39</f>
        <v>4</v>
      </c>
      <c r="M40" s="72" t="str">
        <f>[1]Data2025!O39</f>
        <v>botol</v>
      </c>
      <c r="N40" s="73">
        <f>[1]Data2025!P39</f>
        <v>110000</v>
      </c>
      <c r="O40" s="74">
        <f>[1]Data2025!Q39</f>
        <v>440000</v>
      </c>
      <c r="P40" s="75" t="s">
        <v>43</v>
      </c>
      <c r="Q40" s="76" t="str">
        <f>VLOOKUP(K40,[1]Sheet1!$C$1:$D$101,2,)</f>
        <v>Tinta Printer Epson 664 Merah (Length 5.0Cm, Width 5.0Cm, Height 5.0Cm, Weight 5Gr)</v>
      </c>
      <c r="R40" s="77">
        <v>25000</v>
      </c>
      <c r="S40" s="78">
        <v>35000</v>
      </c>
      <c r="T40" s="79" t="str">
        <f>[1]Data2025!T39</f>
        <v>UD. JOSUA</v>
      </c>
      <c r="U40" s="80" t="s">
        <v>35</v>
      </c>
      <c r="V40" s="79" t="str">
        <f>[1]Data2025!V39</f>
        <v>Gestiwan Bazikho</v>
      </c>
      <c r="W40" s="79" t="str">
        <f>[1]Data2025!X39</f>
        <v>Jl. Diponegoro Kel. Pasar Telukdalam - Nias Selatan</v>
      </c>
      <c r="X40" s="80" t="s">
        <v>36</v>
      </c>
      <c r="Y40" s="80" t="str">
        <f t="shared" si="1"/>
        <v>Alat Tulis Kantor (ATK)</v>
      </c>
      <c r="Z40" s="81" t="str">
        <f t="shared" si="2"/>
        <v>Alat Tulis Kantor (ATK)</v>
      </c>
      <c r="AA40" s="82" t="s">
        <v>37</v>
      </c>
      <c r="AB40" s="83">
        <v>5000</v>
      </c>
      <c r="AC40" s="83">
        <v>25000</v>
      </c>
      <c r="AD40" s="77">
        <v>25000</v>
      </c>
      <c r="AE40" s="84">
        <v>22522.522522522522</v>
      </c>
      <c r="AF40" s="84">
        <v>25000</v>
      </c>
      <c r="AG40" s="85" t="s">
        <v>38</v>
      </c>
      <c r="AH40" s="86" t="str">
        <f>[1]Data2025!W39</f>
        <v>081375309828</v>
      </c>
    </row>
    <row r="41" spans="1:37" s="88" customFormat="1" ht="16.5" thickTop="1" thickBot="1">
      <c r="A41" s="64" t="str">
        <f>[1]Data2025!G40</f>
        <v>04</v>
      </c>
      <c r="B41" s="65" t="str">
        <f>[1]Data2025!K40</f>
        <v>BPU04</v>
      </c>
      <c r="C41" s="66" t="str">
        <f>[1]Data2025!D40</f>
        <v>06. 05. 08.</v>
      </c>
      <c r="D41" s="67" t="str">
        <f>[1]Data2025!C40</f>
        <v>5.1.02.01.01.0024</v>
      </c>
      <c r="E41" s="68">
        <f>[1]Data2025!E40</f>
        <v>45661</v>
      </c>
      <c r="F41" s="69" t="str">
        <f>[1]Data2025!F40</f>
        <v>06/01/2025</v>
      </c>
      <c r="G41" s="68" t="str">
        <f>[1]Data2025!H40</f>
        <v>06/01/2025</v>
      </c>
      <c r="H41" s="68" t="str">
        <f t="shared" si="0"/>
        <v>06/01/2025</v>
      </c>
      <c r="I41" s="70" t="str">
        <f>[1]Data2025!J40</f>
        <v>23/01/2025</v>
      </c>
      <c r="J41" s="71" t="str">
        <f>[1]Data2025!L40</f>
        <v>canon catridge 741-catridge 741</v>
      </c>
      <c r="K41" s="71" t="str">
        <f>[1]Data2025!M40</f>
        <v>canon catridge 741-catridge 741</v>
      </c>
      <c r="L41" s="72">
        <f>[1]Data2025!N40</f>
        <v>4</v>
      </c>
      <c r="M41" s="72" t="str">
        <f>[1]Data2025!O40</f>
        <v>buah</v>
      </c>
      <c r="N41" s="73">
        <f>[1]Data2025!P40</f>
        <v>425000</v>
      </c>
      <c r="O41" s="74">
        <f>[1]Data2025!Q40</f>
        <v>1700000</v>
      </c>
      <c r="P41" s="75" t="s">
        <v>43</v>
      </c>
      <c r="Q41" s="76" t="str">
        <f>VLOOKUP(K41,[1]Sheet1!$C$1:$D$101,2,)</f>
        <v>canon catridge 741 (Merek: canon Tipe Catridge 741)</v>
      </c>
      <c r="R41" s="77">
        <v>100000</v>
      </c>
      <c r="S41" s="78">
        <v>110000</v>
      </c>
      <c r="T41" s="79" t="str">
        <f>[1]Data2025!T40</f>
        <v>UD. JOSUA</v>
      </c>
      <c r="U41" s="80" t="s">
        <v>35</v>
      </c>
      <c r="V41" s="79" t="str">
        <f>[1]Data2025!V40</f>
        <v>Gestiwan Bazikho</v>
      </c>
      <c r="W41" s="79" t="str">
        <f>[1]Data2025!X40</f>
        <v>Jl. Diponegoro Kel. Pasar Telukdalam - Nias Selatan</v>
      </c>
      <c r="X41" s="80" t="s">
        <v>36</v>
      </c>
      <c r="Y41" s="80" t="str">
        <f t="shared" si="1"/>
        <v>Alat Tulis Kantor (ATK)</v>
      </c>
      <c r="Z41" s="81" t="str">
        <f t="shared" si="2"/>
        <v>Alat Tulis Kantor (ATK)</v>
      </c>
      <c r="AA41" s="82" t="s">
        <v>48</v>
      </c>
      <c r="AB41" s="83">
        <v>20000</v>
      </c>
      <c r="AC41" s="83">
        <v>100000</v>
      </c>
      <c r="AD41" s="77">
        <v>100000</v>
      </c>
      <c r="AE41" s="84">
        <v>90090.090090090089</v>
      </c>
      <c r="AF41" s="84">
        <v>100000</v>
      </c>
      <c r="AG41" s="85" t="s">
        <v>38</v>
      </c>
      <c r="AH41" s="86" t="str">
        <f>[1]Data2025!W40</f>
        <v>081375309828</v>
      </c>
    </row>
    <row r="42" spans="1:37" s="88" customFormat="1" ht="16.5" thickTop="1" thickBot="1">
      <c r="A42" s="64" t="str">
        <f>[1]Data2025!G41</f>
        <v>04</v>
      </c>
      <c r="B42" s="65" t="str">
        <f>[1]Data2025!K41</f>
        <v>BPU04</v>
      </c>
      <c r="C42" s="66" t="str">
        <f>[1]Data2025!D41</f>
        <v>06. 05. 08.</v>
      </c>
      <c r="D42" s="67" t="str">
        <f>[1]Data2025!C41</f>
        <v>5.1.02.01.01.0024</v>
      </c>
      <c r="E42" s="68">
        <f>[1]Data2025!E41</f>
        <v>45661</v>
      </c>
      <c r="F42" s="69" t="str">
        <f>[1]Data2025!F41</f>
        <v>06/01/2025</v>
      </c>
      <c r="G42" s="68" t="str">
        <f>[1]Data2025!H41</f>
        <v>06/01/2025</v>
      </c>
      <c r="H42" s="68" t="str">
        <f t="shared" si="0"/>
        <v>06/01/2025</v>
      </c>
      <c r="I42" s="70" t="str">
        <f>[1]Data2025!J41</f>
        <v>23/01/2025</v>
      </c>
      <c r="J42" s="71" t="str">
        <f>[1]Data2025!L41</f>
        <v>Catridge Printer Epson T 014--</v>
      </c>
      <c r="K42" s="71" t="str">
        <f>[1]Data2025!M41</f>
        <v>Catridge Printer Epson T 014--</v>
      </c>
      <c r="L42" s="72">
        <f>[1]Data2025!N41</f>
        <v>4</v>
      </c>
      <c r="M42" s="72" t="str">
        <f>[1]Data2025!O41</f>
        <v>botol</v>
      </c>
      <c r="N42" s="73">
        <f>[1]Data2025!P41</f>
        <v>310000</v>
      </c>
      <c r="O42" s="74">
        <f>[1]Data2025!Q41</f>
        <v>1240000</v>
      </c>
      <c r="P42" s="75" t="s">
        <v>43</v>
      </c>
      <c r="Q42" s="76" t="str">
        <f>VLOOKUP(K42,[1]Sheet1!$C$1:$D$101,2,)</f>
        <v>Catridge Printer (Merek: Epson Tipe: T 014)</v>
      </c>
      <c r="R42" s="77">
        <v>2000000</v>
      </c>
      <c r="S42" s="78">
        <v>2080000</v>
      </c>
      <c r="T42" s="79" t="str">
        <f>[1]Data2025!T41</f>
        <v>UD. JOSUA</v>
      </c>
      <c r="U42" s="80" t="s">
        <v>35</v>
      </c>
      <c r="V42" s="79" t="str">
        <f>[1]Data2025!V41</f>
        <v>Gestiwan Bazikho</v>
      </c>
      <c r="W42" s="79" t="str">
        <f>[1]Data2025!X41</f>
        <v>Jl. Diponegoro Kel. Pasar Telukdalam - Nias Selatan</v>
      </c>
      <c r="X42" s="80" t="s">
        <v>36</v>
      </c>
      <c r="Y42" s="80" t="str">
        <f t="shared" si="1"/>
        <v>Alat Tulis Kantor (ATK)</v>
      </c>
      <c r="Z42" s="81" t="str">
        <f t="shared" si="2"/>
        <v>Alat Tulis Kantor (ATK)</v>
      </c>
      <c r="AA42" s="82" t="s">
        <v>50</v>
      </c>
      <c r="AB42" s="83">
        <v>50000</v>
      </c>
      <c r="AC42" s="83">
        <v>2000000</v>
      </c>
      <c r="AD42" s="77">
        <v>2000000</v>
      </c>
      <c r="AE42" s="84">
        <v>1801801.8018018019</v>
      </c>
      <c r="AF42" s="84">
        <v>2000000</v>
      </c>
      <c r="AG42" s="85" t="s">
        <v>38</v>
      </c>
      <c r="AH42" s="86" t="str">
        <f>[1]Data2025!W41</f>
        <v>081375309828</v>
      </c>
    </row>
    <row r="43" spans="1:37" s="88" customFormat="1" ht="16.5" thickTop="1" thickBot="1">
      <c r="A43" s="64" t="str">
        <f>[1]Data2025!G42</f>
        <v>04</v>
      </c>
      <c r="B43" s="65" t="str">
        <f>[1]Data2025!K42</f>
        <v>BPU04</v>
      </c>
      <c r="C43" s="66" t="str">
        <f>[1]Data2025!D42</f>
        <v>06. 05. 08.</v>
      </c>
      <c r="D43" s="67" t="str">
        <f>[1]Data2025!C42</f>
        <v>5.1.02.01.01.0024</v>
      </c>
      <c r="E43" s="68">
        <f>[1]Data2025!E42</f>
        <v>45661</v>
      </c>
      <c r="F43" s="69" t="str">
        <f>[1]Data2025!F42</f>
        <v>06/01/2025</v>
      </c>
      <c r="G43" s="68" t="str">
        <f>[1]Data2025!H42</f>
        <v>06/01/2025</v>
      </c>
      <c r="H43" s="68" t="str">
        <f t="shared" si="0"/>
        <v>06/01/2025</v>
      </c>
      <c r="I43" s="70" t="str">
        <f>[1]Data2025!J42</f>
        <v>23/01/2025</v>
      </c>
      <c r="J43" s="71" t="str">
        <f>[1]Data2025!L42</f>
        <v>Lakban Besar</v>
      </c>
      <c r="K43" s="71" t="str">
        <f>[1]Data2025!M42</f>
        <v>Lakban Besar</v>
      </c>
      <c r="L43" s="72">
        <f>[1]Data2025!N42</f>
        <v>5</v>
      </c>
      <c r="M43" s="72" t="str">
        <f>[1]Data2025!O42</f>
        <v>buah</v>
      </c>
      <c r="N43" s="73">
        <f>[1]Data2025!P42</f>
        <v>25000</v>
      </c>
      <c r="O43" s="74">
        <f>[1]Data2025!Q42</f>
        <v>125000</v>
      </c>
      <c r="P43" s="75" t="s">
        <v>43</v>
      </c>
      <c r="Q43" s="76" t="str">
        <f>VLOOKUP(K43,[1]Sheet1!$C$1:$D$101,2,)</f>
        <v>Lakban Hitam Besar (Brand : Daimaru • Ukuran : 48 mm x 109 Yard)</v>
      </c>
      <c r="R43" s="77">
        <v>1200000</v>
      </c>
      <c r="S43" s="78">
        <v>1400000</v>
      </c>
      <c r="T43" s="79" t="str">
        <f>[1]Data2025!T42</f>
        <v>UD. JOSUA</v>
      </c>
      <c r="U43" s="80" t="s">
        <v>35</v>
      </c>
      <c r="V43" s="79" t="str">
        <f>[1]Data2025!V42</f>
        <v>Gestiwan Bazikho</v>
      </c>
      <c r="W43" s="79" t="str">
        <f>[1]Data2025!X42</f>
        <v>Jl. Diponegoro Kel. Pasar Telukdalam - Nias Selatan</v>
      </c>
      <c r="X43" s="80" t="s">
        <v>36</v>
      </c>
      <c r="Y43" s="80" t="str">
        <f t="shared" si="1"/>
        <v>Alat Tulis Kantor (ATK)</v>
      </c>
      <c r="Z43" s="81" t="str">
        <f t="shared" si="2"/>
        <v>Alat Tulis Kantor (ATK)</v>
      </c>
      <c r="AA43" s="82" t="s">
        <v>42</v>
      </c>
      <c r="AB43" s="83">
        <v>12000</v>
      </c>
      <c r="AC43" s="83">
        <v>1200000</v>
      </c>
      <c r="AD43" s="77">
        <v>1200000</v>
      </c>
      <c r="AE43" s="84">
        <v>1081081.0810810812</v>
      </c>
      <c r="AF43" s="84">
        <v>1200000</v>
      </c>
      <c r="AG43" s="85" t="s">
        <v>38</v>
      </c>
      <c r="AH43" s="86" t="str">
        <f>[1]Data2025!W42</f>
        <v>081375309828</v>
      </c>
    </row>
    <row r="44" spans="1:37" s="88" customFormat="1" ht="16.5" thickTop="1" thickBot="1">
      <c r="A44" s="64" t="str">
        <f>[1]Data2025!G43</f>
        <v>04</v>
      </c>
      <c r="B44" s="65" t="str">
        <f>[1]Data2025!K43</f>
        <v>BPU04</v>
      </c>
      <c r="C44" s="66" t="str">
        <f>[1]Data2025!D43</f>
        <v>06. 05. 08.</v>
      </c>
      <c r="D44" s="67" t="str">
        <f>[1]Data2025!C43</f>
        <v>5.1.02.01.01.0024</v>
      </c>
      <c r="E44" s="68">
        <f>[1]Data2025!E43</f>
        <v>45661</v>
      </c>
      <c r="F44" s="69" t="str">
        <f>[1]Data2025!F43</f>
        <v>06/01/2025</v>
      </c>
      <c r="G44" s="68" t="str">
        <f>[1]Data2025!H43</f>
        <v>06/01/2025</v>
      </c>
      <c r="H44" s="68" t="str">
        <f t="shared" si="0"/>
        <v>06/01/2025</v>
      </c>
      <c r="I44" s="70" t="str">
        <f>[1]Data2025!J43</f>
        <v>23/01/2025</v>
      </c>
      <c r="J44" s="71" t="str">
        <f>[1]Data2025!L43</f>
        <v>Lakban Bening Sedang</v>
      </c>
      <c r="K44" s="71" t="str">
        <f>[1]Data2025!M43</f>
        <v>Lakban Bening Sedang</v>
      </c>
      <c r="L44" s="72">
        <f>[1]Data2025!N43</f>
        <v>5</v>
      </c>
      <c r="M44" s="72" t="str">
        <f>[1]Data2025!O43</f>
        <v>buah</v>
      </c>
      <c r="N44" s="73">
        <f>[1]Data2025!P43</f>
        <v>15000</v>
      </c>
      <c r="O44" s="74">
        <f>[1]Data2025!Q43</f>
        <v>75000</v>
      </c>
      <c r="P44" s="75" t="s">
        <v>43</v>
      </c>
      <c r="Q44" s="76" t="str">
        <f>VLOOKUP(K44,[1]Sheet1!$C$1:$D$101,2,)</f>
        <v>Lakban 45 MM x 50 Meter daimaru / 2 Inch x 50 M</v>
      </c>
      <c r="R44" s="77">
        <v>550000</v>
      </c>
      <c r="S44" s="78">
        <v>750000</v>
      </c>
      <c r="T44" s="79" t="str">
        <f>[1]Data2025!T43</f>
        <v>UD. JOSUA</v>
      </c>
      <c r="U44" s="80" t="s">
        <v>35</v>
      </c>
      <c r="V44" s="79" t="str">
        <f>[1]Data2025!V43</f>
        <v>Gestiwan Bazikho</v>
      </c>
      <c r="W44" s="79" t="str">
        <f>[1]Data2025!X43</f>
        <v>Jl. Diponegoro Kel. Pasar Telukdalam - Nias Selatan</v>
      </c>
      <c r="X44" s="80" t="s">
        <v>36</v>
      </c>
      <c r="Y44" s="80" t="str">
        <f t="shared" si="1"/>
        <v>Alat Tulis Kantor (ATK)</v>
      </c>
      <c r="Z44" s="81" t="str">
        <f t="shared" si="2"/>
        <v>Alat Tulis Kantor (ATK)</v>
      </c>
      <c r="AA44" s="82" t="s">
        <v>42</v>
      </c>
      <c r="AB44" s="83">
        <v>5500</v>
      </c>
      <c r="AC44" s="83">
        <v>550000</v>
      </c>
      <c r="AD44" s="77">
        <v>550000</v>
      </c>
      <c r="AE44" s="84">
        <v>495495.4954954955</v>
      </c>
      <c r="AF44" s="84">
        <v>550000</v>
      </c>
      <c r="AG44" s="85" t="s">
        <v>38</v>
      </c>
      <c r="AH44" s="86" t="str">
        <f>[1]Data2025!W43</f>
        <v>081375309828</v>
      </c>
    </row>
    <row r="45" spans="1:37" s="88" customFormat="1" ht="16.5" thickTop="1" thickBot="1">
      <c r="A45" s="64" t="str">
        <f>[1]Data2025!G44</f>
        <v>04</v>
      </c>
      <c r="B45" s="65" t="str">
        <f>[1]Data2025!K44</f>
        <v>BPU04</v>
      </c>
      <c r="C45" s="66" t="str">
        <f>[1]Data2025!D44</f>
        <v>06. 05. 08.</v>
      </c>
      <c r="D45" s="67" t="str">
        <f>[1]Data2025!C44</f>
        <v>5.1.02.01.01.0024</v>
      </c>
      <c r="E45" s="68">
        <f>[1]Data2025!E44</f>
        <v>45661</v>
      </c>
      <c r="F45" s="69" t="str">
        <f>[1]Data2025!F44</f>
        <v>06/01/2025</v>
      </c>
      <c r="G45" s="68" t="str">
        <f>[1]Data2025!H44</f>
        <v>06/01/2025</v>
      </c>
      <c r="H45" s="68" t="str">
        <f t="shared" si="0"/>
        <v>06/01/2025</v>
      </c>
      <c r="I45" s="70" t="str">
        <f>[1]Data2025!J44</f>
        <v>23/01/2025</v>
      </c>
      <c r="J45" s="71" t="str">
        <f>[1]Data2025!L44</f>
        <v>Lakban Bening</v>
      </c>
      <c r="K45" s="71" t="str">
        <f>[1]Data2025!M44</f>
        <v>Lakban Bening</v>
      </c>
      <c r="L45" s="72">
        <f>[1]Data2025!N44</f>
        <v>5</v>
      </c>
      <c r="M45" s="72" t="str">
        <f>[1]Data2025!O44</f>
        <v>buah</v>
      </c>
      <c r="N45" s="73">
        <f>[1]Data2025!P44</f>
        <v>10000</v>
      </c>
      <c r="O45" s="74">
        <f>[1]Data2025!Q44</f>
        <v>50000</v>
      </c>
      <c r="P45" s="75" t="s">
        <v>43</v>
      </c>
      <c r="Q45" s="76" t="str">
        <f>VLOOKUP(K45,[1]Sheet1!$C$1:$D$101,2,)</f>
        <v>Isolasi Bening Sedang Mpi Solatip 24 X 72 Yard 1 Inc</v>
      </c>
      <c r="R45" s="77">
        <v>48000</v>
      </c>
      <c r="S45" s="78">
        <v>50000</v>
      </c>
      <c r="T45" s="79" t="str">
        <f>[1]Data2025!T44</f>
        <v>UD. JOSUA</v>
      </c>
      <c r="U45" s="80" t="s">
        <v>35</v>
      </c>
      <c r="V45" s="79" t="str">
        <f>[1]Data2025!V44</f>
        <v>Gestiwan Bazikho</v>
      </c>
      <c r="W45" s="79" t="str">
        <f>[1]Data2025!X44</f>
        <v>Jl. Diponegoro Kel. Pasar Telukdalam - Nias Selatan</v>
      </c>
      <c r="X45" s="80" t="s">
        <v>36</v>
      </c>
      <c r="Y45" s="80" t="str">
        <f t="shared" si="1"/>
        <v>Alat Tulis Kantor (ATK)</v>
      </c>
      <c r="Z45" s="81" t="str">
        <f t="shared" si="2"/>
        <v>Alat Tulis Kantor (ATK)</v>
      </c>
      <c r="AA45" s="82" t="s">
        <v>37</v>
      </c>
      <c r="AB45" s="83">
        <v>48000</v>
      </c>
      <c r="AC45" s="83">
        <v>48000</v>
      </c>
      <c r="AD45" s="77">
        <v>48000</v>
      </c>
      <c r="AE45" s="84">
        <v>43243.243243243247</v>
      </c>
      <c r="AF45" s="84">
        <v>48000</v>
      </c>
      <c r="AG45" s="85" t="s">
        <v>38</v>
      </c>
      <c r="AH45" s="86" t="str">
        <f>[1]Data2025!W44</f>
        <v>081375309828</v>
      </c>
    </row>
    <row r="46" spans="1:37" s="88" customFormat="1" ht="16.5" thickTop="1" thickBot="1">
      <c r="A46" s="64" t="str">
        <f>[1]Data2025!G45</f>
        <v>04</v>
      </c>
      <c r="B46" s="65" t="str">
        <f>[1]Data2025!K45</f>
        <v>BPU04</v>
      </c>
      <c r="C46" s="66" t="str">
        <f>[1]Data2025!D45</f>
        <v>06. 05. 08.</v>
      </c>
      <c r="D46" s="67" t="str">
        <f>[1]Data2025!C45</f>
        <v>5.1.02.01.01.0024</v>
      </c>
      <c r="E46" s="68">
        <f>[1]Data2025!E45</f>
        <v>45661</v>
      </c>
      <c r="F46" s="69" t="str">
        <f>[1]Data2025!F45</f>
        <v>06/01/2025</v>
      </c>
      <c r="G46" s="68" t="str">
        <f>[1]Data2025!H45</f>
        <v>06/01/2025</v>
      </c>
      <c r="H46" s="68" t="str">
        <f t="shared" si="0"/>
        <v>06/01/2025</v>
      </c>
      <c r="I46" s="70" t="str">
        <f>[1]Data2025!J45</f>
        <v>23/01/2025</v>
      </c>
      <c r="J46" s="71" t="str">
        <f>[1]Data2025!L45</f>
        <v>Lakban Hitam--</v>
      </c>
      <c r="K46" s="71" t="str">
        <f>[1]Data2025!M45</f>
        <v>Lakban Hitam--</v>
      </c>
      <c r="L46" s="72">
        <f>[1]Data2025!N45</f>
        <v>5</v>
      </c>
      <c r="M46" s="72" t="str">
        <f>[1]Data2025!O45</f>
        <v>buah</v>
      </c>
      <c r="N46" s="73">
        <f>[1]Data2025!P45</f>
        <v>15000</v>
      </c>
      <c r="O46" s="74">
        <f>[1]Data2025!Q45</f>
        <v>75000</v>
      </c>
      <c r="P46" s="75" t="s">
        <v>43</v>
      </c>
      <c r="Q46" s="76" t="str">
        <f>VLOOKUP(K46,[1]Sheet1!$C$1:$D$101,2,)</f>
        <v>Lakban Hitam (Length 5.0Cm, Width 5.0Cm, Height 5.0Cm, Weight 5Gr)</v>
      </c>
      <c r="R46" s="77">
        <v>1700000</v>
      </c>
      <c r="S46" s="78">
        <v>1708000</v>
      </c>
      <c r="T46" s="79" t="str">
        <f>[1]Data2025!T45</f>
        <v>UD. JOSUA</v>
      </c>
      <c r="U46" s="80" t="s">
        <v>35</v>
      </c>
      <c r="V46" s="79" t="str">
        <f>[1]Data2025!V45</f>
        <v>Gestiwan Bazikho</v>
      </c>
      <c r="W46" s="79" t="str">
        <f>[1]Data2025!X45</f>
        <v>Jl. Diponegoro Kel. Pasar Telukdalam - Nias Selatan</v>
      </c>
      <c r="X46" s="80" t="s">
        <v>36</v>
      </c>
      <c r="Y46" s="80" t="str">
        <f t="shared" si="1"/>
        <v>Alat Tulis Kantor (ATK)</v>
      </c>
      <c r="Z46" s="81" t="str">
        <f t="shared" si="2"/>
        <v>Alat Tulis Kantor (ATK)</v>
      </c>
      <c r="AA46" s="82" t="s">
        <v>42</v>
      </c>
      <c r="AB46" s="83">
        <v>425000</v>
      </c>
      <c r="AC46" s="83">
        <v>1700000</v>
      </c>
      <c r="AD46" s="77">
        <v>1700000</v>
      </c>
      <c r="AE46" s="84">
        <v>1531531.5315315316</v>
      </c>
      <c r="AF46" s="84">
        <v>1700000</v>
      </c>
      <c r="AG46" s="85" t="s">
        <v>38</v>
      </c>
      <c r="AH46" s="86" t="str">
        <f>[1]Data2025!W45</f>
        <v>081375309828</v>
      </c>
    </row>
    <row r="47" spans="1:37" s="88" customFormat="1" ht="26" thickTop="1" thickBot="1">
      <c r="A47" s="64" t="str">
        <f>[1]Data2025!G46</f>
        <v>04</v>
      </c>
      <c r="B47" s="65" t="str">
        <f>[1]Data2025!K46</f>
        <v>BPU04</v>
      </c>
      <c r="C47" s="66" t="str">
        <f>[1]Data2025!D46</f>
        <v>06. 05. 08.</v>
      </c>
      <c r="D47" s="67" t="str">
        <f>[1]Data2025!C46</f>
        <v>5.1.02.01.01.0024</v>
      </c>
      <c r="E47" s="68">
        <f>[1]Data2025!E46</f>
        <v>45661</v>
      </c>
      <c r="F47" s="69" t="str">
        <f>[1]Data2025!F46</f>
        <v>06/01/2025</v>
      </c>
      <c r="G47" s="68" t="str">
        <f>[1]Data2025!H46</f>
        <v>06/01/2025</v>
      </c>
      <c r="H47" s="68" t="str">
        <f t="shared" si="0"/>
        <v>06/01/2025</v>
      </c>
      <c r="I47" s="70" t="str">
        <f>[1]Data2025!J46</f>
        <v>23/01/2025</v>
      </c>
      <c r="J47" s="71" t="str">
        <f>[1]Data2025!L46</f>
        <v>lakban hitam-ukuran : lebar 2 inch, panjang 12m, bahan : kain</v>
      </c>
      <c r="K47" s="71" t="str">
        <f>[1]Data2025!M46</f>
        <v>lakban hitam-ukuran : lebar 2 inch, panjang 12m, bahan : kain</v>
      </c>
      <c r="L47" s="72">
        <f>[1]Data2025!N46</f>
        <v>4</v>
      </c>
      <c r="M47" s="72" t="str">
        <f>[1]Data2025!O46</f>
        <v>buah</v>
      </c>
      <c r="N47" s="73">
        <f>[1]Data2025!P46</f>
        <v>12500</v>
      </c>
      <c r="O47" s="74">
        <f>[1]Data2025!Q46</f>
        <v>50000</v>
      </c>
      <c r="P47" s="75" t="s">
        <v>43</v>
      </c>
      <c r="Q47" s="76" t="str">
        <f>VLOOKUP(K47,[1]Sheet1!$C$1:$D$101,2,)</f>
        <v>Lakban Hitam Kecil (ukuran : lebar 2 inch, panjang 12m, bahan : kain)</v>
      </c>
      <c r="R47" s="77">
        <v>114000</v>
      </c>
      <c r="S47" s="78">
        <v>124000</v>
      </c>
      <c r="T47" s="79" t="str">
        <f>[1]Data2025!T46</f>
        <v>UD. JOSUA</v>
      </c>
      <c r="U47" s="80" t="s">
        <v>35</v>
      </c>
      <c r="V47" s="79" t="str">
        <f>[1]Data2025!V46</f>
        <v>Gestiwan Bazikho</v>
      </c>
      <c r="W47" s="79" t="str">
        <f>[1]Data2025!X46</f>
        <v>Jl. Diponegoro Kel. Pasar Telukdalam - Nias Selatan</v>
      </c>
      <c r="X47" s="80" t="s">
        <v>36</v>
      </c>
      <c r="Y47" s="80" t="str">
        <f t="shared" si="1"/>
        <v>Alat Tulis Kantor (ATK)</v>
      </c>
      <c r="Z47" s="81" t="str">
        <f t="shared" si="2"/>
        <v>Alat Tulis Kantor (ATK)</v>
      </c>
      <c r="AA47" s="82" t="s">
        <v>42</v>
      </c>
      <c r="AB47" s="83">
        <v>22800</v>
      </c>
      <c r="AC47" s="83">
        <v>114000</v>
      </c>
      <c r="AD47" s="77">
        <v>114000</v>
      </c>
      <c r="AE47" s="84">
        <v>102702.70270270271</v>
      </c>
      <c r="AF47" s="84">
        <v>114000</v>
      </c>
      <c r="AG47" s="85" t="s">
        <v>38</v>
      </c>
      <c r="AH47" s="86" t="str">
        <f>[1]Data2025!W46</f>
        <v>081375309828</v>
      </c>
    </row>
    <row r="48" spans="1:37" s="88" customFormat="1" ht="26" thickTop="1" thickBot="1">
      <c r="A48" s="64" t="str">
        <f>[1]Data2025!G47</f>
        <v>04</v>
      </c>
      <c r="B48" s="65" t="str">
        <f>[1]Data2025!K47</f>
        <v>BPU04</v>
      </c>
      <c r="C48" s="66" t="str">
        <f>[1]Data2025!D47</f>
        <v>06. 05. 08.</v>
      </c>
      <c r="D48" s="67" t="str">
        <f>[1]Data2025!C47</f>
        <v>5.1.02.01.01.0024</v>
      </c>
      <c r="E48" s="68">
        <f>[1]Data2025!E47</f>
        <v>45661</v>
      </c>
      <c r="F48" s="69" t="str">
        <f>[1]Data2025!F47</f>
        <v>06/01/2025</v>
      </c>
      <c r="G48" s="68" t="str">
        <f>[1]Data2025!H47</f>
        <v>06/01/2025</v>
      </c>
      <c r="H48" s="68" t="str">
        <f t="shared" si="0"/>
        <v>06/01/2025</v>
      </c>
      <c r="I48" s="70" t="str">
        <f>[1]Data2025!J47</f>
        <v>23/01/2025</v>
      </c>
      <c r="J48" s="71" t="str">
        <f>[1]Data2025!L47</f>
        <v>Lakban Hitam uk 2 " Warna hitam uk. 2 "</v>
      </c>
      <c r="K48" s="71" t="str">
        <f>[1]Data2025!M47</f>
        <v>Lakban Hitam uk 2 " Warna hitam uk. 2 "</v>
      </c>
      <c r="L48" s="72">
        <f>[1]Data2025!N47</f>
        <v>5</v>
      </c>
      <c r="M48" s="72" t="str">
        <f>[1]Data2025!O47</f>
        <v>buah</v>
      </c>
      <c r="N48" s="73">
        <f>[1]Data2025!P47</f>
        <v>25000</v>
      </c>
      <c r="O48" s="74">
        <f>[1]Data2025!Q47</f>
        <v>125000</v>
      </c>
      <c r="P48" s="75" t="s">
        <v>43</v>
      </c>
      <c r="Q48" s="76" t="str">
        <f>VLOOKUP(K48,[1]Sheet1!$C$1:$D$101,2,)</f>
        <v>Lakban Warna Uk 2" Warna Hitam (Ukuran 90Yard Lebar : 48Mm)</v>
      </c>
      <c r="R48" s="77">
        <v>50000</v>
      </c>
      <c r="S48" s="78">
        <v>60000</v>
      </c>
      <c r="T48" s="79" t="str">
        <f>[1]Data2025!T47</f>
        <v>UD. JOSUA</v>
      </c>
      <c r="U48" s="80" t="s">
        <v>35</v>
      </c>
      <c r="V48" s="79" t="str">
        <f>[1]Data2025!V47</f>
        <v>Gestiwan Bazikho</v>
      </c>
      <c r="W48" s="79" t="str">
        <f>[1]Data2025!X47</f>
        <v>Jl. Diponegoro Kel. Pasar Telukdalam - Nias Selatan</v>
      </c>
      <c r="X48" s="80" t="s">
        <v>36</v>
      </c>
      <c r="Y48" s="80" t="str">
        <f t="shared" si="1"/>
        <v>Alat Tulis Kantor (ATK)</v>
      </c>
      <c r="Z48" s="81" t="str">
        <f t="shared" si="2"/>
        <v>Alat Tulis Kantor (ATK)</v>
      </c>
      <c r="AA48" s="82" t="s">
        <v>42</v>
      </c>
      <c r="AB48" s="83">
        <v>10000</v>
      </c>
      <c r="AC48" s="83">
        <v>50000</v>
      </c>
      <c r="AD48" s="77">
        <v>50000</v>
      </c>
      <c r="AE48" s="84">
        <v>45045.045045045044</v>
      </c>
      <c r="AF48" s="84">
        <v>50000</v>
      </c>
      <c r="AG48" s="85" t="s">
        <v>38</v>
      </c>
      <c r="AH48" s="86" t="str">
        <f>[1]Data2025!W47</f>
        <v>081375309828</v>
      </c>
    </row>
    <row r="49" spans="1:36" s="88" customFormat="1" ht="26" thickTop="1" thickBot="1">
      <c r="A49" s="64" t="str">
        <f>[1]Data2025!G48</f>
        <v>04</v>
      </c>
      <c r="B49" s="65" t="str">
        <f>[1]Data2025!K48</f>
        <v>BPU04</v>
      </c>
      <c r="C49" s="66" t="str">
        <f>[1]Data2025!D48</f>
        <v>06. 05. 08.</v>
      </c>
      <c r="D49" s="67" t="str">
        <f>[1]Data2025!C48</f>
        <v>5.1.02.01.01.0024</v>
      </c>
      <c r="E49" s="68">
        <f>[1]Data2025!E48</f>
        <v>45661</v>
      </c>
      <c r="F49" s="69" t="str">
        <f>[1]Data2025!F48</f>
        <v>06/01/2025</v>
      </c>
      <c r="G49" s="68" t="str">
        <f>[1]Data2025!H48</f>
        <v>06/01/2025</v>
      </c>
      <c r="H49" s="68" t="str">
        <f t="shared" si="0"/>
        <v>06/01/2025</v>
      </c>
      <c r="I49" s="70" t="str">
        <f>[1]Data2025!J48</f>
        <v>23/01/2025</v>
      </c>
      <c r="J49" s="71" t="str">
        <f>[1]Data2025!L48</f>
        <v>Lakban warna Uk 2" Warna Coklat Cofiie</v>
      </c>
      <c r="K49" s="71" t="str">
        <f>[1]Data2025!M48</f>
        <v>Lakban warna Uk 2" Warna Coklat Cofiie</v>
      </c>
      <c r="L49" s="72">
        <f>[1]Data2025!N48</f>
        <v>3</v>
      </c>
      <c r="M49" s="72" t="str">
        <f>[1]Data2025!O48</f>
        <v>buah</v>
      </c>
      <c r="N49" s="73">
        <f>[1]Data2025!P48</f>
        <v>20000</v>
      </c>
      <c r="O49" s="74">
        <f>[1]Data2025!Q48</f>
        <v>60000</v>
      </c>
      <c r="P49" s="75" t="s">
        <v>43</v>
      </c>
      <c r="Q49" s="76" t="str">
        <f>VLOOKUP(K49,[1]Sheet1!$C$1:$D$101,2,)</f>
        <v>Lakban Warna Uk 2" Warna Coklat Cofiie (Ukuran 90Yard Lebar : 48Mm)</v>
      </c>
      <c r="R49" s="77">
        <v>165000</v>
      </c>
      <c r="S49" s="78">
        <v>185000</v>
      </c>
      <c r="T49" s="79" t="str">
        <f>[1]Data2025!T48</f>
        <v>UD. JOSUA</v>
      </c>
      <c r="U49" s="80" t="s">
        <v>35</v>
      </c>
      <c r="V49" s="79" t="str">
        <f>[1]Data2025!V48</f>
        <v>Gestiwan Bazikho</v>
      </c>
      <c r="W49" s="79" t="str">
        <f>[1]Data2025!X48</f>
        <v>Jl. Diponegoro Kel. Pasar Telukdalam - Nias Selatan</v>
      </c>
      <c r="X49" s="80" t="s">
        <v>36</v>
      </c>
      <c r="Y49" s="80" t="str">
        <f t="shared" si="1"/>
        <v>Alat Tulis Kantor (ATK)</v>
      </c>
      <c r="Z49" s="81" t="str">
        <f t="shared" si="2"/>
        <v>Alat Tulis Kantor (ATK)</v>
      </c>
      <c r="AA49" s="82" t="s">
        <v>37</v>
      </c>
      <c r="AB49" s="83">
        <v>16500</v>
      </c>
      <c r="AC49" s="83">
        <v>165000</v>
      </c>
      <c r="AD49" s="77">
        <v>165000</v>
      </c>
      <c r="AE49" s="84">
        <v>148648.64864864864</v>
      </c>
      <c r="AF49" s="84">
        <v>165000</v>
      </c>
      <c r="AG49" s="85" t="s">
        <v>38</v>
      </c>
      <c r="AH49" s="86" t="str">
        <f>[1]Data2025!W48</f>
        <v>081375309828</v>
      </c>
    </row>
    <row r="50" spans="1:36" s="88" customFormat="1" ht="26" thickTop="1" thickBot="1">
      <c r="A50" s="64" t="str">
        <f>[1]Data2025!G49</f>
        <v>04</v>
      </c>
      <c r="B50" s="65" t="str">
        <f>[1]Data2025!K49</f>
        <v>BPU04</v>
      </c>
      <c r="C50" s="66" t="str">
        <f>[1]Data2025!D49</f>
        <v>06. 05. 08.</v>
      </c>
      <c r="D50" s="67" t="str">
        <f>[1]Data2025!C49</f>
        <v>5.1.02.01.01.0024</v>
      </c>
      <c r="E50" s="68">
        <f>[1]Data2025!E49</f>
        <v>45661</v>
      </c>
      <c r="F50" s="69" t="str">
        <f>[1]Data2025!F49</f>
        <v>06/01/2025</v>
      </c>
      <c r="G50" s="68" t="str">
        <f>[1]Data2025!H49</f>
        <v>06/01/2025</v>
      </c>
      <c r="H50" s="68" t="str">
        <f t="shared" si="0"/>
        <v>06/01/2025</v>
      </c>
      <c r="I50" s="70" t="str">
        <f>[1]Data2025!J49</f>
        <v>23/01/2025</v>
      </c>
      <c r="J50" s="71" t="str">
        <f>[1]Data2025!L49</f>
        <v>Spidol Refil Spidol White Board Snowman</v>
      </c>
      <c r="K50" s="71" t="str">
        <f>[1]Data2025!M49</f>
        <v>Spidol Refil Spidol White Board Snowman</v>
      </c>
      <c r="L50" s="72">
        <f>[1]Data2025!N49</f>
        <v>10</v>
      </c>
      <c r="M50" s="72" t="str">
        <f>[1]Data2025!O49</f>
        <v>buah</v>
      </c>
      <c r="N50" s="73">
        <f>[1]Data2025!P49</f>
        <v>20900</v>
      </c>
      <c r="O50" s="74">
        <f>[1]Data2025!Q49</f>
        <v>209000</v>
      </c>
      <c r="P50" s="75" t="s">
        <v>43</v>
      </c>
      <c r="Q50" s="76" t="str">
        <f>VLOOKUP(K50,[1]Sheet1!$C$1:$D$101,2,)</f>
        <v>Spidol Refil Spidol White Board Snowman (Panjang. : 10 Cm ; Lebar. : 5 Cm ; Tinggi. : 7 Cm ; Berat. : 500 Gr)</v>
      </c>
      <c r="R50" s="77">
        <v>100000</v>
      </c>
      <c r="S50" s="78">
        <v>110000</v>
      </c>
      <c r="T50" s="79" t="str">
        <f>[1]Data2025!T49</f>
        <v>UD. JOSUA</v>
      </c>
      <c r="U50" s="80" t="s">
        <v>35</v>
      </c>
      <c r="V50" s="79" t="str">
        <f>[1]Data2025!V49</f>
        <v>Gestiwan Bazikho</v>
      </c>
      <c r="W50" s="79" t="str">
        <f>[1]Data2025!X49</f>
        <v>Jl. Diponegoro Kel. Pasar Telukdalam - Nias Selatan</v>
      </c>
      <c r="X50" s="80" t="s">
        <v>36</v>
      </c>
      <c r="Y50" s="80" t="str">
        <f t="shared" si="1"/>
        <v>Alat Tulis Kantor (ATK)</v>
      </c>
      <c r="Z50" s="81" t="str">
        <f t="shared" si="2"/>
        <v>Alat Tulis Kantor (ATK)</v>
      </c>
      <c r="AA50" s="82" t="s">
        <v>47</v>
      </c>
      <c r="AB50" s="83">
        <v>20000</v>
      </c>
      <c r="AC50" s="83">
        <v>100000</v>
      </c>
      <c r="AD50" s="77">
        <v>100000</v>
      </c>
      <c r="AE50" s="84">
        <v>90090.090090090089</v>
      </c>
      <c r="AF50" s="84">
        <v>100000</v>
      </c>
      <c r="AG50" s="85" t="s">
        <v>38</v>
      </c>
      <c r="AH50" s="86" t="str">
        <f>[1]Data2025!W49</f>
        <v>081375309828</v>
      </c>
      <c r="AI50" s="87"/>
      <c r="AJ50" s="87"/>
    </row>
    <row r="51" spans="1:36" s="88" customFormat="1" ht="16.5" thickTop="1" thickBot="1">
      <c r="A51" s="64" t="str">
        <f>[1]Data2025!G50</f>
        <v>04</v>
      </c>
      <c r="B51" s="65" t="str">
        <f>[1]Data2025!K50</f>
        <v>BPU04</v>
      </c>
      <c r="C51" s="66" t="str">
        <f>[1]Data2025!D50</f>
        <v>06. 05. 08.</v>
      </c>
      <c r="D51" s="67" t="str">
        <f>[1]Data2025!C50</f>
        <v>5.1.02.01.01.0024</v>
      </c>
      <c r="E51" s="68">
        <f>[1]Data2025!E50</f>
        <v>45661</v>
      </c>
      <c r="F51" s="69" t="str">
        <f>[1]Data2025!F50</f>
        <v>06/01/2025</v>
      </c>
      <c r="G51" s="68" t="str">
        <f>[1]Data2025!H50</f>
        <v>06/01/2025</v>
      </c>
      <c r="H51" s="68" t="str">
        <f t="shared" si="0"/>
        <v>06/01/2025</v>
      </c>
      <c r="I51" s="70" t="str">
        <f>[1]Data2025!J50</f>
        <v>23/01/2025</v>
      </c>
      <c r="J51" s="71" t="str">
        <f>[1]Data2025!L50</f>
        <v>Spidol White board</v>
      </c>
      <c r="K51" s="71" t="str">
        <f>[1]Data2025!M50</f>
        <v>Spidol White board</v>
      </c>
      <c r="L51" s="72">
        <f>[1]Data2025!N50</f>
        <v>2</v>
      </c>
      <c r="M51" s="72" t="str">
        <f>[1]Data2025!O50</f>
        <v>lusin</v>
      </c>
      <c r="N51" s="73">
        <f>[1]Data2025!P50</f>
        <v>120000</v>
      </c>
      <c r="O51" s="74">
        <f>[1]Data2025!Q50</f>
        <v>240000</v>
      </c>
      <c r="P51" s="75" t="s">
        <v>43</v>
      </c>
      <c r="Q51" s="76" t="str">
        <f>VLOOKUP(K51,[1]Sheet1!$C$1:$D$101,2,)</f>
        <v>Spidol White Board (Berat Produk 0.5 Kg, Panjang Produk 10 Cm, Lebar Produk 3 Cm, Tinggi Produk 10 Cm)</v>
      </c>
      <c r="R51" s="77">
        <v>510000</v>
      </c>
      <c r="S51" s="78">
        <v>522000</v>
      </c>
      <c r="T51" s="79" t="str">
        <f>[1]Data2025!T50</f>
        <v>UD. JOSUA</v>
      </c>
      <c r="U51" s="80" t="s">
        <v>35</v>
      </c>
      <c r="V51" s="79" t="str">
        <f>[1]Data2025!V50</f>
        <v>Gestiwan Bazikho</v>
      </c>
      <c r="W51" s="79" t="str">
        <f>[1]Data2025!X50</f>
        <v>Jl. Diponegoro Kel. Pasar Telukdalam - Nias Selatan</v>
      </c>
      <c r="X51" s="80" t="s">
        <v>36</v>
      </c>
      <c r="Y51" s="80" t="str">
        <f t="shared" si="1"/>
        <v>Alat Tulis Kantor (ATK)</v>
      </c>
      <c r="Z51" s="81" t="str">
        <f t="shared" si="2"/>
        <v>Alat Tulis Kantor (ATK)</v>
      </c>
      <c r="AA51" s="82" t="s">
        <v>48</v>
      </c>
      <c r="AB51" s="83">
        <v>85000</v>
      </c>
      <c r="AC51" s="83">
        <v>510000</v>
      </c>
      <c r="AD51" s="77">
        <v>510000</v>
      </c>
      <c r="AE51" s="84">
        <v>459459.45945945947</v>
      </c>
      <c r="AF51" s="84">
        <v>510000</v>
      </c>
      <c r="AG51" s="85" t="s">
        <v>38</v>
      </c>
      <c r="AH51" s="86" t="str">
        <f>[1]Data2025!W50</f>
        <v>081375309828</v>
      </c>
    </row>
    <row r="52" spans="1:36" s="88" customFormat="1" ht="16.5" thickTop="1" thickBot="1">
      <c r="A52" s="64" t="str">
        <f>[1]Data2025!G51</f>
        <v>04</v>
      </c>
      <c r="B52" s="65" t="str">
        <f>[1]Data2025!K51</f>
        <v>BPU04</v>
      </c>
      <c r="C52" s="66" t="str">
        <f>[1]Data2025!D51</f>
        <v>06. 05. 08.</v>
      </c>
      <c r="D52" s="67" t="str">
        <f>[1]Data2025!C51</f>
        <v>5.1.02.01.01.0024</v>
      </c>
      <c r="E52" s="68">
        <f>[1]Data2025!E51</f>
        <v>45661</v>
      </c>
      <c r="F52" s="69" t="str">
        <f>[1]Data2025!F51</f>
        <v>06/01/2025</v>
      </c>
      <c r="G52" s="68" t="str">
        <f>[1]Data2025!H51</f>
        <v>06/01/2025</v>
      </c>
      <c r="H52" s="68" t="str">
        <f t="shared" si="0"/>
        <v>06/01/2025</v>
      </c>
      <c r="I52" s="70" t="str">
        <f>[1]Data2025!J51</f>
        <v>23/01/2025</v>
      </c>
      <c r="J52" s="71" t="str">
        <f>[1]Data2025!L51</f>
        <v>Stapler HD-10--</v>
      </c>
      <c r="K52" s="71" t="str">
        <f>[1]Data2025!M51</f>
        <v>Stapler HD-10--</v>
      </c>
      <c r="L52" s="72">
        <f>[1]Data2025!N51</f>
        <v>2</v>
      </c>
      <c r="M52" s="72" t="str">
        <f>[1]Data2025!O51</f>
        <v>buah</v>
      </c>
      <c r="N52" s="73">
        <f>[1]Data2025!P51</f>
        <v>20000</v>
      </c>
      <c r="O52" s="74">
        <f>[1]Data2025!Q51</f>
        <v>40000</v>
      </c>
      <c r="P52" s="75" t="s">
        <v>43</v>
      </c>
      <c r="Q52" s="76" t="str">
        <f>VLOOKUP(K52,[1]Sheet1!$C$1:$D$101,2,)</f>
        <v>Stapler HD-10 (Merk : MAX Ukuran : 3.5 x 10 cm)</v>
      </c>
      <c r="R52" s="77">
        <v>80000</v>
      </c>
      <c r="S52" s="78">
        <v>84000</v>
      </c>
      <c r="T52" s="79" t="str">
        <f>[1]Data2025!T51</f>
        <v>UD. JOSUA</v>
      </c>
      <c r="U52" s="80" t="s">
        <v>35</v>
      </c>
      <c r="V52" s="79" t="str">
        <f>[1]Data2025!V51</f>
        <v>Gestiwan Bazikho</v>
      </c>
      <c r="W52" s="79" t="str">
        <f>[1]Data2025!X51</f>
        <v>Jl. Diponegoro Kel. Pasar Telukdalam - Nias Selatan</v>
      </c>
      <c r="X52" s="80" t="s">
        <v>36</v>
      </c>
      <c r="Y52" s="80" t="str">
        <f t="shared" si="1"/>
        <v>Alat Tulis Kantor (ATK)</v>
      </c>
      <c r="Z52" s="81" t="str">
        <f t="shared" si="2"/>
        <v>Alat Tulis Kantor (ATK)</v>
      </c>
      <c r="AA52" s="82" t="s">
        <v>37</v>
      </c>
      <c r="AB52" s="83">
        <v>40000</v>
      </c>
      <c r="AC52" s="83">
        <v>80000</v>
      </c>
      <c r="AD52" s="77">
        <v>80000</v>
      </c>
      <c r="AE52" s="84">
        <v>72072.072072072071</v>
      </c>
      <c r="AF52" s="84">
        <v>80000</v>
      </c>
      <c r="AG52" s="85" t="s">
        <v>38</v>
      </c>
      <c r="AH52" s="86" t="str">
        <f>[1]Data2025!W51</f>
        <v>081375309828</v>
      </c>
    </row>
    <row r="53" spans="1:36" s="88" customFormat="1" ht="16.5" thickTop="1" thickBot="1">
      <c r="A53" s="64" t="str">
        <f>[1]Data2025!G52</f>
        <v>04</v>
      </c>
      <c r="B53" s="65" t="str">
        <f>[1]Data2025!K52</f>
        <v>BPU04</v>
      </c>
      <c r="C53" s="66" t="str">
        <f>[1]Data2025!D52</f>
        <v>06. 05. 08.</v>
      </c>
      <c r="D53" s="67" t="str">
        <f>[1]Data2025!C52</f>
        <v>5.1.02.01.01.0024</v>
      </c>
      <c r="E53" s="68">
        <f>[1]Data2025!E52</f>
        <v>45661</v>
      </c>
      <c r="F53" s="69" t="str">
        <f>[1]Data2025!F52</f>
        <v>06/01/2025</v>
      </c>
      <c r="G53" s="68" t="str">
        <f>[1]Data2025!H52</f>
        <v>06/01/2025</v>
      </c>
      <c r="H53" s="68" t="str">
        <f t="shared" si="0"/>
        <v>06/01/2025</v>
      </c>
      <c r="I53" s="70" t="str">
        <f>[1]Data2025!J52</f>
        <v>23/01/2025</v>
      </c>
      <c r="J53" s="71" t="str">
        <f>[1]Data2025!L52</f>
        <v>Stapler Stapler No, 50 MAX</v>
      </c>
      <c r="K53" s="71" t="str">
        <f>[1]Data2025!M52</f>
        <v>Stapler Stapler No, 50 MAX</v>
      </c>
      <c r="L53" s="72">
        <f>[1]Data2025!N52</f>
        <v>2</v>
      </c>
      <c r="M53" s="72" t="str">
        <f>[1]Data2025!O52</f>
        <v>buah</v>
      </c>
      <c r="N53" s="73">
        <f>[1]Data2025!P52</f>
        <v>25000</v>
      </c>
      <c r="O53" s="74">
        <f>[1]Data2025!Q52</f>
        <v>50000</v>
      </c>
      <c r="P53" s="75" t="s">
        <v>43</v>
      </c>
      <c r="Q53" s="76" t="str">
        <f>VLOOKUP(K53,[1]Sheet1!$C$1:$D$101,2,)</f>
        <v>Stapler 50 (Length 5.0Cm, Width 5.0Cm, Height 5.0Cm, Weight 5Gr)</v>
      </c>
      <c r="R53" s="77">
        <v>180000</v>
      </c>
      <c r="S53" s="78">
        <v>184000</v>
      </c>
      <c r="T53" s="79" t="str">
        <f>[1]Data2025!T52</f>
        <v>UD. JOSUA</v>
      </c>
      <c r="U53" s="80" t="s">
        <v>35</v>
      </c>
      <c r="V53" s="79" t="str">
        <f>[1]Data2025!V52</f>
        <v>Gestiwan Bazikho</v>
      </c>
      <c r="W53" s="79" t="str">
        <f>[1]Data2025!X52</f>
        <v>Jl. Diponegoro Kel. Pasar Telukdalam - Nias Selatan</v>
      </c>
      <c r="X53" s="80" t="s">
        <v>36</v>
      </c>
      <c r="Y53" s="80" t="str">
        <f t="shared" si="1"/>
        <v>Alat Tulis Kantor (ATK)</v>
      </c>
      <c r="Z53" s="81" t="str">
        <f t="shared" si="2"/>
        <v>Alat Tulis Kantor (ATK)</v>
      </c>
      <c r="AA53" s="82" t="s">
        <v>50</v>
      </c>
      <c r="AB53" s="83">
        <v>90000</v>
      </c>
      <c r="AC53" s="83">
        <v>180000</v>
      </c>
      <c r="AD53" s="77">
        <v>180000</v>
      </c>
      <c r="AE53" s="84">
        <v>162162.16216216216</v>
      </c>
      <c r="AF53" s="84">
        <v>180000</v>
      </c>
      <c r="AG53" s="85" t="s">
        <v>38</v>
      </c>
      <c r="AH53" s="86" t="str">
        <f>[1]Data2025!W52</f>
        <v>081375309828</v>
      </c>
    </row>
    <row r="54" spans="1:36" s="88" customFormat="1" ht="16.5" thickTop="1" thickBot="1">
      <c r="A54" s="64" t="str">
        <f>[1]Data2025!G53</f>
        <v>04</v>
      </c>
      <c r="B54" s="65" t="str">
        <f>[1]Data2025!K53</f>
        <v>BPU04</v>
      </c>
      <c r="C54" s="66" t="str">
        <f>[1]Data2025!D53</f>
        <v>06. 05. 08.</v>
      </c>
      <c r="D54" s="67" t="str">
        <f>[1]Data2025!C53</f>
        <v>5.1.02.01.01.0024</v>
      </c>
      <c r="E54" s="68">
        <f>[1]Data2025!E53</f>
        <v>45661</v>
      </c>
      <c r="F54" s="69" t="str">
        <f>[1]Data2025!F53</f>
        <v>06/01/2025</v>
      </c>
      <c r="G54" s="68" t="str">
        <f>[1]Data2025!H53</f>
        <v>06/01/2025</v>
      </c>
      <c r="H54" s="68" t="str">
        <f t="shared" si="0"/>
        <v>06/01/2025</v>
      </c>
      <c r="I54" s="70" t="str">
        <f>[1]Data2025!J53</f>
        <v>23/01/2025</v>
      </c>
      <c r="J54" s="71" t="str">
        <f>[1]Data2025!L53</f>
        <v>Lem Fox isi 500 gram--</v>
      </c>
      <c r="K54" s="71" t="str">
        <f>[1]Data2025!M53</f>
        <v>Lem Fox isi 500 gram--</v>
      </c>
      <c r="L54" s="72">
        <f>[1]Data2025!N53</f>
        <v>2</v>
      </c>
      <c r="M54" s="72" t="str">
        <f>[1]Data2025!O53</f>
        <v>buah</v>
      </c>
      <c r="N54" s="73">
        <f>[1]Data2025!P53</f>
        <v>37000</v>
      </c>
      <c r="O54" s="74">
        <f>[1]Data2025!Q53</f>
        <v>74000</v>
      </c>
      <c r="P54" s="75" t="s">
        <v>43</v>
      </c>
      <c r="Q54" s="76" t="str">
        <f>VLOOKUP(K54,[1]Sheet1!$C$1:$D$101,2,)</f>
        <v>Lem Fox Isi 500 Gram (Bahan Pvc, Berat 500Gr, Ukuran Botol Putih 500Gr)</v>
      </c>
      <c r="R54" s="77">
        <v>325000</v>
      </c>
      <c r="S54" s="78">
        <v>335000</v>
      </c>
      <c r="T54" s="79" t="str">
        <f>[1]Data2025!T53</f>
        <v>UD. JOSUA</v>
      </c>
      <c r="U54" s="80" t="s">
        <v>35</v>
      </c>
      <c r="V54" s="79" t="str">
        <f>[1]Data2025!V53</f>
        <v>Gestiwan Bazikho</v>
      </c>
      <c r="W54" s="79" t="str">
        <f>[1]Data2025!X53</f>
        <v>Jl. Diponegoro Kel. Pasar Telukdalam - Nias Selatan</v>
      </c>
      <c r="X54" s="80" t="s">
        <v>36</v>
      </c>
      <c r="Y54" s="80" t="str">
        <f t="shared" si="1"/>
        <v>Alat Tulis Kantor (ATK)</v>
      </c>
      <c r="Z54" s="81" t="str">
        <f t="shared" si="2"/>
        <v>Alat Tulis Kantor (ATK)</v>
      </c>
      <c r="AA54" s="82" t="s">
        <v>44</v>
      </c>
      <c r="AB54" s="83">
        <v>65000</v>
      </c>
      <c r="AC54" s="83">
        <v>325000</v>
      </c>
      <c r="AD54" s="77">
        <v>325000</v>
      </c>
      <c r="AE54" s="84">
        <v>292792.79279279278</v>
      </c>
      <c r="AF54" s="84">
        <v>325000</v>
      </c>
      <c r="AG54" s="85" t="s">
        <v>38</v>
      </c>
      <c r="AH54" s="86" t="str">
        <f>[1]Data2025!W53</f>
        <v>081375309828</v>
      </c>
    </row>
    <row r="55" spans="1:36" s="88" customFormat="1" ht="16.5" thickTop="1" thickBot="1">
      <c r="A55" s="64" t="str">
        <f>[1]Data2025!G54</f>
        <v>04</v>
      </c>
      <c r="B55" s="65" t="str">
        <f>[1]Data2025!K54</f>
        <v>BPU04</v>
      </c>
      <c r="C55" s="66" t="str">
        <f>[1]Data2025!D54</f>
        <v>06. 05. 08.</v>
      </c>
      <c r="D55" s="67" t="str">
        <f>[1]Data2025!C54</f>
        <v>5.1.02.01.01.0024</v>
      </c>
      <c r="E55" s="68">
        <f>[1]Data2025!E54</f>
        <v>45661</v>
      </c>
      <c r="F55" s="69" t="str">
        <f>[1]Data2025!F54</f>
        <v>06/01/2025</v>
      </c>
      <c r="G55" s="68" t="str">
        <f>[1]Data2025!H54</f>
        <v>06/01/2025</v>
      </c>
      <c r="H55" s="68" t="str">
        <f t="shared" si="0"/>
        <v>06/01/2025</v>
      </c>
      <c r="I55" s="70" t="str">
        <f>[1]Data2025!J54</f>
        <v>23/01/2025</v>
      </c>
      <c r="J55" s="71" t="str">
        <f>[1]Data2025!L54</f>
        <v>PAPER CLIP  Paper Clip No 1</v>
      </c>
      <c r="K55" s="71" t="str">
        <f>[1]Data2025!M54</f>
        <v>PAPER CLIP  Paper Clip No 1</v>
      </c>
      <c r="L55" s="72">
        <f>[1]Data2025!N54</f>
        <v>5</v>
      </c>
      <c r="M55" s="72" t="str">
        <f>[1]Data2025!O54</f>
        <v>kotak</v>
      </c>
      <c r="N55" s="73">
        <f>[1]Data2025!P54</f>
        <v>6000</v>
      </c>
      <c r="O55" s="74">
        <f>[1]Data2025!Q54</f>
        <v>30000</v>
      </c>
      <c r="P55" s="75" t="s">
        <v>43</v>
      </c>
      <c r="Q55" s="76" t="str">
        <f>VLOOKUP(K55,[1]Sheet1!$C$1:$D$101,2,)</f>
        <v>Paper Clip No 1 (Length 5.0Cm, Width 5.0Cm, Height 5.0Cm, Weight 5Gr)</v>
      </c>
      <c r="R55" s="77">
        <v>239200</v>
      </c>
      <c r="S55" s="78">
        <v>247200</v>
      </c>
      <c r="T55" s="79" t="str">
        <f>[1]Data2025!T54</f>
        <v>UD. JOSUA</v>
      </c>
      <c r="U55" s="80" t="s">
        <v>35</v>
      </c>
      <c r="V55" s="79" t="str">
        <f>[1]Data2025!V54</f>
        <v>Gestiwan Bazikho</v>
      </c>
      <c r="W55" s="79" t="str">
        <f>[1]Data2025!X54</f>
        <v>Jl. Diponegoro Kel. Pasar Telukdalam - Nias Selatan</v>
      </c>
      <c r="X55" s="80" t="s">
        <v>36</v>
      </c>
      <c r="Y55" s="80" t="str">
        <f t="shared" si="1"/>
        <v>Alat Tulis Kantor (ATK)</v>
      </c>
      <c r="Z55" s="81" t="str">
        <f t="shared" si="2"/>
        <v>Alat Tulis Kantor (ATK)</v>
      </c>
      <c r="AA55" s="82" t="s">
        <v>42</v>
      </c>
      <c r="AB55" s="83">
        <v>59800</v>
      </c>
      <c r="AC55" s="83">
        <v>239200</v>
      </c>
      <c r="AD55" s="77">
        <v>239200</v>
      </c>
      <c r="AE55" s="84">
        <v>215495.4954954955</v>
      </c>
      <c r="AF55" s="84">
        <v>239200</v>
      </c>
      <c r="AG55" s="85" t="s">
        <v>38</v>
      </c>
      <c r="AH55" s="86" t="str">
        <f>[1]Data2025!W54</f>
        <v>081375309828</v>
      </c>
    </row>
    <row r="56" spans="1:36" s="88" customFormat="1" ht="16.5" thickTop="1" thickBot="1">
      <c r="A56" s="64" t="str">
        <f>[1]Data2025!G55</f>
        <v>04</v>
      </c>
      <c r="B56" s="65" t="str">
        <f>[1]Data2025!K55</f>
        <v>BPU04</v>
      </c>
      <c r="C56" s="66" t="str">
        <f>[1]Data2025!D55</f>
        <v>06. 05. 08.</v>
      </c>
      <c r="D56" s="67" t="str">
        <f>[1]Data2025!C55</f>
        <v>5.1.02.01.01.0024</v>
      </c>
      <c r="E56" s="68">
        <f>[1]Data2025!E55</f>
        <v>45661</v>
      </c>
      <c r="F56" s="69" t="str">
        <f>[1]Data2025!F55</f>
        <v>06/01/2025</v>
      </c>
      <c r="G56" s="68" t="str">
        <f>[1]Data2025!H55</f>
        <v>06/01/2025</v>
      </c>
      <c r="H56" s="68" t="str">
        <f t="shared" si="0"/>
        <v>06/01/2025</v>
      </c>
      <c r="I56" s="70" t="str">
        <f>[1]Data2025!J55</f>
        <v>23/01/2025</v>
      </c>
      <c r="J56" s="71" t="str">
        <f>[1]Data2025!L55</f>
        <v>Paper Clip No 1  Paper Clip No 3</v>
      </c>
      <c r="K56" s="71" t="str">
        <f>[1]Data2025!M55</f>
        <v>Paper Clip No 1  Paper Clip No 3</v>
      </c>
      <c r="L56" s="72">
        <f>[1]Data2025!N55</f>
        <v>5</v>
      </c>
      <c r="M56" s="72" t="str">
        <f>[1]Data2025!O55</f>
        <v>kotak</v>
      </c>
      <c r="N56" s="73">
        <f>[1]Data2025!P55</f>
        <v>6000</v>
      </c>
      <c r="O56" s="74">
        <f>[1]Data2025!Q55</f>
        <v>30000</v>
      </c>
      <c r="P56" s="75" t="s">
        <v>43</v>
      </c>
      <c r="Q56" s="76" t="str">
        <f>VLOOKUP(K56,[1]Sheet1!$C$1:$D$101,2,)</f>
        <v>Paper Clip No 3 (Length 5.0Cm, Width 5.0Cm, Height 5.0Cm, Weight 5Gr)</v>
      </c>
      <c r="R56" s="77">
        <v>1240000</v>
      </c>
      <c r="S56" s="78">
        <v>1248000</v>
      </c>
      <c r="T56" s="79" t="str">
        <f>[1]Data2025!T55</f>
        <v>UD. JOSUA</v>
      </c>
      <c r="U56" s="80" t="s">
        <v>35</v>
      </c>
      <c r="V56" s="79" t="str">
        <f>[1]Data2025!V55</f>
        <v>Gestiwan Bazikho</v>
      </c>
      <c r="W56" s="79" t="str">
        <f>[1]Data2025!X55</f>
        <v>Jl. Diponegoro Kel. Pasar Telukdalam - Nias Selatan</v>
      </c>
      <c r="X56" s="80" t="s">
        <v>36</v>
      </c>
      <c r="Y56" s="80" t="str">
        <f t="shared" si="1"/>
        <v>Alat Tulis Kantor (ATK)</v>
      </c>
      <c r="Z56" s="81" t="str">
        <f t="shared" si="2"/>
        <v>Alat Tulis Kantor (ATK)</v>
      </c>
      <c r="AA56" s="82" t="s">
        <v>48</v>
      </c>
      <c r="AB56" s="83">
        <v>310000</v>
      </c>
      <c r="AC56" s="83">
        <v>1240000</v>
      </c>
      <c r="AD56" s="77">
        <v>1240000</v>
      </c>
      <c r="AE56" s="84">
        <v>1117117.1171171172</v>
      </c>
      <c r="AF56" s="84">
        <v>1240000</v>
      </c>
      <c r="AG56" s="85" t="s">
        <v>38</v>
      </c>
      <c r="AH56" s="86" t="str">
        <f>[1]Data2025!W55</f>
        <v>081375309828</v>
      </c>
    </row>
    <row r="57" spans="1:36" s="88" customFormat="1" ht="16.5" thickTop="1" thickBot="1">
      <c r="A57" s="64" t="str">
        <f>[1]Data2025!G56</f>
        <v>04</v>
      </c>
      <c r="B57" s="65" t="str">
        <f>[1]Data2025!K56</f>
        <v>BPU04</v>
      </c>
      <c r="C57" s="66" t="str">
        <f>[1]Data2025!D56</f>
        <v>06. 05. 08.</v>
      </c>
      <c r="D57" s="67" t="str">
        <f>[1]Data2025!C56</f>
        <v>5.1.02.01.01.0024</v>
      </c>
      <c r="E57" s="68">
        <f>[1]Data2025!E56</f>
        <v>45661</v>
      </c>
      <c r="F57" s="69" t="str">
        <f>[1]Data2025!F56</f>
        <v>06/01/2025</v>
      </c>
      <c r="G57" s="68" t="str">
        <f>[1]Data2025!H56</f>
        <v>06/01/2025</v>
      </c>
      <c r="H57" s="68" t="str">
        <f t="shared" si="0"/>
        <v>06/01/2025</v>
      </c>
      <c r="I57" s="70" t="str">
        <f>[1]Data2025!J56</f>
        <v>23/01/2025</v>
      </c>
      <c r="J57" s="71" t="str">
        <f>[1]Data2025!L56</f>
        <v>Penghapus White Board</v>
      </c>
      <c r="K57" s="71" t="str">
        <f>[1]Data2025!M56</f>
        <v>Penghapus White Board</v>
      </c>
      <c r="L57" s="72">
        <f>[1]Data2025!N56</f>
        <v>30</v>
      </c>
      <c r="M57" s="72" t="str">
        <f>[1]Data2025!O56</f>
        <v>buah</v>
      </c>
      <c r="N57" s="73">
        <f>[1]Data2025!P56</f>
        <v>10000</v>
      </c>
      <c r="O57" s="74">
        <f>[1]Data2025!Q56</f>
        <v>300000</v>
      </c>
      <c r="P57" s="75" t="s">
        <v>43</v>
      </c>
      <c r="Q57" s="76" t="str">
        <f>VLOOKUP(K57,[1]Sheet1!$C$1:$D$101,2,)</f>
        <v>Penghapus White Board (Ukuran : 55 X 120 X 38 Mm - Berat : 30 Gram)</v>
      </c>
      <c r="R57" s="77">
        <v>80000</v>
      </c>
      <c r="S57" s="78">
        <v>82000</v>
      </c>
      <c r="T57" s="79" t="str">
        <f>[1]Data2025!T56</f>
        <v>UD. JOSUA</v>
      </c>
      <c r="U57" s="80" t="s">
        <v>35</v>
      </c>
      <c r="V57" s="79" t="str">
        <f>[1]Data2025!V56</f>
        <v>Gestiwan Bazikho</v>
      </c>
      <c r="W57" s="79" t="str">
        <f>[1]Data2025!X56</f>
        <v>Jl. Diponegoro Kel. Pasar Telukdalam - Nias Selatan</v>
      </c>
      <c r="X57" s="80" t="s">
        <v>36</v>
      </c>
      <c r="Y57" s="80" t="str">
        <f t="shared" si="1"/>
        <v>Alat Tulis Kantor (ATK)</v>
      </c>
      <c r="Z57" s="81" t="str">
        <f t="shared" si="2"/>
        <v>Alat Tulis Kantor (ATK)</v>
      </c>
      <c r="AA57" s="82" t="s">
        <v>42</v>
      </c>
      <c r="AB57" s="83">
        <v>80000</v>
      </c>
      <c r="AC57" s="83">
        <v>80000</v>
      </c>
      <c r="AD57" s="77">
        <v>80000</v>
      </c>
      <c r="AE57" s="84">
        <v>72072.072072072071</v>
      </c>
      <c r="AF57" s="84">
        <v>80000</v>
      </c>
      <c r="AG57" s="85" t="s">
        <v>38</v>
      </c>
      <c r="AH57" s="86" t="str">
        <f>[1]Data2025!W56</f>
        <v>081375309828</v>
      </c>
    </row>
    <row r="58" spans="1:36" s="88" customFormat="1" ht="16.5" thickTop="1" thickBot="1">
      <c r="A58" s="64" t="str">
        <f>[1]Data2025!G57</f>
        <v>04</v>
      </c>
      <c r="B58" s="65" t="str">
        <f>[1]Data2025!K57</f>
        <v>BPU04</v>
      </c>
      <c r="C58" s="66" t="str">
        <f>[1]Data2025!D57</f>
        <v>06. 05. 08.</v>
      </c>
      <c r="D58" s="67" t="str">
        <f>[1]Data2025!C57</f>
        <v>5.1.02.01.01.0024</v>
      </c>
      <c r="E58" s="68">
        <f>[1]Data2025!E57</f>
        <v>45661</v>
      </c>
      <c r="F58" s="69" t="str">
        <f>[1]Data2025!F57</f>
        <v>06/01/2025</v>
      </c>
      <c r="G58" s="68" t="str">
        <f>[1]Data2025!H57</f>
        <v>06/01/2025</v>
      </c>
      <c r="H58" s="68" t="str">
        <f t="shared" si="0"/>
        <v>06/01/2025</v>
      </c>
      <c r="I58" s="70" t="str">
        <f>[1]Data2025!J57</f>
        <v>23/01/2025</v>
      </c>
      <c r="J58" s="71" t="str">
        <f>[1]Data2025!L57</f>
        <v>Isi Staples Sedang</v>
      </c>
      <c r="K58" s="71" t="str">
        <f>[1]Data2025!M57</f>
        <v>Isi Staples Sedang</v>
      </c>
      <c r="L58" s="72">
        <f>[1]Data2025!N57</f>
        <v>2</v>
      </c>
      <c r="M58" s="72" t="str">
        <f>[1]Data2025!O57</f>
        <v>kotak</v>
      </c>
      <c r="N58" s="73">
        <f>[1]Data2025!P57</f>
        <v>40000</v>
      </c>
      <c r="O58" s="74">
        <f>[1]Data2025!Q57</f>
        <v>80000</v>
      </c>
      <c r="P58" s="75" t="s">
        <v>43</v>
      </c>
      <c r="Q58" s="76" t="str">
        <f>VLOOKUP(K58,[1]Sheet1!$C$1:$D$101,2,)</f>
        <v>Isi Staples Sedang (Dimensi, 2Cm X 4Cm X 1Cm. Berat, 5G.)</v>
      </c>
      <c r="R58" s="77">
        <v>60000</v>
      </c>
      <c r="S58" s="78">
        <v>66000</v>
      </c>
      <c r="T58" s="79" t="str">
        <f>[1]Data2025!T57</f>
        <v>UD. JOSUA</v>
      </c>
      <c r="U58" s="80" t="s">
        <v>35</v>
      </c>
      <c r="V58" s="79" t="str">
        <f>[1]Data2025!V57</f>
        <v>Gestiwan Bazikho</v>
      </c>
      <c r="W58" s="79" t="str">
        <f>[1]Data2025!X57</f>
        <v>Jl. Diponegoro Kel. Pasar Telukdalam - Nias Selatan</v>
      </c>
      <c r="X58" s="80" t="s">
        <v>36</v>
      </c>
      <c r="Y58" s="80" t="str">
        <f t="shared" si="1"/>
        <v>Alat Tulis Kantor (ATK)</v>
      </c>
      <c r="Z58" s="81" t="str">
        <f t="shared" si="2"/>
        <v>Alat Tulis Kantor (ATK)</v>
      </c>
      <c r="AA58" s="82" t="s">
        <v>42</v>
      </c>
      <c r="AB58" s="83">
        <v>20000</v>
      </c>
      <c r="AC58" s="83">
        <v>60000</v>
      </c>
      <c r="AD58" s="77">
        <v>60000</v>
      </c>
      <c r="AE58" s="84">
        <v>54054.054054054053</v>
      </c>
      <c r="AF58" s="84">
        <v>60000</v>
      </c>
      <c r="AG58" s="85" t="s">
        <v>38</v>
      </c>
      <c r="AH58" s="86" t="str">
        <f>[1]Data2025!W57</f>
        <v>081375309828</v>
      </c>
    </row>
    <row r="59" spans="1:36" s="88" customFormat="1" ht="16.5" thickTop="1" thickBot="1">
      <c r="A59" s="64" t="str">
        <f>[1]Data2025!G58</f>
        <v>04</v>
      </c>
      <c r="B59" s="65" t="str">
        <f>[1]Data2025!K58</f>
        <v>BPU04</v>
      </c>
      <c r="C59" s="66" t="str">
        <f>[1]Data2025!D58</f>
        <v>06. 05. 08.</v>
      </c>
      <c r="D59" s="67" t="str">
        <f>[1]Data2025!C58</f>
        <v>5.1.02.01.01.0024</v>
      </c>
      <c r="E59" s="68">
        <f>[1]Data2025!E58</f>
        <v>45661</v>
      </c>
      <c r="F59" s="69" t="str">
        <f>[1]Data2025!F58</f>
        <v>06/01/2025</v>
      </c>
      <c r="G59" s="68" t="str">
        <f>[1]Data2025!H58</f>
        <v>06/01/2025</v>
      </c>
      <c r="H59" s="68" t="str">
        <f t="shared" si="0"/>
        <v>06/01/2025</v>
      </c>
      <c r="I59" s="70" t="str">
        <f>[1]Data2025!J58</f>
        <v>23/01/2025</v>
      </c>
      <c r="J59" s="71" t="str">
        <f>[1]Data2025!L58</f>
        <v>Isi Staples besar</v>
      </c>
      <c r="K59" s="71" t="str">
        <f>[1]Data2025!M58</f>
        <v>Isi Staples besar</v>
      </c>
      <c r="L59" s="72">
        <f>[1]Data2025!N58</f>
        <v>2</v>
      </c>
      <c r="M59" s="72" t="str">
        <f>[1]Data2025!O58</f>
        <v>kotak</v>
      </c>
      <c r="N59" s="73">
        <f>[1]Data2025!P58</f>
        <v>80000</v>
      </c>
      <c r="O59" s="74">
        <f>[1]Data2025!Q58</f>
        <v>160000</v>
      </c>
      <c r="P59" s="75" t="s">
        <v>43</v>
      </c>
      <c r="Q59" s="76" t="str">
        <f>VLOOKUP(K59,[1]Sheet1!$C$1:$D$101,2,)</f>
        <v>Isi Staples besar (Ukuran 10 mm (3/8″)Isi Kemasan 1000 staples/box)</v>
      </c>
      <c r="R59" s="77">
        <v>40000</v>
      </c>
      <c r="S59" s="78">
        <v>44000</v>
      </c>
      <c r="T59" s="79" t="str">
        <f>[1]Data2025!T58</f>
        <v>UD. JOSUA</v>
      </c>
      <c r="U59" s="80" t="s">
        <v>35</v>
      </c>
      <c r="V59" s="79" t="str">
        <f>[1]Data2025!V58</f>
        <v>Gestiwan Bazikho</v>
      </c>
      <c r="W59" s="79" t="str">
        <f>[1]Data2025!X58</f>
        <v>Jl. Diponegoro Kel. Pasar Telukdalam - Nias Selatan</v>
      </c>
      <c r="X59" s="80" t="s">
        <v>36</v>
      </c>
      <c r="Y59" s="80" t="str">
        <f t="shared" si="1"/>
        <v>Alat Tulis Kantor (ATK)</v>
      </c>
      <c r="Z59" s="81" t="str">
        <f t="shared" si="2"/>
        <v>Alat Tulis Kantor (ATK)</v>
      </c>
      <c r="AA59" s="82" t="s">
        <v>42</v>
      </c>
      <c r="AB59" s="83">
        <v>20000</v>
      </c>
      <c r="AC59" s="83">
        <v>40000</v>
      </c>
      <c r="AD59" s="77">
        <v>40000</v>
      </c>
      <c r="AE59" s="84">
        <v>36036.036036036036</v>
      </c>
      <c r="AF59" s="84">
        <v>40000</v>
      </c>
      <c r="AG59" s="85" t="s">
        <v>38</v>
      </c>
      <c r="AH59" s="86" t="str">
        <f>[1]Data2025!W58</f>
        <v>081375309828</v>
      </c>
    </row>
    <row r="60" spans="1:36" s="88" customFormat="1" ht="26" thickTop="1" thickBot="1">
      <c r="A60" s="64" t="str">
        <f>[1]Data2025!G59</f>
        <v>04</v>
      </c>
      <c r="B60" s="65" t="str">
        <f>[1]Data2025!K59</f>
        <v>BPU04</v>
      </c>
      <c r="C60" s="66" t="str">
        <f>[1]Data2025!D59</f>
        <v>06. 05. 08.</v>
      </c>
      <c r="D60" s="67" t="str">
        <f>[1]Data2025!C59</f>
        <v>5.1.02.01.01.0024</v>
      </c>
      <c r="E60" s="68">
        <f>[1]Data2025!E59</f>
        <v>45661</v>
      </c>
      <c r="F60" s="69" t="str">
        <f>[1]Data2025!F59</f>
        <v>06/01/2025</v>
      </c>
      <c r="G60" s="68" t="str">
        <f>[1]Data2025!H59</f>
        <v>06/01/2025</v>
      </c>
      <c r="H60" s="68" t="str">
        <f t="shared" si="0"/>
        <v>06/01/2025</v>
      </c>
      <c r="I60" s="70" t="str">
        <f>[1]Data2025!J59</f>
        <v>23/01/2025</v>
      </c>
      <c r="J60" s="71" t="str">
        <f>[1]Data2025!L59</f>
        <v>gunting kertas-ukuran : panjang 21cm x lebar 8cm, stainless steel</v>
      </c>
      <c r="K60" s="71" t="str">
        <f>[1]Data2025!M59</f>
        <v>gunting kertas-ukuran : panjang 21cm x lebar 8cm, stainless steel</v>
      </c>
      <c r="L60" s="72">
        <f>[1]Data2025!N59</f>
        <v>2</v>
      </c>
      <c r="M60" s="72" t="str">
        <f>[1]Data2025!O59</f>
        <v>buah</v>
      </c>
      <c r="N60" s="73">
        <f>[1]Data2025!P59</f>
        <v>20000</v>
      </c>
      <c r="O60" s="74">
        <f>[1]Data2025!Q59</f>
        <v>40000</v>
      </c>
      <c r="P60" s="75" t="s">
        <v>43</v>
      </c>
      <c r="Q60" s="76" t="str">
        <f>VLOOKUP(K60,[1]Sheet1!$C$1:$D$101,2,)</f>
        <v>Gunting Besar (Length 5.0Cm, Width 5.0Cm, Height 5.0Cm, Weight 5Gr)</v>
      </c>
      <c r="R60" s="77">
        <v>300000</v>
      </c>
      <c r="S60" s="78">
        <v>360000</v>
      </c>
      <c r="T60" s="79" t="str">
        <f>[1]Data2025!T59</f>
        <v>UD. JOSUA</v>
      </c>
      <c r="U60" s="80" t="s">
        <v>35</v>
      </c>
      <c r="V60" s="79" t="str">
        <f>[1]Data2025!V59</f>
        <v>Gestiwan Bazikho</v>
      </c>
      <c r="W60" s="79" t="str">
        <f>[1]Data2025!X59</f>
        <v>Jl. Diponegoro Kel. Pasar Telukdalam - Nias Selatan</v>
      </c>
      <c r="X60" s="80" t="s">
        <v>36</v>
      </c>
      <c r="Y60" s="80" t="str">
        <f t="shared" si="1"/>
        <v>Alat Tulis Kantor (ATK)</v>
      </c>
      <c r="Z60" s="81" t="str">
        <f t="shared" si="2"/>
        <v>Alat Tulis Kantor (ATK)</v>
      </c>
      <c r="AA60" s="82" t="s">
        <v>42</v>
      </c>
      <c r="AB60" s="83">
        <v>10000</v>
      </c>
      <c r="AC60" s="83">
        <v>300000</v>
      </c>
      <c r="AD60" s="77">
        <v>300000</v>
      </c>
      <c r="AE60" s="84">
        <v>270270.2702702703</v>
      </c>
      <c r="AF60" s="84">
        <v>300000</v>
      </c>
      <c r="AG60" s="85" t="s">
        <v>38</v>
      </c>
      <c r="AH60" s="86" t="str">
        <f>[1]Data2025!W59</f>
        <v>081375309828</v>
      </c>
    </row>
    <row r="61" spans="1:36" s="88" customFormat="1" ht="16.5" thickTop="1" thickBot="1">
      <c r="A61" s="64" t="str">
        <f>[1]Data2025!G60</f>
        <v>04</v>
      </c>
      <c r="B61" s="65" t="str">
        <f>[1]Data2025!K60</f>
        <v>BPU04</v>
      </c>
      <c r="C61" s="66" t="str">
        <f>[1]Data2025!D60</f>
        <v>06. 05. 08.</v>
      </c>
      <c r="D61" s="67" t="str">
        <f>[1]Data2025!C60</f>
        <v>5.1.02.01.01.0024</v>
      </c>
      <c r="E61" s="68">
        <f>[1]Data2025!E60</f>
        <v>45661</v>
      </c>
      <c r="F61" s="69" t="str">
        <f>[1]Data2025!F60</f>
        <v>06/01/2025</v>
      </c>
      <c r="G61" s="68" t="str">
        <f>[1]Data2025!H60</f>
        <v>06/01/2025</v>
      </c>
      <c r="H61" s="68" t="str">
        <f t="shared" si="0"/>
        <v>06/01/2025</v>
      </c>
      <c r="I61" s="70" t="str">
        <f>[1]Data2025!J60</f>
        <v>23/01/2025</v>
      </c>
      <c r="J61" s="71" t="str">
        <f>[1]Data2025!L60</f>
        <v>Pisau Cutter Kenko L-500</v>
      </c>
      <c r="K61" s="71" t="str">
        <f>[1]Data2025!M60</f>
        <v>Pisau Cutter Kenko L-500</v>
      </c>
      <c r="L61" s="72">
        <f>[1]Data2025!N60</f>
        <v>2</v>
      </c>
      <c r="M61" s="72" t="str">
        <f>[1]Data2025!O60</f>
        <v>buah</v>
      </c>
      <c r="N61" s="73">
        <f>[1]Data2025!P60</f>
        <v>15000</v>
      </c>
      <c r="O61" s="74">
        <f>[1]Data2025!Q60</f>
        <v>30000</v>
      </c>
      <c r="P61" s="75" t="s">
        <v>43</v>
      </c>
      <c r="Q61" s="76" t="str">
        <f>VLOOKUP(K61,[1]Sheet1!$C$1:$D$101,2,)</f>
        <v>Cutter L500 (Length 5.0Cm, Width 5.0Cm, Height 5.0Cm, Weight 5Gr)</v>
      </c>
      <c r="R61" s="77">
        <v>40000</v>
      </c>
      <c r="S61" s="78">
        <v>44000</v>
      </c>
      <c r="T61" s="79" t="str">
        <f>[1]Data2025!T60</f>
        <v>UD. JOSUA</v>
      </c>
      <c r="U61" s="80" t="s">
        <v>35</v>
      </c>
      <c r="V61" s="79" t="str">
        <f>[1]Data2025!V60</f>
        <v>Gestiwan Bazikho</v>
      </c>
      <c r="W61" s="79" t="str">
        <f>[1]Data2025!X60</f>
        <v>Jl. Diponegoro Kel. Pasar Telukdalam - Nias Selatan</v>
      </c>
      <c r="X61" s="80" t="s">
        <v>36</v>
      </c>
      <c r="Y61" s="80" t="str">
        <f t="shared" si="1"/>
        <v>Alat Tulis Kantor (ATK)</v>
      </c>
      <c r="Z61" s="81" t="str">
        <f t="shared" si="2"/>
        <v>Alat Tulis Kantor (ATK)</v>
      </c>
      <c r="AA61" s="82" t="s">
        <v>40</v>
      </c>
      <c r="AB61" s="83">
        <v>20000</v>
      </c>
      <c r="AC61" s="83">
        <v>40000</v>
      </c>
      <c r="AD61" s="77">
        <v>40000</v>
      </c>
      <c r="AE61" s="84">
        <v>36036.036036036036</v>
      </c>
      <c r="AF61" s="84">
        <v>40000</v>
      </c>
      <c r="AG61" s="85" t="s">
        <v>38</v>
      </c>
      <c r="AH61" s="86" t="str">
        <f>[1]Data2025!W60</f>
        <v>081375309828</v>
      </c>
    </row>
    <row r="62" spans="1:36" s="88" customFormat="1" ht="16.5" thickTop="1" thickBot="1">
      <c r="A62" s="64" t="str">
        <f>[1]Data2025!G61</f>
        <v>04</v>
      </c>
      <c r="B62" s="65" t="str">
        <f>[1]Data2025!K61</f>
        <v>BPU04</v>
      </c>
      <c r="C62" s="66" t="str">
        <f>[1]Data2025!D61</f>
        <v>06. 05. 08.</v>
      </c>
      <c r="D62" s="67" t="str">
        <f>[1]Data2025!C61</f>
        <v>5.1.02.01.01.0024</v>
      </c>
      <c r="E62" s="68">
        <f>[1]Data2025!E61</f>
        <v>45661</v>
      </c>
      <c r="F62" s="69" t="str">
        <f>[1]Data2025!F61</f>
        <v>06/01/2025</v>
      </c>
      <c r="G62" s="68" t="str">
        <f>[1]Data2025!H61</f>
        <v>06/01/2025</v>
      </c>
      <c r="H62" s="68" t="str">
        <f t="shared" si="0"/>
        <v>06/01/2025</v>
      </c>
      <c r="I62" s="70" t="str">
        <f>[1]Data2025!J61</f>
        <v>23/01/2025</v>
      </c>
      <c r="J62" s="71" t="str">
        <f>[1]Data2025!L61</f>
        <v>Buku Induk/Inventaris 35 cm x 50 cm</v>
      </c>
      <c r="K62" s="71" t="str">
        <f>[1]Data2025!M61</f>
        <v>Buku Induk/Inventaris 35 cm x 50 cm</v>
      </c>
      <c r="L62" s="72">
        <f>[1]Data2025!N61</f>
        <v>2</v>
      </c>
      <c r="M62" s="72" t="str">
        <f>[1]Data2025!O61</f>
        <v>buah</v>
      </c>
      <c r="N62" s="73">
        <f>[1]Data2025!P61</f>
        <v>58000</v>
      </c>
      <c r="O62" s="74">
        <f>[1]Data2025!Q61</f>
        <v>116000</v>
      </c>
      <c r="P62" s="75" t="s">
        <v>43</v>
      </c>
      <c r="Q62" s="76" t="str">
        <f>VLOOKUP(K62,[1]Sheet1!$C$1:$D$101,2,)</f>
        <v>Buku Induk/Inventaris 35 Cm X 50 Cm (Lebar : 50 Cm, Tinggi : 4 Cm, Berat : 1000 Gr)</v>
      </c>
      <c r="R62" s="77">
        <v>440000</v>
      </c>
      <c r="S62" s="78">
        <v>448000</v>
      </c>
      <c r="T62" s="79" t="str">
        <f>[1]Data2025!T61</f>
        <v>UD. JOSUA</v>
      </c>
      <c r="U62" s="80" t="s">
        <v>35</v>
      </c>
      <c r="V62" s="79" t="str">
        <f>[1]Data2025!V61</f>
        <v>Gestiwan Bazikho</v>
      </c>
      <c r="W62" s="79" t="str">
        <f>[1]Data2025!X61</f>
        <v>Jl. Diponegoro Kel. Pasar Telukdalam - Nias Selatan</v>
      </c>
      <c r="X62" s="80" t="s">
        <v>36</v>
      </c>
      <c r="Y62" s="80" t="str">
        <f t="shared" si="1"/>
        <v>Alat Tulis Kantor (ATK)</v>
      </c>
      <c r="Z62" s="81" t="str">
        <f t="shared" si="2"/>
        <v>Alat Tulis Kantor (ATK)</v>
      </c>
      <c r="AA62" s="82" t="s">
        <v>48</v>
      </c>
      <c r="AB62" s="83">
        <v>110000</v>
      </c>
      <c r="AC62" s="83">
        <v>440000</v>
      </c>
      <c r="AD62" s="77">
        <v>440000</v>
      </c>
      <c r="AE62" s="84">
        <v>396396.39639639639</v>
      </c>
      <c r="AF62" s="84">
        <v>440000</v>
      </c>
      <c r="AG62" s="85" t="s">
        <v>38</v>
      </c>
      <c r="AH62" s="86" t="str">
        <f>[1]Data2025!W61</f>
        <v>081375309828</v>
      </c>
    </row>
    <row r="63" spans="1:36" s="88" customFormat="1" ht="16.5" thickTop="1" thickBot="1">
      <c r="A63" s="64" t="str">
        <f>[1]Data2025!G62</f>
        <v>04</v>
      </c>
      <c r="B63" s="65" t="str">
        <f>[1]Data2025!K62</f>
        <v>BPU04</v>
      </c>
      <c r="C63" s="66" t="str">
        <f>[1]Data2025!D62</f>
        <v>06. 05. 08.</v>
      </c>
      <c r="D63" s="67" t="str">
        <f>[1]Data2025!C62</f>
        <v>5.1.02.01.01.0024</v>
      </c>
      <c r="E63" s="68">
        <f>[1]Data2025!E62</f>
        <v>45661</v>
      </c>
      <c r="F63" s="69" t="str">
        <f>[1]Data2025!F62</f>
        <v>06/01/2025</v>
      </c>
      <c r="G63" s="68" t="str">
        <f>[1]Data2025!H62</f>
        <v>06/01/2025</v>
      </c>
      <c r="H63" s="68" t="str">
        <f t="shared" si="0"/>
        <v>06/01/2025</v>
      </c>
      <c r="I63" s="70" t="str">
        <f>[1]Data2025!J62</f>
        <v>23/01/2025</v>
      </c>
      <c r="J63" s="71" t="str">
        <f>[1]Data2025!L62</f>
        <v>Buku Ekspedisi 100</v>
      </c>
      <c r="K63" s="71" t="str">
        <f>[1]Data2025!M62</f>
        <v>Buku Ekspedisi 100</v>
      </c>
      <c r="L63" s="72">
        <f>[1]Data2025!N62</f>
        <v>6</v>
      </c>
      <c r="M63" s="72" t="str">
        <f>[1]Data2025!O62</f>
        <v>buah</v>
      </c>
      <c r="N63" s="73">
        <f>[1]Data2025!P62</f>
        <v>15000</v>
      </c>
      <c r="O63" s="74">
        <f>[1]Data2025!Q62</f>
        <v>90000</v>
      </c>
      <c r="P63" s="75" t="s">
        <v>43</v>
      </c>
      <c r="Q63" s="76" t="str">
        <f>VLOOKUP(K63,[1]Sheet1!$C$1:$D$101,2,)</f>
        <v>Buku Ekspedisi 100 (Berat Satuan. 400 Gram ; Dimensi Ukuran. 32X11X1Cm)</v>
      </c>
      <c r="R63" s="77">
        <v>87500</v>
      </c>
      <c r="S63" s="78">
        <v>89500</v>
      </c>
      <c r="T63" s="79" t="str">
        <f>[1]Data2025!T62</f>
        <v>UD. JOSUA</v>
      </c>
      <c r="U63" s="80" t="s">
        <v>35</v>
      </c>
      <c r="V63" s="79" t="str">
        <f>[1]Data2025!V62</f>
        <v>Gestiwan Bazikho</v>
      </c>
      <c r="W63" s="79" t="str">
        <f>[1]Data2025!X62</f>
        <v>Jl. Diponegoro Kel. Pasar Telukdalam - Nias Selatan</v>
      </c>
      <c r="X63" s="80" t="s">
        <v>36</v>
      </c>
      <c r="Y63" s="80" t="str">
        <f t="shared" si="1"/>
        <v>Alat Tulis Kantor (ATK)</v>
      </c>
      <c r="Z63" s="81" t="str">
        <f t="shared" si="2"/>
        <v>Alat Tulis Kantor (ATK)</v>
      </c>
      <c r="AA63" s="82" t="s">
        <v>51</v>
      </c>
      <c r="AB63" s="83">
        <v>87500</v>
      </c>
      <c r="AC63" s="83">
        <v>87500</v>
      </c>
      <c r="AD63" s="77">
        <v>87500</v>
      </c>
      <c r="AE63" s="84">
        <v>78828.828828828831</v>
      </c>
      <c r="AF63" s="84">
        <v>87500</v>
      </c>
      <c r="AG63" s="85" t="s">
        <v>38</v>
      </c>
      <c r="AH63" s="86" t="str">
        <f>[1]Data2025!W62</f>
        <v>081375309828</v>
      </c>
    </row>
    <row r="64" spans="1:36" s="88" customFormat="1" ht="16.5" thickTop="1" thickBot="1">
      <c r="A64" s="64" t="str">
        <f>[1]Data2025!G63</f>
        <v>04</v>
      </c>
      <c r="B64" s="65" t="str">
        <f>[1]Data2025!K63</f>
        <v>BPU04</v>
      </c>
      <c r="C64" s="66" t="str">
        <f>[1]Data2025!D63</f>
        <v>06. 05. 08.</v>
      </c>
      <c r="D64" s="67" t="str">
        <f>[1]Data2025!C63</f>
        <v>5.1.02.01.01.0024</v>
      </c>
      <c r="E64" s="68">
        <f>[1]Data2025!E63</f>
        <v>45661</v>
      </c>
      <c r="F64" s="69" t="str">
        <f>[1]Data2025!F63</f>
        <v>06/01/2025</v>
      </c>
      <c r="G64" s="68" t="str">
        <f>[1]Data2025!H63</f>
        <v>06/01/2025</v>
      </c>
      <c r="H64" s="68" t="str">
        <f t="shared" si="0"/>
        <v>06/01/2025</v>
      </c>
      <c r="I64" s="70" t="str">
        <f>[1]Data2025!J63</f>
        <v>23/01/2025</v>
      </c>
      <c r="J64" s="71" t="str">
        <f>[1]Data2025!L63</f>
        <v>Baterey Kecil</v>
      </c>
      <c r="K64" s="71" t="str">
        <f>[1]Data2025!M63</f>
        <v>Baterey Kecil</v>
      </c>
      <c r="L64" s="72">
        <f>[1]Data2025!N63</f>
        <v>5</v>
      </c>
      <c r="M64" s="72" t="str">
        <f>[1]Data2025!O63</f>
        <v>pasang</v>
      </c>
      <c r="N64" s="73">
        <f>[1]Data2025!P63</f>
        <v>20000</v>
      </c>
      <c r="O64" s="74">
        <f>[1]Data2025!Q63</f>
        <v>100000</v>
      </c>
      <c r="P64" s="75" t="s">
        <v>43</v>
      </c>
      <c r="Q64" s="76" t="str">
        <f>VLOOKUP(K64,[1]Sheet1!$C$1:$D$101,2,)</f>
        <v>Baterey Kecil (Type: Aa; Tegangan: 1.5 Volt; Ukuran: 14 X 50 Mm)</v>
      </c>
      <c r="R64" s="77">
        <v>50000</v>
      </c>
      <c r="S64" s="78">
        <v>58000</v>
      </c>
      <c r="T64" s="79" t="str">
        <f>[1]Data2025!T63</f>
        <v>UD. JOSUA</v>
      </c>
      <c r="U64" s="80" t="s">
        <v>35</v>
      </c>
      <c r="V64" s="79" t="str">
        <f>[1]Data2025!V63</f>
        <v>Gestiwan Bazikho</v>
      </c>
      <c r="W64" s="79" t="str">
        <f>[1]Data2025!X63</f>
        <v>Jl. Diponegoro Kel. Pasar Telukdalam - Nias Selatan</v>
      </c>
      <c r="X64" s="80" t="s">
        <v>36</v>
      </c>
      <c r="Y64" s="80" t="str">
        <f t="shared" si="1"/>
        <v>Alat Tulis Kantor (ATK)</v>
      </c>
      <c r="Z64" s="81" t="str">
        <f t="shared" si="2"/>
        <v>Alat Tulis Kantor (ATK)</v>
      </c>
      <c r="AA64" s="82" t="s">
        <v>42</v>
      </c>
      <c r="AB64" s="83">
        <v>12500</v>
      </c>
      <c r="AC64" s="83">
        <v>50000</v>
      </c>
      <c r="AD64" s="77">
        <v>50000</v>
      </c>
      <c r="AE64" s="84">
        <v>45045.045045045044</v>
      </c>
      <c r="AF64" s="84">
        <v>50000</v>
      </c>
      <c r="AG64" s="85" t="s">
        <v>38</v>
      </c>
      <c r="AH64" s="86" t="str">
        <f>[1]Data2025!W63</f>
        <v>081375309828</v>
      </c>
    </row>
    <row r="65" spans="1:34" s="88" customFormat="1" ht="16.5" thickTop="1" thickBot="1">
      <c r="A65" s="64" t="str">
        <f>[1]Data2025!G64</f>
        <v>04</v>
      </c>
      <c r="B65" s="65" t="str">
        <f>[1]Data2025!K64</f>
        <v>BPU04</v>
      </c>
      <c r="C65" s="66" t="str">
        <f>[1]Data2025!D64</f>
        <v>06. 05. 08.</v>
      </c>
      <c r="D65" s="67" t="str">
        <f>[1]Data2025!C64</f>
        <v>5.1.02.01.01.0024</v>
      </c>
      <c r="E65" s="68">
        <f>[1]Data2025!E64</f>
        <v>45661</v>
      </c>
      <c r="F65" s="69" t="str">
        <f>[1]Data2025!F64</f>
        <v>06/01/2025</v>
      </c>
      <c r="G65" s="68" t="str">
        <f>[1]Data2025!H64</f>
        <v>06/01/2025</v>
      </c>
      <c r="H65" s="68" t="str">
        <f t="shared" si="0"/>
        <v>06/01/2025</v>
      </c>
      <c r="I65" s="70" t="str">
        <f>[1]Data2025!J64</f>
        <v>23/01/2025</v>
      </c>
      <c r="J65" s="71" t="str">
        <f>[1]Data2025!L64</f>
        <v>Baterey Tanggung</v>
      </c>
      <c r="K65" s="71" t="str">
        <f>[1]Data2025!M64</f>
        <v>Baterey Tanggung</v>
      </c>
      <c r="L65" s="72">
        <f>[1]Data2025!N64</f>
        <v>5</v>
      </c>
      <c r="M65" s="72" t="str">
        <f>[1]Data2025!O64</f>
        <v>pasang</v>
      </c>
      <c r="N65" s="73">
        <f>[1]Data2025!P64</f>
        <v>30000</v>
      </c>
      <c r="O65" s="74">
        <f>[1]Data2025!Q64</f>
        <v>150000</v>
      </c>
      <c r="P65" s="75" t="s">
        <v>43</v>
      </c>
      <c r="Q65" s="76" t="str">
        <f>VLOOKUP(K65,[1]Sheet1!$C$1:$D$101,2,)</f>
        <v>Baterey Tanggung (Ukuran Sedang Tanggung R14C Biru 1.5V Brand : ABC Type : R14C 1.5V ukuran : tanggung Panjang : 5cm.)</v>
      </c>
      <c r="R65" s="77">
        <v>125000</v>
      </c>
      <c r="S65" s="78">
        <v>135000</v>
      </c>
      <c r="T65" s="79" t="str">
        <f>[1]Data2025!T64</f>
        <v>UD. JOSUA</v>
      </c>
      <c r="U65" s="80" t="s">
        <v>35</v>
      </c>
      <c r="V65" s="79" t="str">
        <f>[1]Data2025!V64</f>
        <v>Gestiwan Bazikho</v>
      </c>
      <c r="W65" s="79" t="str">
        <f>[1]Data2025!X64</f>
        <v>Jl. Diponegoro Kel. Pasar Telukdalam - Nias Selatan</v>
      </c>
      <c r="X65" s="80" t="s">
        <v>36</v>
      </c>
      <c r="Y65" s="80" t="str">
        <f t="shared" si="1"/>
        <v>Alat Tulis Kantor (ATK)</v>
      </c>
      <c r="Z65" s="81" t="str">
        <f t="shared" si="2"/>
        <v>Alat Tulis Kantor (ATK)</v>
      </c>
      <c r="AA65" s="82" t="s">
        <v>42</v>
      </c>
      <c r="AB65" s="83">
        <v>25000</v>
      </c>
      <c r="AC65" s="83">
        <v>125000</v>
      </c>
      <c r="AD65" s="77">
        <v>125000</v>
      </c>
      <c r="AE65" s="84">
        <v>112612.61261261262</v>
      </c>
      <c r="AF65" s="84">
        <v>125000</v>
      </c>
      <c r="AG65" s="85" t="s">
        <v>38</v>
      </c>
      <c r="AH65" s="86" t="str">
        <f>[1]Data2025!W64</f>
        <v>081375309828</v>
      </c>
    </row>
    <row r="66" spans="1:34" s="88" customFormat="1" ht="16.5" thickTop="1" thickBot="1">
      <c r="A66" s="64" t="str">
        <f>[1]Data2025!G65</f>
        <v>04</v>
      </c>
      <c r="B66" s="65" t="str">
        <f>[1]Data2025!K65</f>
        <v>BPU04</v>
      </c>
      <c r="C66" s="66" t="str">
        <f>[1]Data2025!D65</f>
        <v>06. 05. 08.</v>
      </c>
      <c r="D66" s="67" t="str">
        <f>[1]Data2025!C65</f>
        <v>5.1.02.01.01.0024</v>
      </c>
      <c r="E66" s="68">
        <f>[1]Data2025!E65</f>
        <v>45661</v>
      </c>
      <c r="F66" s="69" t="str">
        <f>[1]Data2025!F65</f>
        <v>06/01/2025</v>
      </c>
      <c r="G66" s="68" t="str">
        <f>[1]Data2025!H65</f>
        <v>06/01/2025</v>
      </c>
      <c r="H66" s="68" t="str">
        <f t="shared" si="0"/>
        <v>06/01/2025</v>
      </c>
      <c r="I66" s="70" t="str">
        <f>[1]Data2025!J65</f>
        <v>23/01/2025</v>
      </c>
      <c r="J66" s="71" t="str">
        <f>[1]Data2025!L65</f>
        <v>Bantalan Cap Besar</v>
      </c>
      <c r="K66" s="71" t="str">
        <f>[1]Data2025!M65</f>
        <v>Bantalan Cap Besar</v>
      </c>
      <c r="L66" s="72">
        <f>[1]Data2025!N65</f>
        <v>5</v>
      </c>
      <c r="M66" s="72" t="str">
        <f>[1]Data2025!O65</f>
        <v>buah</v>
      </c>
      <c r="N66" s="73">
        <f>[1]Data2025!P65</f>
        <v>15000</v>
      </c>
      <c r="O66" s="74">
        <f>[1]Data2025!Q65</f>
        <v>75000</v>
      </c>
      <c r="P66" s="75" t="s">
        <v>43</v>
      </c>
      <c r="Q66" s="76" t="str">
        <f>VLOOKUP(K66,[1]Sheet1!$C$1:$D$101,2,)</f>
        <v>Bantalan Cap Besar (Berat Produk 1 Kg, Panjang Produk 12 Cm, Lebar Produk 8 Cm, Tinggi Produk 12 Cm)</v>
      </c>
      <c r="R66" s="77">
        <v>100000</v>
      </c>
      <c r="S66" s="78">
        <v>104000</v>
      </c>
      <c r="T66" s="79" t="str">
        <f>[1]Data2025!T65</f>
        <v>UD. JOSUA</v>
      </c>
      <c r="U66" s="80" t="s">
        <v>35</v>
      </c>
      <c r="V66" s="79" t="str">
        <f>[1]Data2025!V65</f>
        <v>Gestiwan Bazikho</v>
      </c>
      <c r="W66" s="79" t="str">
        <f>[1]Data2025!X65</f>
        <v>Jl. Diponegoro Kel. Pasar Telukdalam - Nias Selatan</v>
      </c>
      <c r="X66" s="80" t="s">
        <v>36</v>
      </c>
      <c r="Y66" s="80" t="str">
        <f t="shared" si="1"/>
        <v>Alat Tulis Kantor (ATK)</v>
      </c>
      <c r="Z66" s="81" t="str">
        <f t="shared" si="2"/>
        <v>Alat Tulis Kantor (ATK)</v>
      </c>
      <c r="AA66" s="82" t="s">
        <v>42</v>
      </c>
      <c r="AB66" s="83">
        <v>50000</v>
      </c>
      <c r="AC66" s="83">
        <v>100000</v>
      </c>
      <c r="AD66" s="77">
        <v>100000</v>
      </c>
      <c r="AE66" s="84">
        <v>90090.090090090089</v>
      </c>
      <c r="AF66" s="84">
        <v>100000</v>
      </c>
      <c r="AG66" s="85" t="s">
        <v>38</v>
      </c>
      <c r="AH66" s="86" t="str">
        <f>[1]Data2025!W65</f>
        <v>081375309828</v>
      </c>
    </row>
    <row r="67" spans="1:34" s="88" customFormat="1" ht="16.5" thickTop="1" thickBot="1">
      <c r="A67" s="64" t="str">
        <f>[1]Data2025!G66</f>
        <v>04</v>
      </c>
      <c r="B67" s="65" t="str">
        <f>[1]Data2025!K66</f>
        <v>BPU04</v>
      </c>
      <c r="C67" s="66" t="str">
        <f>[1]Data2025!D66</f>
        <v>06. 05. 08.</v>
      </c>
      <c r="D67" s="67" t="str">
        <f>[1]Data2025!C66</f>
        <v>5.1.02.01.01.0024</v>
      </c>
      <c r="E67" s="68">
        <f>[1]Data2025!E66</f>
        <v>45661</v>
      </c>
      <c r="F67" s="69" t="str">
        <f>[1]Data2025!F66</f>
        <v>06/01/2025</v>
      </c>
      <c r="G67" s="68" t="str">
        <f>[1]Data2025!H66</f>
        <v>06/01/2025</v>
      </c>
      <c r="H67" s="68" t="str">
        <f t="shared" si="0"/>
        <v>06/01/2025</v>
      </c>
      <c r="I67" s="70" t="str">
        <f>[1]Data2025!J66</f>
        <v>23/01/2025</v>
      </c>
      <c r="J67" s="71" t="str">
        <f>[1]Data2025!L66</f>
        <v>Bantalan Cap Kecil</v>
      </c>
      <c r="K67" s="71" t="str">
        <f>[1]Data2025!M66</f>
        <v>Bantalan Cap Kecil</v>
      </c>
      <c r="L67" s="72">
        <f>[1]Data2025!N66</f>
        <v>5</v>
      </c>
      <c r="M67" s="72" t="str">
        <f>[1]Data2025!O66</f>
        <v>buah</v>
      </c>
      <c r="N67" s="73">
        <f>[1]Data2025!P66</f>
        <v>10000</v>
      </c>
      <c r="O67" s="74">
        <f>[1]Data2025!Q66</f>
        <v>50000</v>
      </c>
      <c r="P67" s="75" t="s">
        <v>43</v>
      </c>
      <c r="Q67" s="76" t="str">
        <f>VLOOKUP(K67,[1]Sheet1!$C$1:$D$101,2,)</f>
        <v>Bantalan Cap Kecil (Ukuran: ± 10cm x 7cm x 1cm)</v>
      </c>
      <c r="R67" s="77">
        <v>240000</v>
      </c>
      <c r="S67" s="78">
        <v>256000</v>
      </c>
      <c r="T67" s="79" t="str">
        <f>[1]Data2025!T66</f>
        <v>UD. JOSUA</v>
      </c>
      <c r="U67" s="80" t="s">
        <v>35</v>
      </c>
      <c r="V67" s="79" t="str">
        <f>[1]Data2025!V66</f>
        <v>Gestiwan Bazikho</v>
      </c>
      <c r="W67" s="79" t="str">
        <f>[1]Data2025!X66</f>
        <v>Jl. Diponegoro Kel. Pasar Telukdalam - Nias Selatan</v>
      </c>
      <c r="X67" s="80" t="s">
        <v>36</v>
      </c>
      <c r="Y67" s="80" t="str">
        <f t="shared" si="1"/>
        <v>Alat Tulis Kantor (ATK)</v>
      </c>
      <c r="Z67" s="81" t="str">
        <f t="shared" si="2"/>
        <v>Alat Tulis Kantor (ATK)</v>
      </c>
      <c r="AA67" s="82" t="s">
        <v>48</v>
      </c>
      <c r="AB67" s="83">
        <v>30000</v>
      </c>
      <c r="AC67" s="83">
        <v>240000</v>
      </c>
      <c r="AD67" s="77">
        <v>240000</v>
      </c>
      <c r="AE67" s="84">
        <v>216216.21621621621</v>
      </c>
      <c r="AF67" s="84">
        <v>240000</v>
      </c>
      <c r="AG67" s="85" t="s">
        <v>38</v>
      </c>
      <c r="AH67" s="86" t="str">
        <f>[1]Data2025!W66</f>
        <v>081375309828</v>
      </c>
    </row>
    <row r="68" spans="1:34" s="88" customFormat="1" ht="26" thickTop="1" thickBot="1">
      <c r="A68" s="64" t="str">
        <f>[1]Data2025!G67</f>
        <v>04</v>
      </c>
      <c r="B68" s="65" t="str">
        <f>[1]Data2025!K67</f>
        <v>BPU04</v>
      </c>
      <c r="C68" s="66" t="str">
        <f>[1]Data2025!D67</f>
        <v>06. 05. 08.</v>
      </c>
      <c r="D68" s="67" t="str">
        <f>[1]Data2025!C67</f>
        <v>5.1.02.01.01.0024</v>
      </c>
      <c r="E68" s="68">
        <f>[1]Data2025!E67</f>
        <v>45661</v>
      </c>
      <c r="F68" s="69" t="str">
        <f>[1]Data2025!F67</f>
        <v>06/01/2025</v>
      </c>
      <c r="G68" s="68" t="str">
        <f>[1]Data2025!H67</f>
        <v>06/01/2025</v>
      </c>
      <c r="H68" s="68" t="str">
        <f t="shared" si="0"/>
        <v>06/01/2025</v>
      </c>
      <c r="I68" s="70" t="str">
        <f>[1]Data2025!J67</f>
        <v>23/01/2025</v>
      </c>
      <c r="J68" s="71" t="str">
        <f>[1]Data2025!L67</f>
        <v>USB FLASH DISK USB/Flash Disk 4GB</v>
      </c>
      <c r="K68" s="71" t="str">
        <f>[1]Data2025!M67</f>
        <v>USB FLASH DISK USB/Flash Disk 4GB</v>
      </c>
      <c r="L68" s="72">
        <f>[1]Data2025!N67</f>
        <v>1</v>
      </c>
      <c r="M68" s="72" t="str">
        <f>[1]Data2025!O67</f>
        <v>buah</v>
      </c>
      <c r="N68" s="73">
        <f>[1]Data2025!P67</f>
        <v>80000</v>
      </c>
      <c r="O68" s="74">
        <f>[1]Data2025!Q67</f>
        <v>80000</v>
      </c>
      <c r="P68" s="75" t="s">
        <v>43</v>
      </c>
      <c r="Q68" s="76" t="str">
        <f>VLOOKUP(K68,[1]Sheet1!$C$1:$D$101,2,)</f>
        <v>USB Flash Disk/Flash Disk 4gb (Ukuran 50 X 15 X 6 Mm, Berat 26 Gr)</v>
      </c>
      <c r="R68" s="77">
        <v>485000</v>
      </c>
      <c r="S68" s="78">
        <v>505000</v>
      </c>
      <c r="T68" s="79" t="str">
        <f>[1]Data2025!T67</f>
        <v>UD. JOSUA</v>
      </c>
      <c r="U68" s="80" t="s">
        <v>35</v>
      </c>
      <c r="V68" s="79" t="str">
        <f>[1]Data2025!V67</f>
        <v>Gestiwan Bazikho</v>
      </c>
      <c r="W68" s="79" t="str">
        <f>[1]Data2025!X67</f>
        <v>Jl. Diponegoro Kel. Pasar Telukdalam - Nias Selatan</v>
      </c>
      <c r="X68" s="80" t="s">
        <v>36</v>
      </c>
      <c r="Y68" s="80" t="str">
        <f t="shared" si="1"/>
        <v>Alat Tulis Kantor (ATK)</v>
      </c>
      <c r="Z68" s="81" t="str">
        <f t="shared" si="2"/>
        <v>Alat Tulis Kantor (ATK)</v>
      </c>
      <c r="AA68" s="82" t="s">
        <v>50</v>
      </c>
      <c r="AB68" s="83">
        <v>48500</v>
      </c>
      <c r="AC68" s="83">
        <v>485000</v>
      </c>
      <c r="AD68" s="77">
        <v>485000</v>
      </c>
      <c r="AE68" s="84">
        <v>436936.93693693692</v>
      </c>
      <c r="AF68" s="84">
        <v>485000</v>
      </c>
      <c r="AG68" s="85" t="s">
        <v>38</v>
      </c>
      <c r="AH68" s="86" t="str">
        <f>[1]Data2025!W67</f>
        <v>081375309828</v>
      </c>
    </row>
    <row r="69" spans="1:34" s="88" customFormat="1" ht="16.5" thickTop="1" thickBot="1">
      <c r="A69" s="64" t="str">
        <f>[1]Data2025!G68</f>
        <v>04</v>
      </c>
      <c r="B69" s="65" t="str">
        <f>[1]Data2025!K68</f>
        <v>BPU04</v>
      </c>
      <c r="C69" s="66" t="str">
        <f>[1]Data2025!D68</f>
        <v>06. 05. 08.</v>
      </c>
      <c r="D69" s="67" t="str">
        <f>[1]Data2025!C68</f>
        <v>5.1.02.01.01.0024</v>
      </c>
      <c r="E69" s="68">
        <f>[1]Data2025!E68</f>
        <v>45661</v>
      </c>
      <c r="F69" s="69" t="str">
        <f>[1]Data2025!F68</f>
        <v>06/01/2025</v>
      </c>
      <c r="G69" s="68" t="str">
        <f>[1]Data2025!H68</f>
        <v>06/01/2025</v>
      </c>
      <c r="H69" s="68" t="str">
        <f t="shared" ref="H69:H132" si="3">G69</f>
        <v>06/01/2025</v>
      </c>
      <c r="I69" s="70" t="str">
        <f>[1]Data2025!J68</f>
        <v>23/01/2025</v>
      </c>
      <c r="J69" s="71" t="str">
        <f>[1]Data2025!L68</f>
        <v>Stempel Manual</v>
      </c>
      <c r="K69" s="71" t="str">
        <f>[1]Data2025!M68</f>
        <v>Stempel Manual</v>
      </c>
      <c r="L69" s="72">
        <f>[1]Data2025!N68</f>
        <v>5</v>
      </c>
      <c r="M69" s="72" t="str">
        <f>[1]Data2025!O68</f>
        <v>buah</v>
      </c>
      <c r="N69" s="73">
        <f>[1]Data2025!P68</f>
        <v>100000</v>
      </c>
      <c r="O69" s="74">
        <f>[1]Data2025!Q68</f>
        <v>500000</v>
      </c>
      <c r="P69" s="75" t="s">
        <v>43</v>
      </c>
      <c r="Q69" s="76" t="str">
        <f>VLOOKUP(K69,[1]Sheet1!$C$1:$D$101,2,)</f>
        <v>Stempel Manual (Berat Produk, 0.1 Kg ; Panjang Produk, 12 Cm ; Lebar Produk, 7 Cm ; Tinggi Produk, 9 Cm)</v>
      </c>
      <c r="R69" s="77">
        <v>297000</v>
      </c>
      <c r="S69" s="78">
        <v>309000</v>
      </c>
      <c r="T69" s="79" t="str">
        <f>[1]Data2025!T68</f>
        <v>UD. JOSUA</v>
      </c>
      <c r="U69" s="80" t="s">
        <v>35</v>
      </c>
      <c r="V69" s="79" t="str">
        <f>[1]Data2025!V68</f>
        <v>Gestiwan Bazikho</v>
      </c>
      <c r="W69" s="79" t="str">
        <f>[1]Data2025!X68</f>
        <v>Jl. Diponegoro Kel. Pasar Telukdalam - Nias Selatan</v>
      </c>
      <c r="X69" s="80" t="s">
        <v>36</v>
      </c>
      <c r="Y69" s="80" t="str">
        <f t="shared" ref="Y69:Y132" si="4">P69</f>
        <v>Alat Tulis Kantor (ATK)</v>
      </c>
      <c r="Z69" s="81" t="str">
        <f t="shared" ref="Z69:Z132" si="5">Y69</f>
        <v>Alat Tulis Kantor (ATK)</v>
      </c>
      <c r="AA69" s="82" t="s">
        <v>42</v>
      </c>
      <c r="AB69" s="83">
        <v>49500</v>
      </c>
      <c r="AC69" s="83">
        <v>297000</v>
      </c>
      <c r="AD69" s="77">
        <v>297000</v>
      </c>
      <c r="AE69" s="84">
        <v>267567.56756756757</v>
      </c>
      <c r="AF69" s="84">
        <v>297000</v>
      </c>
      <c r="AG69" s="85" t="s">
        <v>38</v>
      </c>
      <c r="AH69" s="86" t="str">
        <f>[1]Data2025!W68</f>
        <v>081375309828</v>
      </c>
    </row>
    <row r="70" spans="1:34" s="88" customFormat="1" ht="16.5" thickTop="1" thickBot="1">
      <c r="A70" s="64" t="str">
        <f>[1]Data2025!G69</f>
        <v>04</v>
      </c>
      <c r="B70" s="65" t="str">
        <f>[1]Data2025!K69</f>
        <v>BPU04</v>
      </c>
      <c r="C70" s="66" t="str">
        <f>[1]Data2025!D69</f>
        <v>06. 05. 08.</v>
      </c>
      <c r="D70" s="67" t="str">
        <f>[1]Data2025!C69</f>
        <v>5.1.02.01.01.0024</v>
      </c>
      <c r="E70" s="68">
        <f>[1]Data2025!E69</f>
        <v>45661</v>
      </c>
      <c r="F70" s="69" t="str">
        <f>[1]Data2025!F69</f>
        <v>06/01/2025</v>
      </c>
      <c r="G70" s="68" t="str">
        <f>[1]Data2025!H69</f>
        <v>06/01/2025</v>
      </c>
      <c r="H70" s="68" t="str">
        <f t="shared" si="3"/>
        <v>06/01/2025</v>
      </c>
      <c r="I70" s="70" t="str">
        <f>[1]Data2025!J69</f>
        <v>23/01/2025</v>
      </c>
      <c r="J70" s="71" t="str">
        <f>[1]Data2025!L69</f>
        <v>Stempel Cap</v>
      </c>
      <c r="K70" s="71" t="str">
        <f>[1]Data2025!M69</f>
        <v>Stempel Cap</v>
      </c>
      <c r="L70" s="72">
        <f>[1]Data2025!N69</f>
        <v>3</v>
      </c>
      <c r="M70" s="72" t="str">
        <f>[1]Data2025!O69</f>
        <v>buah</v>
      </c>
      <c r="N70" s="73">
        <f>[1]Data2025!P69</f>
        <v>120000</v>
      </c>
      <c r="O70" s="74">
        <f>[1]Data2025!Q69</f>
        <v>360000</v>
      </c>
      <c r="P70" s="75" t="s">
        <v>43</v>
      </c>
      <c r="Q70" s="76" t="str">
        <f>VLOOKUP(K70,[1]Sheet1!$C$1:$D$101,2,)</f>
        <v>Stempel Cap (Ukuran 4,2Cm, Bentuk Bulat, Berat 50Gr)</v>
      </c>
      <c r="R70" s="77">
        <v>160000</v>
      </c>
      <c r="S70" s="78">
        <v>164000</v>
      </c>
      <c r="T70" s="79" t="str">
        <f>[1]Data2025!T69</f>
        <v>UD. JOSUA</v>
      </c>
      <c r="U70" s="80" t="s">
        <v>35</v>
      </c>
      <c r="V70" s="79" t="str">
        <f>[1]Data2025!V69</f>
        <v>Gestiwan Bazikho</v>
      </c>
      <c r="W70" s="79" t="str">
        <f>[1]Data2025!X69</f>
        <v>Jl. Diponegoro Kel. Pasar Telukdalam - Nias Selatan</v>
      </c>
      <c r="X70" s="80" t="s">
        <v>36</v>
      </c>
      <c r="Y70" s="80" t="str">
        <f t="shared" si="4"/>
        <v>Alat Tulis Kantor (ATK)</v>
      </c>
      <c r="Z70" s="81" t="str">
        <f t="shared" si="5"/>
        <v>Alat Tulis Kantor (ATK)</v>
      </c>
      <c r="AA70" s="82" t="s">
        <v>37</v>
      </c>
      <c r="AB70" s="83">
        <v>80000</v>
      </c>
      <c r="AC70" s="83">
        <v>160000</v>
      </c>
      <c r="AD70" s="77">
        <v>160000</v>
      </c>
      <c r="AE70" s="84">
        <v>144144.14414414414</v>
      </c>
      <c r="AF70" s="84">
        <v>160000</v>
      </c>
      <c r="AG70" s="85" t="s">
        <v>38</v>
      </c>
      <c r="AH70" s="86" t="str">
        <f>[1]Data2025!W69</f>
        <v>081375309828</v>
      </c>
    </row>
    <row r="71" spans="1:34" s="88" customFormat="1" ht="16.5" thickTop="1" thickBot="1">
      <c r="A71" s="64" t="str">
        <f>[1]Data2025!G70</f>
        <v>04</v>
      </c>
      <c r="B71" s="65" t="str">
        <f>[1]Data2025!K70</f>
        <v>BPU04</v>
      </c>
      <c r="C71" s="66" t="str">
        <f>[1]Data2025!D70</f>
        <v>06. 05. 08.</v>
      </c>
      <c r="D71" s="67" t="str">
        <f>[1]Data2025!C70</f>
        <v>5.1.02.01.01.0024</v>
      </c>
      <c r="E71" s="68">
        <f>[1]Data2025!E70</f>
        <v>45661</v>
      </c>
      <c r="F71" s="69" t="str">
        <f>[1]Data2025!F70</f>
        <v>06/01/2025</v>
      </c>
      <c r="G71" s="68" t="str">
        <f>[1]Data2025!H70</f>
        <v>06/01/2025</v>
      </c>
      <c r="H71" s="68" t="str">
        <f t="shared" si="3"/>
        <v>06/01/2025</v>
      </c>
      <c r="I71" s="70" t="str">
        <f>[1]Data2025!J70</f>
        <v>23/01/2025</v>
      </c>
      <c r="J71" s="71" t="str">
        <f>[1]Data2025!L70</f>
        <v>Tinta Stempel</v>
      </c>
      <c r="K71" s="71" t="str">
        <f>[1]Data2025!M70</f>
        <v>Tinta Stempel</v>
      </c>
      <c r="L71" s="72">
        <f>[1]Data2025!N70</f>
        <v>5</v>
      </c>
      <c r="M71" s="72" t="str">
        <f>[1]Data2025!O70</f>
        <v>botol</v>
      </c>
      <c r="N71" s="73">
        <f>[1]Data2025!P70</f>
        <v>20000</v>
      </c>
      <c r="O71" s="74">
        <f>[1]Data2025!Q70</f>
        <v>100000</v>
      </c>
      <c r="P71" s="75" t="s">
        <v>43</v>
      </c>
      <c r="Q71" s="76" t="str">
        <f>VLOOKUP(K71,[1]Sheet1!$C$1:$D$101,2,)</f>
        <v>Tinta Stempel (Ukuran Produk 105 X 35 X 35 Mm, Isi 1 Botol 50 Ml, Berat Satuan 85 Gram)</v>
      </c>
      <c r="R71" s="77">
        <v>300000</v>
      </c>
      <c r="S71" s="78">
        <v>340000</v>
      </c>
      <c r="T71" s="79" t="str">
        <f>[1]Data2025!T70</f>
        <v>UD. JOSUA</v>
      </c>
      <c r="U71" s="80" t="s">
        <v>35</v>
      </c>
      <c r="V71" s="79" t="str">
        <f>[1]Data2025!V70</f>
        <v>Gestiwan Bazikho</v>
      </c>
      <c r="W71" s="79" t="str">
        <f>[1]Data2025!X70</f>
        <v>Jl. Diponegoro Kel. Pasar Telukdalam - Nias Selatan</v>
      </c>
      <c r="X71" s="80" t="s">
        <v>36</v>
      </c>
      <c r="Y71" s="80" t="str">
        <f t="shared" si="4"/>
        <v>Alat Tulis Kantor (ATK)</v>
      </c>
      <c r="Z71" s="81" t="str">
        <f t="shared" si="5"/>
        <v>Alat Tulis Kantor (ATK)</v>
      </c>
      <c r="AA71" s="82" t="s">
        <v>42</v>
      </c>
      <c r="AB71" s="83">
        <v>15000</v>
      </c>
      <c r="AC71" s="83">
        <v>300000</v>
      </c>
      <c r="AD71" s="77">
        <v>300000</v>
      </c>
      <c r="AE71" s="84">
        <v>270270.2702702703</v>
      </c>
      <c r="AF71" s="84">
        <v>300000</v>
      </c>
      <c r="AG71" s="85" t="s">
        <v>38</v>
      </c>
      <c r="AH71" s="86" t="str">
        <f>[1]Data2025!W70</f>
        <v>081375309828</v>
      </c>
    </row>
    <row r="72" spans="1:34" ht="16.5" thickTop="1" thickBot="1">
      <c r="A72" s="41" t="str">
        <f>[1]Data2025!G71</f>
        <v>04</v>
      </c>
      <c r="B72" s="42" t="str">
        <f>[1]Data2025!K71</f>
        <v>BPU04</v>
      </c>
      <c r="C72" s="43" t="str">
        <f>[1]Data2025!D71</f>
        <v>06. 05. 08.</v>
      </c>
      <c r="D72" s="44" t="str">
        <f>[1]Data2025!C71</f>
        <v>5.1.02.01.01.0024</v>
      </c>
      <c r="E72" s="45">
        <f>[1]Data2025!E71</f>
        <v>45661</v>
      </c>
      <c r="F72" s="46" t="str">
        <f>[1]Data2025!F71</f>
        <v>06/01/2025</v>
      </c>
      <c r="G72" s="45" t="str">
        <f>[1]Data2025!H71</f>
        <v>06/01/2025</v>
      </c>
      <c r="H72" s="45" t="str">
        <f t="shared" si="3"/>
        <v>06/01/2025</v>
      </c>
      <c r="I72" s="47" t="str">
        <f>[1]Data2025!J71</f>
        <v>23/01/2025</v>
      </c>
      <c r="J72" s="48" t="str">
        <f>[1]Data2025!L71</f>
        <v>Materai 10.000</v>
      </c>
      <c r="K72" s="48" t="str">
        <f>[1]Data2025!M71</f>
        <v>Materai 10.000</v>
      </c>
      <c r="L72" s="49">
        <f>[1]Data2025!N71</f>
        <v>100</v>
      </c>
      <c r="M72" s="49" t="str">
        <f>[1]Data2025!O71</f>
        <v>buah</v>
      </c>
      <c r="N72" s="50">
        <f>[1]Data2025!P71</f>
        <v>12000</v>
      </c>
      <c r="O72" s="51">
        <f>[1]Data2025!Q71</f>
        <v>1200000</v>
      </c>
      <c r="P72" s="52" t="s">
        <v>43</v>
      </c>
      <c r="Q72" s="53" t="str">
        <f>VLOOKUP(K72,[1]Sheet1!$C$1:$D$101,2,)</f>
        <v>Materai 10.000 (Segi Empat dengan Ukuran 21 x 28,95 mm)</v>
      </c>
      <c r="R72" s="54">
        <v>335000</v>
      </c>
      <c r="S72" s="55">
        <v>345000</v>
      </c>
      <c r="T72" s="56" t="str">
        <f>[1]Data2025!T71</f>
        <v>UD. JOSUA</v>
      </c>
      <c r="U72" s="57" t="s">
        <v>35</v>
      </c>
      <c r="V72" s="56" t="str">
        <f>[1]Data2025!V71</f>
        <v>Gestiwan Bazikho</v>
      </c>
      <c r="W72" s="56" t="str">
        <f>[1]Data2025!X71</f>
        <v>Jl. Diponegoro Kel. Pasar Telukdalam - Nias Selatan</v>
      </c>
      <c r="X72" s="57" t="s">
        <v>36</v>
      </c>
      <c r="Y72" s="57" t="str">
        <f t="shared" si="4"/>
        <v>Alat Tulis Kantor (ATK)</v>
      </c>
      <c r="Z72" s="58" t="str">
        <f t="shared" si="5"/>
        <v>Alat Tulis Kantor (ATK)</v>
      </c>
      <c r="AA72" s="59" t="s">
        <v>48</v>
      </c>
      <c r="AB72" s="60">
        <v>67000</v>
      </c>
      <c r="AC72" s="60">
        <v>335000</v>
      </c>
      <c r="AD72" s="54">
        <v>335000</v>
      </c>
      <c r="AE72" s="61">
        <v>301801.80180180183</v>
      </c>
      <c r="AF72" s="61">
        <v>335000</v>
      </c>
      <c r="AG72" s="62" t="s">
        <v>38</v>
      </c>
      <c r="AH72" s="63" t="str">
        <f>[1]Data2025!W71</f>
        <v>081375309828</v>
      </c>
    </row>
    <row r="73" spans="1:34" ht="16.5" thickTop="1" thickBot="1">
      <c r="A73" s="41" t="str">
        <f>[1]Data2025!G72</f>
        <v>05</v>
      </c>
      <c r="B73" s="42" t="str">
        <f>[1]Data2025!K72</f>
        <v>BPU05</v>
      </c>
      <c r="C73" s="43" t="str">
        <f>[1]Data2025!D72</f>
        <v>06. 05. 08.</v>
      </c>
      <c r="D73" s="44" t="str">
        <f>[1]Data2025!C72</f>
        <v>5.1.02.01.01.0026</v>
      </c>
      <c r="E73" s="45">
        <f>[1]Data2025!E72</f>
        <v>45661</v>
      </c>
      <c r="F73" s="46" t="str">
        <f>[1]Data2025!F72</f>
        <v>06/01/2025</v>
      </c>
      <c r="G73" s="45" t="str">
        <f>[1]Data2025!H72</f>
        <v>06/01/2025</v>
      </c>
      <c r="H73" s="45" t="str">
        <f t="shared" si="3"/>
        <v>06/01/2025</v>
      </c>
      <c r="I73" s="47" t="str">
        <f>[1]Data2025!J72</f>
        <v>23/01/2025</v>
      </c>
      <c r="J73" s="48" t="str">
        <f>[1]Data2025!L72</f>
        <v>Foto Copy Filio dan Kuarto</v>
      </c>
      <c r="K73" s="48" t="str">
        <f>[1]Data2025!M72</f>
        <v>Foto Copy Filio dan Kuarto</v>
      </c>
      <c r="L73" s="49">
        <f>[1]Data2025!N72</f>
        <v>4500</v>
      </c>
      <c r="M73" s="49" t="str">
        <f>[1]Data2025!O72</f>
        <v>lembar</v>
      </c>
      <c r="N73" s="50">
        <f>[1]Data2025!P72</f>
        <v>350</v>
      </c>
      <c r="O73" s="51">
        <f>[1]Data2025!Q72</f>
        <v>1575000</v>
      </c>
      <c r="P73" s="52" t="s">
        <v>52</v>
      </c>
      <c r="Q73" s="53" t="str">
        <f>VLOOKUP(K73,[1]Sheet1!$C$1:$D$101,2,)</f>
        <v>Kertas HVS 70 gram Sinar Dunia A4, Ukuran : 8,27" x 11,69"</v>
      </c>
      <c r="R73" s="54">
        <v>750000</v>
      </c>
      <c r="S73" s="55">
        <v>770000</v>
      </c>
      <c r="T73" s="56" t="str">
        <f>[1]Data2025!T72</f>
        <v>UD. JOSUA</v>
      </c>
      <c r="U73" s="57" t="s">
        <v>35</v>
      </c>
      <c r="V73" s="56" t="str">
        <f>[1]Data2025!V72</f>
        <v>Gestiwan Bazikho</v>
      </c>
      <c r="W73" s="56" t="str">
        <f>[1]Data2025!X72</f>
        <v>Jl. Diponegoro Kel. Pasar Telukdalam - Nias Selatan</v>
      </c>
      <c r="X73" s="57" t="s">
        <v>36</v>
      </c>
      <c r="Y73" s="57" t="str">
        <f t="shared" si="4"/>
        <v>Penggandaan</v>
      </c>
      <c r="Z73" s="58" t="str">
        <f t="shared" si="5"/>
        <v>Penggandaan</v>
      </c>
      <c r="AA73" s="59" t="s">
        <v>40</v>
      </c>
      <c r="AB73" s="60">
        <v>75000</v>
      </c>
      <c r="AC73" s="60">
        <v>750000</v>
      </c>
      <c r="AD73" s="54">
        <v>750000</v>
      </c>
      <c r="AE73" s="61">
        <v>675675.67567567574</v>
      </c>
      <c r="AF73" s="61">
        <v>750000</v>
      </c>
      <c r="AG73" s="62" t="s">
        <v>38</v>
      </c>
      <c r="AH73" s="63" t="str">
        <f>[1]Data2025!W72</f>
        <v>081375309828</v>
      </c>
    </row>
    <row r="74" spans="1:34" ht="16.5" thickTop="1" thickBot="1">
      <c r="A74" s="41" t="str">
        <f>[1]Data2025!G73</f>
        <v>06</v>
      </c>
      <c r="B74" s="42" t="str">
        <f>[1]Data2025!K73</f>
        <v>BPU06</v>
      </c>
      <c r="C74" s="43" t="str">
        <f>[1]Data2025!D73</f>
        <v>06. 05. 09.</v>
      </c>
      <c r="D74" s="44" t="str">
        <f>[1]Data2025!C73</f>
        <v>5.1.02.01.01.0012</v>
      </c>
      <c r="E74" s="45">
        <f>[1]Data2025!E73</f>
        <v>45661</v>
      </c>
      <c r="F74" s="46" t="str">
        <f>[1]Data2025!F73</f>
        <v>06/01/2025</v>
      </c>
      <c r="G74" s="45" t="str">
        <f>[1]Data2025!H73</f>
        <v>06/01/2025</v>
      </c>
      <c r="H74" s="45" t="str">
        <f t="shared" si="3"/>
        <v>06/01/2025</v>
      </c>
      <c r="I74" s="47" t="str">
        <f>[1]Data2025!J73</f>
        <v>23/01/2025</v>
      </c>
      <c r="J74" s="48" t="str">
        <f>[1]Data2025!L73</f>
        <v>Jasa pengantar barang berupa alat-alat kebrsihan</v>
      </c>
      <c r="K74" s="48">
        <f>[1]Data2025!M73</f>
        <v>0</v>
      </c>
      <c r="L74" s="49">
        <f>[1]Data2025!N73</f>
        <v>1</v>
      </c>
      <c r="M74" s="49" t="str">
        <f>[1]Data2025!O73</f>
        <v>kegiatan</v>
      </c>
      <c r="N74" s="50">
        <f>[1]Data2025!P73</f>
        <v>55000</v>
      </c>
      <c r="O74" s="51">
        <f>[1]Data2025!Q73</f>
        <v>55000</v>
      </c>
      <c r="P74" s="52" t="s">
        <v>53</v>
      </c>
      <c r="Q74" s="53" t="e">
        <f>VLOOKUP(K74,[1]Sheet1!$C$1:$D$101,2,)</f>
        <v>#N/A</v>
      </c>
      <c r="R74" s="54">
        <v>375000</v>
      </c>
      <c r="S74" s="55">
        <v>405000</v>
      </c>
      <c r="T74" s="56" t="str">
        <f>[1]Data2025!T73</f>
        <v>UD. JOSUA</v>
      </c>
      <c r="U74" s="57" t="s">
        <v>35</v>
      </c>
      <c r="V74" s="56" t="str">
        <f>[1]Data2025!V73</f>
        <v>Gestiwan Bazikho</v>
      </c>
      <c r="W74" s="56" t="str">
        <f>[1]Data2025!X73</f>
        <v>Jl. Diponegoro Kel. Pasar Telukdalam - Nias Selatan</v>
      </c>
      <c r="X74" s="57" t="s">
        <v>36</v>
      </c>
      <c r="Y74" s="57" t="str">
        <f t="shared" si="4"/>
        <v>Jasa Angkutan</v>
      </c>
      <c r="Z74" s="58" t="str">
        <f t="shared" si="5"/>
        <v>Jasa Angkutan</v>
      </c>
      <c r="AA74" s="59" t="s">
        <v>42</v>
      </c>
      <c r="AB74" s="60">
        <v>25000</v>
      </c>
      <c r="AC74" s="60">
        <v>375000</v>
      </c>
      <c r="AD74" s="54">
        <v>375000</v>
      </c>
      <c r="AE74" s="61">
        <v>337837.83783783787</v>
      </c>
      <c r="AF74" s="61">
        <v>375000</v>
      </c>
      <c r="AG74" s="62" t="s">
        <v>38</v>
      </c>
      <c r="AH74" s="63" t="str">
        <f>[1]Data2025!W73</f>
        <v>081375309828</v>
      </c>
    </row>
    <row r="75" spans="1:34" ht="16.5" thickTop="1" thickBot="1">
      <c r="A75" s="41" t="str">
        <f>[1]Data2025!G74</f>
        <v>07</v>
      </c>
      <c r="B75" s="42" t="str">
        <f>[1]Data2025!K74</f>
        <v>BPU07</v>
      </c>
      <c r="C75" s="43" t="str">
        <f>[1]Data2025!D74</f>
        <v>06. 05. 09.</v>
      </c>
      <c r="D75" s="44" t="str">
        <f>[1]Data2025!C74</f>
        <v>5.1.02.01.01.0030</v>
      </c>
      <c r="E75" s="45">
        <f>[1]Data2025!E74</f>
        <v>45661</v>
      </c>
      <c r="F75" s="46" t="str">
        <f>[1]Data2025!F74</f>
        <v>06/01/2025</v>
      </c>
      <c r="G75" s="45" t="str">
        <f>[1]Data2025!H74</f>
        <v>06/01/2025</v>
      </c>
      <c r="H75" s="45" t="str">
        <f t="shared" si="3"/>
        <v>06/01/2025</v>
      </c>
      <c r="I75" s="47" t="str">
        <f>[1]Data2025!J74</f>
        <v>23/01/2025</v>
      </c>
      <c r="J75" s="48" t="str">
        <f>[1]Data2025!L74</f>
        <v>Sapu</v>
      </c>
      <c r="K75" s="48" t="str">
        <f>[1]Data2025!M74</f>
        <v>Sapu</v>
      </c>
      <c r="L75" s="49">
        <f>[1]Data2025!N74</f>
        <v>60</v>
      </c>
      <c r="M75" s="49" t="str">
        <f>[1]Data2025!O74</f>
        <v>buah</v>
      </c>
      <c r="N75" s="50">
        <f>[1]Data2025!P74</f>
        <v>65000</v>
      </c>
      <c r="O75" s="51">
        <f>[1]Data2025!Q74</f>
        <v>3900000</v>
      </c>
      <c r="P75" s="52" t="s">
        <v>54</v>
      </c>
      <c r="Q75" s="53" t="str">
        <f>VLOOKUP(K75,[1]Sheet1!$C$1:$D$101,2,)</f>
        <v>Sapu (Sapu Lantai Nylon Plastik Dengan Gagang (Warna), Ukuran (P x L x T) : 43 x 28 x 105 cm)</v>
      </c>
      <c r="R75" s="54">
        <v>845000</v>
      </c>
      <c r="S75" s="55">
        <v>855000</v>
      </c>
      <c r="T75" s="56" t="str">
        <f>[1]Data2025!T74</f>
        <v>UD. JOSUA</v>
      </c>
      <c r="U75" s="57" t="s">
        <v>35</v>
      </c>
      <c r="V75" s="56" t="str">
        <f>[1]Data2025!V74</f>
        <v>Gestiwan Bazikho</v>
      </c>
      <c r="W75" s="56" t="str">
        <f>[1]Data2025!X74</f>
        <v>Jl. Diponegoro Kel. Pasar Telukdalam - Nias Selatan</v>
      </c>
      <c r="X75" s="57" t="s">
        <v>36</v>
      </c>
      <c r="Y75" s="57" t="str">
        <f t="shared" si="4"/>
        <v>Alat Kebersihan</v>
      </c>
      <c r="Z75" s="58" t="str">
        <f t="shared" si="5"/>
        <v>Alat Kebersihan</v>
      </c>
      <c r="AA75" s="59" t="s">
        <v>42</v>
      </c>
      <c r="AB75" s="60">
        <v>169000</v>
      </c>
      <c r="AC75" s="60">
        <v>845000</v>
      </c>
      <c r="AD75" s="54">
        <v>845000</v>
      </c>
      <c r="AE75" s="61">
        <v>761261.2612612613</v>
      </c>
      <c r="AF75" s="61">
        <v>845000</v>
      </c>
      <c r="AG75" s="62" t="s">
        <v>38</v>
      </c>
      <c r="AH75" s="63" t="str">
        <f>[1]Data2025!W74</f>
        <v>081375309828</v>
      </c>
    </row>
    <row r="76" spans="1:34" ht="16.5" thickTop="1" thickBot="1">
      <c r="A76" s="41" t="str">
        <f>[1]Data2025!G75</f>
        <v>07</v>
      </c>
      <c r="B76" s="42" t="str">
        <f>[1]Data2025!K75</f>
        <v>BPU07</v>
      </c>
      <c r="C76" s="43" t="str">
        <f>[1]Data2025!D75</f>
        <v>06. 05. 09.</v>
      </c>
      <c r="D76" s="44" t="str">
        <f>[1]Data2025!C75</f>
        <v>5.1.02.01.01.0030</v>
      </c>
      <c r="E76" s="45">
        <f>[1]Data2025!E75</f>
        <v>45661</v>
      </c>
      <c r="F76" s="46" t="str">
        <f>[1]Data2025!F75</f>
        <v>06/01/2025</v>
      </c>
      <c r="G76" s="45" t="str">
        <f>[1]Data2025!H75</f>
        <v>06/01/2025</v>
      </c>
      <c r="H76" s="45" t="str">
        <f t="shared" si="3"/>
        <v>06/01/2025</v>
      </c>
      <c r="I76" s="47" t="str">
        <f>[1]Data2025!J75</f>
        <v>23/01/2025</v>
      </c>
      <c r="J76" s="48" t="str">
        <f>[1]Data2025!L75</f>
        <v>Sapu Lidi</v>
      </c>
      <c r="K76" s="48" t="str">
        <f>[1]Data2025!M75</f>
        <v>Sapu Lidi</v>
      </c>
      <c r="L76" s="49">
        <f>[1]Data2025!N75</f>
        <v>15</v>
      </c>
      <c r="M76" s="49" t="str">
        <f>[1]Data2025!O75</f>
        <v>buah</v>
      </c>
      <c r="N76" s="50">
        <f>[1]Data2025!P75</f>
        <v>25000</v>
      </c>
      <c r="O76" s="51">
        <f>[1]Data2025!Q75</f>
        <v>375000</v>
      </c>
      <c r="P76" s="52" t="s">
        <v>54</v>
      </c>
      <c r="Q76" s="53" t="str">
        <f>VLOOKUP(K76,[1]Sheet1!$C$1:$D$101,2,)</f>
        <v>Sapu Lidi (Bahan Lidi, Panjang 120 cm, Berat 500gr)</v>
      </c>
      <c r="R76" s="54">
        <v>3900000</v>
      </c>
      <c r="S76" s="55">
        <v>4020000</v>
      </c>
      <c r="T76" s="56" t="str">
        <f>[1]Data2025!T75</f>
        <v>UD. JOSUA</v>
      </c>
      <c r="U76" s="57" t="s">
        <v>35</v>
      </c>
      <c r="V76" s="56" t="str">
        <f>[1]Data2025!V75</f>
        <v>Gestiwan Bazikho</v>
      </c>
      <c r="W76" s="56" t="str">
        <f>[1]Data2025!X75</f>
        <v>Jl. Diponegoro Kel. Pasar Telukdalam - Nias Selatan</v>
      </c>
      <c r="X76" s="57" t="s">
        <v>36</v>
      </c>
      <c r="Y76" s="57" t="str">
        <f t="shared" si="4"/>
        <v>Alat Kebersihan</v>
      </c>
      <c r="Z76" s="58" t="str">
        <f t="shared" si="5"/>
        <v>Alat Kebersihan</v>
      </c>
      <c r="AA76" s="59" t="s">
        <v>42</v>
      </c>
      <c r="AB76" s="60">
        <v>65000</v>
      </c>
      <c r="AC76" s="60">
        <v>3900000</v>
      </c>
      <c r="AD76" s="54">
        <v>3900000</v>
      </c>
      <c r="AE76" s="61">
        <v>3513513.5135135134</v>
      </c>
      <c r="AF76" s="61">
        <v>3900000</v>
      </c>
      <c r="AG76" s="62" t="s">
        <v>38</v>
      </c>
      <c r="AH76" s="63" t="str">
        <f>[1]Data2025!W75</f>
        <v>081375309828</v>
      </c>
    </row>
    <row r="77" spans="1:34" ht="16.5" thickTop="1" thickBot="1">
      <c r="A77" s="41" t="str">
        <f>[1]Data2025!G76</f>
        <v>07</v>
      </c>
      <c r="B77" s="42" t="str">
        <f>[1]Data2025!K76</f>
        <v>BPU07</v>
      </c>
      <c r="C77" s="43" t="str">
        <f>[1]Data2025!D76</f>
        <v>06. 05. 09.</v>
      </c>
      <c r="D77" s="44" t="str">
        <f>[1]Data2025!C76</f>
        <v>5.1.02.01.01.0030</v>
      </c>
      <c r="E77" s="45">
        <f>[1]Data2025!E76</f>
        <v>45661</v>
      </c>
      <c r="F77" s="46" t="str">
        <f>[1]Data2025!F76</f>
        <v>06/01/2025</v>
      </c>
      <c r="G77" s="45" t="str">
        <f>[1]Data2025!H76</f>
        <v>06/01/2025</v>
      </c>
      <c r="H77" s="45" t="str">
        <f t="shared" si="3"/>
        <v>06/01/2025</v>
      </c>
      <c r="I77" s="47" t="str">
        <f>[1]Data2025!J76</f>
        <v>23/01/2025</v>
      </c>
      <c r="J77" s="48" t="str">
        <f>[1]Data2025!L76</f>
        <v>Sikat Pembersih</v>
      </c>
      <c r="K77" s="48" t="str">
        <f>[1]Data2025!M76</f>
        <v>Sikat Pembersih</v>
      </c>
      <c r="L77" s="49">
        <f>[1]Data2025!N76</f>
        <v>15</v>
      </c>
      <c r="M77" s="49" t="str">
        <f>[1]Data2025!O76</f>
        <v>buah</v>
      </c>
      <c r="N77" s="50">
        <f>[1]Data2025!P76</f>
        <v>60000</v>
      </c>
      <c r="O77" s="51">
        <f>[1]Data2025!Q76</f>
        <v>900000</v>
      </c>
      <c r="P77" s="52" t="s">
        <v>54</v>
      </c>
      <c r="Q77" s="53" t="str">
        <f>VLOOKUP(K77,[1]Sheet1!$C$1:$D$101,2,)</f>
        <v>Sikat Pembersih (Bahan: Platik Nylon, Gagang: Plat Besi, Panjang 110cm - 120cm, Lebar kepala sikat 18cm, Berat 1000gr)</v>
      </c>
      <c r="R77" s="54">
        <v>205500</v>
      </c>
      <c r="S77" s="55">
        <v>235500</v>
      </c>
      <c r="T77" s="56" t="str">
        <f>[1]Data2025!T76</f>
        <v>UD. JOSUA</v>
      </c>
      <c r="U77" s="57" t="s">
        <v>35</v>
      </c>
      <c r="V77" s="56" t="str">
        <f>[1]Data2025!V76</f>
        <v>Gestiwan Bazikho</v>
      </c>
      <c r="W77" s="56" t="str">
        <f>[1]Data2025!X76</f>
        <v>Jl. Diponegoro Kel. Pasar Telukdalam - Nias Selatan</v>
      </c>
      <c r="X77" s="57" t="s">
        <v>36</v>
      </c>
      <c r="Y77" s="57" t="str">
        <f t="shared" si="4"/>
        <v>Alat Kebersihan</v>
      </c>
      <c r="Z77" s="58" t="str">
        <f t="shared" si="5"/>
        <v>Alat Kebersihan</v>
      </c>
      <c r="AA77" s="59" t="s">
        <v>42</v>
      </c>
      <c r="AB77" s="60">
        <v>13700</v>
      </c>
      <c r="AC77" s="60">
        <v>205500</v>
      </c>
      <c r="AD77" s="54">
        <v>205500</v>
      </c>
      <c r="AE77" s="61">
        <v>185135.13513513515</v>
      </c>
      <c r="AF77" s="61">
        <v>205500</v>
      </c>
      <c r="AG77" s="62" t="s">
        <v>38</v>
      </c>
      <c r="AH77" s="63" t="str">
        <f>[1]Data2025!W76</f>
        <v>081375309828</v>
      </c>
    </row>
    <row r="78" spans="1:34" ht="16.5" thickTop="1" thickBot="1">
      <c r="A78" s="41" t="str">
        <f>[1]Data2025!G77</f>
        <v>07</v>
      </c>
      <c r="B78" s="42" t="str">
        <f>[1]Data2025!K77</f>
        <v>BPU07</v>
      </c>
      <c r="C78" s="43" t="str">
        <f>[1]Data2025!D77</f>
        <v>06. 05. 09.</v>
      </c>
      <c r="D78" s="44" t="str">
        <f>[1]Data2025!C77</f>
        <v>5.1.02.01.01.0030</v>
      </c>
      <c r="E78" s="45">
        <f>[1]Data2025!E77</f>
        <v>45661</v>
      </c>
      <c r="F78" s="46" t="str">
        <f>[1]Data2025!F77</f>
        <v>06/01/2025</v>
      </c>
      <c r="G78" s="45" t="str">
        <f>[1]Data2025!H77</f>
        <v>06/01/2025</v>
      </c>
      <c r="H78" s="45" t="str">
        <f t="shared" si="3"/>
        <v>06/01/2025</v>
      </c>
      <c r="I78" s="47" t="str">
        <f>[1]Data2025!J77</f>
        <v>23/01/2025</v>
      </c>
      <c r="J78" s="48" t="str">
        <f>[1]Data2025!L77</f>
        <v>Sikat WC Type : Gagang Panjang</v>
      </c>
      <c r="K78" s="48" t="str">
        <f>[1]Data2025!M77</f>
        <v>Sikat WC Type : Gagang Panjang</v>
      </c>
      <c r="L78" s="49">
        <f>[1]Data2025!N77</f>
        <v>15</v>
      </c>
      <c r="M78" s="49" t="str">
        <f>[1]Data2025!O77</f>
        <v>buah</v>
      </c>
      <c r="N78" s="50">
        <f>[1]Data2025!P77</f>
        <v>34000</v>
      </c>
      <c r="O78" s="51">
        <f>[1]Data2025!Q77</f>
        <v>510000</v>
      </c>
      <c r="P78" s="52" t="s">
        <v>54</v>
      </c>
      <c r="Q78" s="53" t="str">
        <f>VLOOKUP(K78,[1]Sheet1!$C$1:$D$101,2,)</f>
        <v>Sikat WC (Dimensi Panjang Brush: 39 cm, Diameter Brush: 7 cm, Holder: 12 x 16 x 9 cm)</v>
      </c>
      <c r="R78" s="54">
        <v>200000</v>
      </c>
      <c r="S78" s="55">
        <v>210000</v>
      </c>
      <c r="T78" s="56" t="str">
        <f>[1]Data2025!T77</f>
        <v>UD. JOSUA</v>
      </c>
      <c r="U78" s="57" t="s">
        <v>35</v>
      </c>
      <c r="V78" s="56" t="str">
        <f>[1]Data2025!V77</f>
        <v>Gestiwan Bazikho</v>
      </c>
      <c r="W78" s="56" t="str">
        <f>[1]Data2025!X77</f>
        <v>Jl. Diponegoro Kel. Pasar Telukdalam - Nias Selatan</v>
      </c>
      <c r="X78" s="57" t="s">
        <v>36</v>
      </c>
      <c r="Y78" s="57" t="str">
        <f t="shared" si="4"/>
        <v>Alat Kebersihan</v>
      </c>
      <c r="Z78" s="58" t="str">
        <f t="shared" si="5"/>
        <v>Alat Kebersihan</v>
      </c>
      <c r="AA78" s="59" t="s">
        <v>42</v>
      </c>
      <c r="AB78" s="60">
        <v>40000</v>
      </c>
      <c r="AC78" s="60">
        <v>200000</v>
      </c>
      <c r="AD78" s="54">
        <v>200000</v>
      </c>
      <c r="AE78" s="61">
        <v>180180.18018018018</v>
      </c>
      <c r="AF78" s="61">
        <v>200000</v>
      </c>
      <c r="AG78" s="62" t="s">
        <v>38</v>
      </c>
      <c r="AH78" s="63" t="str">
        <f>[1]Data2025!W77</f>
        <v>081375309828</v>
      </c>
    </row>
    <row r="79" spans="1:34" ht="16.5" thickTop="1" thickBot="1">
      <c r="A79" s="41" t="str">
        <f>[1]Data2025!G78</f>
        <v>07</v>
      </c>
      <c r="B79" s="42" t="str">
        <f>[1]Data2025!K78</f>
        <v>BPU07</v>
      </c>
      <c r="C79" s="43" t="str">
        <f>[1]Data2025!D78</f>
        <v>06. 05. 09.</v>
      </c>
      <c r="D79" s="44" t="str">
        <f>[1]Data2025!C78</f>
        <v>5.1.02.01.01.0030</v>
      </c>
      <c r="E79" s="45">
        <f>[1]Data2025!E78</f>
        <v>45661</v>
      </c>
      <c r="F79" s="46" t="str">
        <f>[1]Data2025!F78</f>
        <v>06/01/2025</v>
      </c>
      <c r="G79" s="45" t="str">
        <f>[1]Data2025!H78</f>
        <v>06/01/2025</v>
      </c>
      <c r="H79" s="45" t="str">
        <f t="shared" si="3"/>
        <v>06/01/2025</v>
      </c>
      <c r="I79" s="47" t="str">
        <f>[1]Data2025!J78</f>
        <v>23/01/2025</v>
      </c>
      <c r="J79" s="48" t="str">
        <f>[1]Data2025!L78</f>
        <v>Alat Pel</v>
      </c>
      <c r="K79" s="48" t="str">
        <f>[1]Data2025!M78</f>
        <v>Alat Pel</v>
      </c>
      <c r="L79" s="49">
        <f>[1]Data2025!N78</f>
        <v>25</v>
      </c>
      <c r="M79" s="49" t="str">
        <f>[1]Data2025!O78</f>
        <v>buah</v>
      </c>
      <c r="N79" s="50">
        <f>[1]Data2025!P78</f>
        <v>35000</v>
      </c>
      <c r="O79" s="51">
        <f>[1]Data2025!Q78</f>
        <v>875000</v>
      </c>
      <c r="P79" s="52" t="s">
        <v>54</v>
      </c>
      <c r="Q79" s="53" t="str">
        <f>VLOOKUP(K79,[1]Sheet1!$C$1:$D$101,2,)</f>
        <v>Alat Pel (Merek Nagata, Tipe 405 MF Ukuran (MM) : 160 x 40 x 1680)</v>
      </c>
      <c r="R79" s="54">
        <v>121000</v>
      </c>
      <c r="S79" s="55">
        <v>141000</v>
      </c>
      <c r="T79" s="56" t="str">
        <f>[1]Data2025!T78</f>
        <v>UD. JOSUA</v>
      </c>
      <c r="U79" s="57" t="s">
        <v>35</v>
      </c>
      <c r="V79" s="56" t="str">
        <f>[1]Data2025!V78</f>
        <v>Gestiwan Bazikho</v>
      </c>
      <c r="W79" s="56" t="str">
        <f>[1]Data2025!X78</f>
        <v>Jl. Diponegoro Kel. Pasar Telukdalam - Nias Selatan</v>
      </c>
      <c r="X79" s="57" t="s">
        <v>36</v>
      </c>
      <c r="Y79" s="57" t="str">
        <f t="shared" si="4"/>
        <v>Alat Kebersihan</v>
      </c>
      <c r="Z79" s="58" t="str">
        <f t="shared" si="5"/>
        <v>Alat Kebersihan</v>
      </c>
      <c r="AA79" s="59" t="s">
        <v>42</v>
      </c>
      <c r="AB79" s="60">
        <v>12100</v>
      </c>
      <c r="AC79" s="60">
        <v>121000</v>
      </c>
      <c r="AD79" s="54">
        <v>121000</v>
      </c>
      <c r="AE79" s="61">
        <v>109009.00900900901</v>
      </c>
      <c r="AF79" s="61">
        <v>121000</v>
      </c>
      <c r="AG79" s="62" t="s">
        <v>38</v>
      </c>
      <c r="AH79" s="63" t="str">
        <f>[1]Data2025!W78</f>
        <v>081375309828</v>
      </c>
    </row>
    <row r="80" spans="1:34" ht="16.5" thickTop="1" thickBot="1">
      <c r="A80" s="41" t="str">
        <f>[1]Data2025!G79</f>
        <v>07</v>
      </c>
      <c r="B80" s="42" t="str">
        <f>[1]Data2025!K79</f>
        <v>BPU07</v>
      </c>
      <c r="C80" s="43" t="str">
        <f>[1]Data2025!D79</f>
        <v>06. 05. 09.</v>
      </c>
      <c r="D80" s="44" t="str">
        <f>[1]Data2025!C79</f>
        <v>5.1.02.01.01.0030</v>
      </c>
      <c r="E80" s="45">
        <f>[1]Data2025!E79</f>
        <v>45661</v>
      </c>
      <c r="F80" s="46" t="str">
        <f>[1]Data2025!F79</f>
        <v>06/01/2025</v>
      </c>
      <c r="G80" s="45" t="str">
        <f>[1]Data2025!H79</f>
        <v>06/01/2025</v>
      </c>
      <c r="H80" s="45" t="str">
        <f t="shared" si="3"/>
        <v>06/01/2025</v>
      </c>
      <c r="I80" s="47" t="str">
        <f>[1]Data2025!J79</f>
        <v>23/01/2025</v>
      </c>
      <c r="J80" s="48" t="str">
        <f>[1]Data2025!L79</f>
        <v>Alat Pel lantai besar</v>
      </c>
      <c r="K80" s="48" t="str">
        <f>[1]Data2025!M79</f>
        <v>Alat Pel lantai besar</v>
      </c>
      <c r="L80" s="49">
        <f>[1]Data2025!N79</f>
        <v>5</v>
      </c>
      <c r="M80" s="49" t="str">
        <f>[1]Data2025!O79</f>
        <v>buah</v>
      </c>
      <c r="N80" s="50">
        <f>[1]Data2025!P79</f>
        <v>169000</v>
      </c>
      <c r="O80" s="51">
        <f>[1]Data2025!Q79</f>
        <v>845000</v>
      </c>
      <c r="P80" s="52" t="s">
        <v>54</v>
      </c>
      <c r="Q80" s="53" t="str">
        <f>VLOOKUP(K80,[1]Sheet1!$C$1:$D$101,2,)</f>
        <v>Alat Pel lantai besar (Merek : Nagoya Code : 703-L, Ukuran : Besar, Tongkat : Aluminium, Kepala Pel: Sumbu, Panjang Tongkat 110cm, Lebar Kelapa Pel: 19cm)</v>
      </c>
      <c r="R80" s="54">
        <v>45000</v>
      </c>
      <c r="S80" s="55">
        <v>51000</v>
      </c>
      <c r="T80" s="56" t="str">
        <f>[1]Data2025!T79</f>
        <v>UD. JOSUA</v>
      </c>
      <c r="U80" s="57" t="s">
        <v>35</v>
      </c>
      <c r="V80" s="56" t="str">
        <f>[1]Data2025!V79</f>
        <v>Gestiwan Bazikho</v>
      </c>
      <c r="W80" s="56" t="str">
        <f>[1]Data2025!X79</f>
        <v>Jl. Diponegoro Kel. Pasar Telukdalam - Nias Selatan</v>
      </c>
      <c r="X80" s="57" t="s">
        <v>36</v>
      </c>
      <c r="Y80" s="57" t="str">
        <f t="shared" si="4"/>
        <v>Alat Kebersihan</v>
      </c>
      <c r="Z80" s="58" t="str">
        <f t="shared" si="5"/>
        <v>Alat Kebersihan</v>
      </c>
      <c r="AA80" s="59" t="s">
        <v>42</v>
      </c>
      <c r="AB80" s="60">
        <v>15000</v>
      </c>
      <c r="AC80" s="60">
        <v>45000</v>
      </c>
      <c r="AD80" s="54">
        <v>45000</v>
      </c>
      <c r="AE80" s="61">
        <v>40540.54054054054</v>
      </c>
      <c r="AF80" s="61">
        <v>45000</v>
      </c>
      <c r="AG80" s="62" t="s">
        <v>38</v>
      </c>
      <c r="AH80" s="63" t="str">
        <f>[1]Data2025!W79</f>
        <v>081375309828</v>
      </c>
    </row>
    <row r="81" spans="1:36" ht="16.5" thickTop="1" thickBot="1">
      <c r="A81" s="41" t="str">
        <f>[1]Data2025!G80</f>
        <v>07</v>
      </c>
      <c r="B81" s="42" t="str">
        <f>[1]Data2025!K80</f>
        <v>BPU07</v>
      </c>
      <c r="C81" s="43" t="str">
        <f>[1]Data2025!D80</f>
        <v>06. 05. 09.</v>
      </c>
      <c r="D81" s="44" t="str">
        <f>[1]Data2025!C80</f>
        <v>5.1.02.01.01.0030</v>
      </c>
      <c r="E81" s="45">
        <f>[1]Data2025!E80</f>
        <v>45661</v>
      </c>
      <c r="F81" s="46" t="str">
        <f>[1]Data2025!F80</f>
        <v>06/01/2025</v>
      </c>
      <c r="G81" s="45" t="str">
        <f>[1]Data2025!H80</f>
        <v>06/01/2025</v>
      </c>
      <c r="H81" s="45" t="str">
        <f t="shared" si="3"/>
        <v>06/01/2025</v>
      </c>
      <c r="I81" s="47" t="str">
        <f>[1]Data2025!J80</f>
        <v>23/01/2025</v>
      </c>
      <c r="J81" s="48" t="str">
        <f>[1]Data2025!L80</f>
        <v>Serok Air Besar--</v>
      </c>
      <c r="K81" s="48" t="str">
        <f>[1]Data2025!M80</f>
        <v>Serok Air Besar--</v>
      </c>
      <c r="L81" s="49">
        <f>[1]Data2025!N80</f>
        <v>5</v>
      </c>
      <c r="M81" s="49" t="str">
        <f>[1]Data2025!O80</f>
        <v>buah</v>
      </c>
      <c r="N81" s="50">
        <f>[1]Data2025!P80</f>
        <v>40000</v>
      </c>
      <c r="O81" s="51">
        <f>[1]Data2025!Q80</f>
        <v>200000</v>
      </c>
      <c r="P81" s="52" t="s">
        <v>54</v>
      </c>
      <c r="Q81" s="53" t="str">
        <f>VLOOKUP(K81,[1]Sheet1!$C$1:$D$101,2,)</f>
        <v>Serok Air Besar (Merk : Dragon Ukuran : Lebar Karet 40 Cm Panjang Gagang 110 Cm. Berat: 2000 gr)</v>
      </c>
      <c r="R81" s="54">
        <v>300000</v>
      </c>
      <c r="S81" s="55">
        <v>320000</v>
      </c>
      <c r="T81" s="56" t="str">
        <f>[1]Data2025!T80</f>
        <v>UD. JOSUA</v>
      </c>
      <c r="U81" s="57" t="s">
        <v>35</v>
      </c>
      <c r="V81" s="56" t="str">
        <f>[1]Data2025!V80</f>
        <v>Gestiwan Bazikho</v>
      </c>
      <c r="W81" s="56" t="str">
        <f>[1]Data2025!X80</f>
        <v>Jl. Diponegoro Kel. Pasar Telukdalam - Nias Selatan</v>
      </c>
      <c r="X81" s="57" t="s">
        <v>36</v>
      </c>
      <c r="Y81" s="57" t="str">
        <f t="shared" si="4"/>
        <v>Alat Kebersihan</v>
      </c>
      <c r="Z81" s="58" t="str">
        <f t="shared" si="5"/>
        <v>Alat Kebersihan</v>
      </c>
      <c r="AA81" s="59" t="s">
        <v>48</v>
      </c>
      <c r="AB81" s="60">
        <v>30000</v>
      </c>
      <c r="AC81" s="60">
        <v>300000</v>
      </c>
      <c r="AD81" s="54">
        <v>300000</v>
      </c>
      <c r="AE81" s="61">
        <v>270270.2702702703</v>
      </c>
      <c r="AF81" s="61">
        <v>300000</v>
      </c>
      <c r="AG81" s="62" t="s">
        <v>38</v>
      </c>
      <c r="AH81" s="63" t="str">
        <f>[1]Data2025!W80</f>
        <v>081375309828</v>
      </c>
    </row>
    <row r="82" spans="1:36" ht="26" thickTop="1" thickBot="1">
      <c r="A82" s="41" t="str">
        <f>[1]Data2025!G81</f>
        <v>07</v>
      </c>
      <c r="B82" s="42" t="str">
        <f>[1]Data2025!K81</f>
        <v>BPU07</v>
      </c>
      <c r="C82" s="43" t="str">
        <f>[1]Data2025!D81</f>
        <v>06. 05. 09.</v>
      </c>
      <c r="D82" s="44" t="str">
        <f>[1]Data2025!C81</f>
        <v>5.1.02.01.01.0030</v>
      </c>
      <c r="E82" s="45">
        <f>[1]Data2025!E81</f>
        <v>45661</v>
      </c>
      <c r="F82" s="46" t="str">
        <f>[1]Data2025!F81</f>
        <v>06/01/2025</v>
      </c>
      <c r="G82" s="45" t="str">
        <f>[1]Data2025!H81</f>
        <v>06/01/2025</v>
      </c>
      <c r="H82" s="45" t="str">
        <f t="shared" si="3"/>
        <v>06/01/2025</v>
      </c>
      <c r="I82" s="47" t="str">
        <f>[1]Data2025!J81</f>
        <v>23/01/2025</v>
      </c>
      <c r="J82" s="48" t="str">
        <f>[1]Data2025!L81</f>
        <v>Kain Lap  Bahan : Katun bermotif kotak-kotak</v>
      </c>
      <c r="K82" s="48" t="str">
        <f>[1]Data2025!M81</f>
        <v>Kain Lap  Bahan : Katun bermotif kotak-kotak</v>
      </c>
      <c r="L82" s="49">
        <f>[1]Data2025!N81</f>
        <v>10</v>
      </c>
      <c r="M82" s="49" t="str">
        <f>[1]Data2025!O81</f>
        <v>lusin</v>
      </c>
      <c r="N82" s="50">
        <f>[1]Data2025!P81</f>
        <v>75000</v>
      </c>
      <c r="O82" s="51">
        <f>[1]Data2025!Q81</f>
        <v>750000</v>
      </c>
      <c r="P82" s="52" t="s">
        <v>54</v>
      </c>
      <c r="Q82" s="53" t="str">
        <f>VLOOKUP(K82,[1]Sheet1!$C$1:$D$101,2,)</f>
        <v>Kain Lap (Bahan: Katun, Motif: Kotak-Kotak)</v>
      </c>
      <c r="R82" s="54">
        <v>60000</v>
      </c>
      <c r="S82" s="55">
        <v>70000</v>
      </c>
      <c r="T82" s="56" t="str">
        <f>[1]Data2025!T81</f>
        <v>UD. JOSUA</v>
      </c>
      <c r="U82" s="57" t="s">
        <v>35</v>
      </c>
      <c r="V82" s="56" t="str">
        <f>[1]Data2025!V81</f>
        <v>Gestiwan Bazikho</v>
      </c>
      <c r="W82" s="56" t="str">
        <f>[1]Data2025!X81</f>
        <v>Jl. Diponegoro Kel. Pasar Telukdalam - Nias Selatan</v>
      </c>
      <c r="X82" s="57" t="s">
        <v>36</v>
      </c>
      <c r="Y82" s="57" t="str">
        <f t="shared" si="4"/>
        <v>Alat Kebersihan</v>
      </c>
      <c r="Z82" s="58" t="str">
        <f t="shared" si="5"/>
        <v>Alat Kebersihan</v>
      </c>
      <c r="AA82" s="59" t="s">
        <v>42</v>
      </c>
      <c r="AB82" s="60">
        <v>12000</v>
      </c>
      <c r="AC82" s="60">
        <v>60000</v>
      </c>
      <c r="AD82" s="54">
        <v>60000</v>
      </c>
      <c r="AE82" s="61">
        <v>54054.054054054053</v>
      </c>
      <c r="AF82" s="61">
        <v>60000</v>
      </c>
      <c r="AG82" s="62" t="s">
        <v>38</v>
      </c>
      <c r="AH82" s="63" t="str">
        <f>[1]Data2025!W81</f>
        <v>081375309828</v>
      </c>
    </row>
    <row r="83" spans="1:36" ht="16.5" thickTop="1" thickBot="1">
      <c r="A83" s="41" t="str">
        <f>[1]Data2025!G82</f>
        <v>07</v>
      </c>
      <c r="B83" s="42" t="str">
        <f>[1]Data2025!K82</f>
        <v>BPU07</v>
      </c>
      <c r="C83" s="43" t="str">
        <f>[1]Data2025!D82</f>
        <v>06. 05. 09.</v>
      </c>
      <c r="D83" s="44" t="str">
        <f>[1]Data2025!C82</f>
        <v>5.1.02.01.01.0030</v>
      </c>
      <c r="E83" s="45">
        <f>[1]Data2025!E82</f>
        <v>45661</v>
      </c>
      <c r="F83" s="46" t="str">
        <f>[1]Data2025!F82</f>
        <v>06/01/2025</v>
      </c>
      <c r="G83" s="45" t="str">
        <f>[1]Data2025!H82</f>
        <v>06/01/2025</v>
      </c>
      <c r="H83" s="45" t="str">
        <f t="shared" si="3"/>
        <v>06/01/2025</v>
      </c>
      <c r="I83" s="47" t="str">
        <f>[1]Data2025!J82</f>
        <v>23/01/2025</v>
      </c>
      <c r="J83" s="48" t="str">
        <f>[1]Data2025!L82</f>
        <v>Serok Sampah--</v>
      </c>
      <c r="K83" s="48" t="str">
        <f>[1]Data2025!M82</f>
        <v>Serok Sampah--</v>
      </c>
      <c r="L83" s="49">
        <f>[1]Data2025!N82</f>
        <v>15</v>
      </c>
      <c r="M83" s="49" t="str">
        <f>[1]Data2025!O82</f>
        <v>buah</v>
      </c>
      <c r="N83" s="50">
        <f>[1]Data2025!P82</f>
        <v>25000</v>
      </c>
      <c r="O83" s="51">
        <f>[1]Data2025!Q82</f>
        <v>375000</v>
      </c>
      <c r="P83" s="52" t="s">
        <v>54</v>
      </c>
      <c r="Q83" s="53" t="str">
        <f>VLOOKUP(K83,[1]Sheet1!$C$1:$D$101,2,)</f>
        <v xml:space="preserve">Serok sampah (merk Lion Star DP-5 Sigma Dust Pan, Lebar mulut serok 31,2 cm x panjang serokan 27,5 cm x Tinggi 83,5 cm)
</v>
      </c>
      <c r="R83" s="54">
        <v>150000</v>
      </c>
      <c r="S83" s="55">
        <v>174000</v>
      </c>
      <c r="T83" s="56" t="str">
        <f>[1]Data2025!T82</f>
        <v>UD. JOSUA</v>
      </c>
      <c r="U83" s="57" t="s">
        <v>35</v>
      </c>
      <c r="V83" s="56" t="str">
        <f>[1]Data2025!V82</f>
        <v>Gestiwan Bazikho</v>
      </c>
      <c r="W83" s="56" t="str">
        <f>[1]Data2025!X82</f>
        <v>Jl. Diponegoro Kel. Pasar Telukdalam - Nias Selatan</v>
      </c>
      <c r="X83" s="57" t="s">
        <v>36</v>
      </c>
      <c r="Y83" s="57" t="str">
        <f t="shared" si="4"/>
        <v>Alat Kebersihan</v>
      </c>
      <c r="Z83" s="58" t="str">
        <f t="shared" si="5"/>
        <v>Alat Kebersihan</v>
      </c>
      <c r="AA83" s="59" t="s">
        <v>42</v>
      </c>
      <c r="AB83" s="60">
        <v>12500</v>
      </c>
      <c r="AC83" s="60">
        <v>150000</v>
      </c>
      <c r="AD83" s="54">
        <v>150000</v>
      </c>
      <c r="AE83" s="61">
        <v>135135.13513513515</v>
      </c>
      <c r="AF83" s="61">
        <v>150000</v>
      </c>
      <c r="AG83" s="62" t="s">
        <v>38</v>
      </c>
      <c r="AH83" s="63" t="str">
        <f>[1]Data2025!W82</f>
        <v>081375309828</v>
      </c>
    </row>
    <row r="84" spans="1:36" ht="16.5" thickTop="1" thickBot="1">
      <c r="A84" s="41" t="str">
        <f>[1]Data2025!G83</f>
        <v>07</v>
      </c>
      <c r="B84" s="42" t="str">
        <f>[1]Data2025!K83</f>
        <v>BPU07</v>
      </c>
      <c r="C84" s="43" t="str">
        <f>[1]Data2025!D83</f>
        <v>06. 05. 09.</v>
      </c>
      <c r="D84" s="44" t="str">
        <f>[1]Data2025!C83</f>
        <v>5.1.02.01.01.0030</v>
      </c>
      <c r="E84" s="45">
        <f>[1]Data2025!E83</f>
        <v>45661</v>
      </c>
      <c r="F84" s="46" t="str">
        <f>[1]Data2025!F83</f>
        <v>06/01/2025</v>
      </c>
      <c r="G84" s="45" t="str">
        <f>[1]Data2025!H83</f>
        <v>06/01/2025</v>
      </c>
      <c r="H84" s="45" t="str">
        <f t="shared" si="3"/>
        <v>06/01/2025</v>
      </c>
      <c r="I84" s="47" t="str">
        <f>[1]Data2025!J83</f>
        <v>23/01/2025</v>
      </c>
      <c r="J84" s="48" t="str">
        <f>[1]Data2025!L83</f>
        <v>Tempat sampah</v>
      </c>
      <c r="K84" s="48" t="str">
        <f>[1]Data2025!M83</f>
        <v>Tempat sampah</v>
      </c>
      <c r="L84" s="49">
        <f>[1]Data2025!N83</f>
        <v>35</v>
      </c>
      <c r="M84" s="49" t="str">
        <f>[1]Data2025!O83</f>
        <v>buah</v>
      </c>
      <c r="N84" s="50">
        <f>[1]Data2025!P83</f>
        <v>20000</v>
      </c>
      <c r="O84" s="51">
        <f>[1]Data2025!Q83</f>
        <v>700000</v>
      </c>
      <c r="P84" s="52" t="s">
        <v>54</v>
      </c>
      <c r="Q84" s="53" t="str">
        <f>VLOOKUP(K84,[1]Sheet1!$C$1:$D$101,2,)</f>
        <v>Tempat sampah (Bahan Plastik 33x32cm,)</v>
      </c>
      <c r="R84" s="54">
        <v>60000</v>
      </c>
      <c r="S84" s="55">
        <v>70000</v>
      </c>
      <c r="T84" s="56" t="str">
        <f>[1]Data2025!T83</f>
        <v>UD. JOSUA</v>
      </c>
      <c r="U84" s="57" t="s">
        <v>35</v>
      </c>
      <c r="V84" s="56" t="str">
        <f>[1]Data2025!V83</f>
        <v>Gestiwan Bazikho</v>
      </c>
      <c r="W84" s="56" t="str">
        <f>[1]Data2025!X83</f>
        <v>Jl. Diponegoro Kel. Pasar Telukdalam - Nias Selatan</v>
      </c>
      <c r="X84" s="57" t="s">
        <v>36</v>
      </c>
      <c r="Y84" s="57" t="str">
        <f t="shared" si="4"/>
        <v>Alat Kebersihan</v>
      </c>
      <c r="Z84" s="58" t="str">
        <f t="shared" si="5"/>
        <v>Alat Kebersihan</v>
      </c>
      <c r="AA84" s="59" t="s">
        <v>42</v>
      </c>
      <c r="AB84" s="60">
        <v>12000</v>
      </c>
      <c r="AC84" s="60">
        <v>60000</v>
      </c>
      <c r="AD84" s="54">
        <v>60000</v>
      </c>
      <c r="AE84" s="61">
        <v>54054.054054054053</v>
      </c>
      <c r="AF84" s="61">
        <v>60000</v>
      </c>
      <c r="AG84" s="62" t="s">
        <v>38</v>
      </c>
      <c r="AH84" s="63" t="str">
        <f>[1]Data2025!W83</f>
        <v>081375309828</v>
      </c>
    </row>
    <row r="85" spans="1:36" ht="16.5" thickTop="1" thickBot="1">
      <c r="A85" s="41" t="str">
        <f>[1]Data2025!G84</f>
        <v>07</v>
      </c>
      <c r="B85" s="42" t="str">
        <f>[1]Data2025!K84</f>
        <v>BPU07</v>
      </c>
      <c r="C85" s="43" t="str">
        <f>[1]Data2025!D84</f>
        <v>06. 05. 09.</v>
      </c>
      <c r="D85" s="44" t="str">
        <f>[1]Data2025!C84</f>
        <v>5.1.02.01.01.0030</v>
      </c>
      <c r="E85" s="45">
        <f>[1]Data2025!E84</f>
        <v>45661</v>
      </c>
      <c r="F85" s="46" t="str">
        <f>[1]Data2025!F84</f>
        <v>06/01/2025</v>
      </c>
      <c r="G85" s="45" t="str">
        <f>[1]Data2025!H84</f>
        <v>06/01/2025</v>
      </c>
      <c r="H85" s="45" t="str">
        <f t="shared" si="3"/>
        <v>06/01/2025</v>
      </c>
      <c r="I85" s="47" t="str">
        <f>[1]Data2025!J84</f>
        <v>23/01/2025</v>
      </c>
      <c r="J85" s="48" t="str">
        <f>[1]Data2025!L84</f>
        <v>Gayung</v>
      </c>
      <c r="K85" s="48" t="str">
        <f>[1]Data2025!M84</f>
        <v>Gayung</v>
      </c>
      <c r="L85" s="49">
        <f>[1]Data2025!N84</f>
        <v>10</v>
      </c>
      <c r="M85" s="49" t="str">
        <f>[1]Data2025!O84</f>
        <v>buah</v>
      </c>
      <c r="N85" s="50">
        <f>[1]Data2025!P84</f>
        <v>34500</v>
      </c>
      <c r="O85" s="51">
        <f>[1]Data2025!Q84</f>
        <v>345000</v>
      </c>
      <c r="P85" s="52" t="s">
        <v>54</v>
      </c>
      <c r="Q85" s="53" t="str">
        <f>VLOOKUP(K85,[1]Sheet1!$C$1:$D$101,2,)</f>
        <v xml:space="preserve">Gayung Lion Stars (Isi: 1,5 liter, diameter: 14 cm dan tinggi 13 cm)
 </v>
      </c>
      <c r="R85" s="54">
        <v>700000</v>
      </c>
      <c r="S85" s="55">
        <v>770000</v>
      </c>
      <c r="T85" s="56" t="str">
        <f>[1]Data2025!T84</f>
        <v>UD. JOSUA</v>
      </c>
      <c r="U85" s="57" t="s">
        <v>35</v>
      </c>
      <c r="V85" s="56" t="str">
        <f>[1]Data2025!V84</f>
        <v>Gestiwan Bazikho</v>
      </c>
      <c r="W85" s="56" t="str">
        <f>[1]Data2025!X84</f>
        <v>Jl. Diponegoro Kel. Pasar Telukdalam - Nias Selatan</v>
      </c>
      <c r="X85" s="57" t="s">
        <v>36</v>
      </c>
      <c r="Y85" s="57" t="str">
        <f t="shared" si="4"/>
        <v>Alat Kebersihan</v>
      </c>
      <c r="Z85" s="58" t="str">
        <f t="shared" si="5"/>
        <v>Alat Kebersihan</v>
      </c>
      <c r="AA85" s="59" t="s">
        <v>42</v>
      </c>
      <c r="AB85" s="60">
        <v>20000</v>
      </c>
      <c r="AC85" s="60">
        <v>700000</v>
      </c>
      <c r="AD85" s="54">
        <v>700000</v>
      </c>
      <c r="AE85" s="61">
        <v>630630.63063063065</v>
      </c>
      <c r="AF85" s="61">
        <v>700000</v>
      </c>
      <c r="AG85" s="62" t="s">
        <v>38</v>
      </c>
      <c r="AH85" s="63" t="str">
        <f>[1]Data2025!W84</f>
        <v>081375309828</v>
      </c>
    </row>
    <row r="86" spans="1:36" ht="16.5" thickTop="1" thickBot="1">
      <c r="A86" s="41" t="str">
        <f>[1]Data2025!G85</f>
        <v>07</v>
      </c>
      <c r="B86" s="42" t="str">
        <f>[1]Data2025!K85</f>
        <v>BPU07</v>
      </c>
      <c r="C86" s="43" t="str">
        <f>[1]Data2025!D85</f>
        <v>06. 05. 09.</v>
      </c>
      <c r="D86" s="44" t="str">
        <f>[1]Data2025!C85</f>
        <v>5.1.02.01.01.0030</v>
      </c>
      <c r="E86" s="45">
        <f>[1]Data2025!E85</f>
        <v>45661</v>
      </c>
      <c r="F86" s="46" t="str">
        <f>[1]Data2025!F85</f>
        <v>06/01/2025</v>
      </c>
      <c r="G86" s="45" t="str">
        <f>[1]Data2025!H85</f>
        <v>06/01/2025</v>
      </c>
      <c r="H86" s="45" t="str">
        <f t="shared" si="3"/>
        <v>06/01/2025</v>
      </c>
      <c r="I86" s="47" t="str">
        <f>[1]Data2025!J85</f>
        <v>23/01/2025</v>
      </c>
      <c r="J86" s="48" t="str">
        <f>[1]Data2025!L85</f>
        <v>Tisu--</v>
      </c>
      <c r="K86" s="48" t="str">
        <f>[1]Data2025!M85</f>
        <v>Tisu--</v>
      </c>
      <c r="L86" s="49">
        <f>[1]Data2025!N85</f>
        <v>12</v>
      </c>
      <c r="M86" s="49" t="str">
        <f>[1]Data2025!O85</f>
        <v>buah</v>
      </c>
      <c r="N86" s="50">
        <f>[1]Data2025!P85</f>
        <v>12500</v>
      </c>
      <c r="O86" s="51">
        <f>[1]Data2025!Q85</f>
        <v>150000</v>
      </c>
      <c r="P86" s="52" t="s">
        <v>54</v>
      </c>
      <c r="Q86" s="53" t="str">
        <f>VLOOKUP(K86,[1]Sheet1!$C$1:$D$101,2,)</f>
        <v>Tissue (Merk JOLLY 250 Sheets 2 Ply, Berat Volume = 285 gr)</v>
      </c>
      <c r="R86" s="54">
        <v>875000</v>
      </c>
      <c r="S86" s="55">
        <v>925000</v>
      </c>
      <c r="T86" s="56" t="str">
        <f>[1]Data2025!T85</f>
        <v>UD. JOSUA</v>
      </c>
      <c r="U86" s="57" t="s">
        <v>35</v>
      </c>
      <c r="V86" s="56" t="str">
        <f>[1]Data2025!V85</f>
        <v>Gestiwan Bazikho</v>
      </c>
      <c r="W86" s="56" t="str">
        <f>[1]Data2025!X85</f>
        <v>Jl. Diponegoro Kel. Pasar Telukdalam - Nias Selatan</v>
      </c>
      <c r="X86" s="57" t="s">
        <v>36</v>
      </c>
      <c r="Y86" s="57" t="str">
        <f t="shared" si="4"/>
        <v>Alat Kebersihan</v>
      </c>
      <c r="Z86" s="58" t="str">
        <f t="shared" si="5"/>
        <v>Alat Kebersihan</v>
      </c>
      <c r="AA86" s="59" t="s">
        <v>42</v>
      </c>
      <c r="AB86" s="60">
        <v>35000</v>
      </c>
      <c r="AC86" s="60">
        <v>875000</v>
      </c>
      <c r="AD86" s="54">
        <v>875000</v>
      </c>
      <c r="AE86" s="61">
        <v>788288.28828828828</v>
      </c>
      <c r="AF86" s="61">
        <v>875000</v>
      </c>
      <c r="AG86" s="62" t="s">
        <v>38</v>
      </c>
      <c r="AH86" s="63" t="str">
        <f>[1]Data2025!W85</f>
        <v>081375309828</v>
      </c>
    </row>
    <row r="87" spans="1:36" ht="16.5" thickTop="1" thickBot="1">
      <c r="A87" s="41" t="str">
        <f>[1]Data2025!G86</f>
        <v>07</v>
      </c>
      <c r="B87" s="42" t="str">
        <f>[1]Data2025!K86</f>
        <v>BPU07</v>
      </c>
      <c r="C87" s="43" t="str">
        <f>[1]Data2025!D86</f>
        <v>06. 05. 09.</v>
      </c>
      <c r="D87" s="44" t="str">
        <f>[1]Data2025!C86</f>
        <v>5.1.02.01.01.0030</v>
      </c>
      <c r="E87" s="45">
        <f>[1]Data2025!E86</f>
        <v>45661</v>
      </c>
      <c r="F87" s="46" t="str">
        <f>[1]Data2025!F86</f>
        <v>06/01/2025</v>
      </c>
      <c r="G87" s="45" t="str">
        <f>[1]Data2025!H86</f>
        <v>06/01/2025</v>
      </c>
      <c r="H87" s="45" t="str">
        <f t="shared" si="3"/>
        <v>06/01/2025</v>
      </c>
      <c r="I87" s="47" t="str">
        <f>[1]Data2025!J86</f>
        <v>23/01/2025</v>
      </c>
      <c r="J87" s="48" t="str">
        <f>[1]Data2025!L86</f>
        <v>vixal 500ml</v>
      </c>
      <c r="K87" s="48" t="str">
        <f>[1]Data2025!M86</f>
        <v>vixal 500ml</v>
      </c>
      <c r="L87" s="49">
        <f>[1]Data2025!N86</f>
        <v>10</v>
      </c>
      <c r="M87" s="49" t="str">
        <f>[1]Data2025!O86</f>
        <v>botol</v>
      </c>
      <c r="N87" s="50">
        <f>[1]Data2025!P86</f>
        <v>30000</v>
      </c>
      <c r="O87" s="51">
        <f>[1]Data2025!Q86</f>
        <v>300000</v>
      </c>
      <c r="P87" s="52" t="s">
        <v>54</v>
      </c>
      <c r="Q87" s="53" t="str">
        <f>VLOOKUP(K87,[1]Sheet1!$C$1:$D$101,2,)</f>
        <v>Pembersih Lantai (Merk vixal, Kemasan Botol, isi  500ml)</v>
      </c>
      <c r="R87" s="54">
        <v>900000</v>
      </c>
      <c r="S87" s="55">
        <v>930000</v>
      </c>
      <c r="T87" s="56" t="str">
        <f>[1]Data2025!T86</f>
        <v>UD. JOSUA</v>
      </c>
      <c r="U87" s="57" t="s">
        <v>35</v>
      </c>
      <c r="V87" s="56" t="str">
        <f>[1]Data2025!V86</f>
        <v>Gestiwan Bazikho</v>
      </c>
      <c r="W87" s="56" t="str">
        <f>[1]Data2025!X86</f>
        <v>Jl. Diponegoro Kel. Pasar Telukdalam - Nias Selatan</v>
      </c>
      <c r="X87" s="57" t="s">
        <v>36</v>
      </c>
      <c r="Y87" s="57" t="str">
        <f t="shared" si="4"/>
        <v>Alat Kebersihan</v>
      </c>
      <c r="Z87" s="58" t="str">
        <f t="shared" si="5"/>
        <v>Alat Kebersihan</v>
      </c>
      <c r="AA87" s="59" t="s">
        <v>42</v>
      </c>
      <c r="AB87" s="60">
        <v>60000</v>
      </c>
      <c r="AC87" s="60">
        <v>900000</v>
      </c>
      <c r="AD87" s="54">
        <v>900000</v>
      </c>
      <c r="AE87" s="61">
        <v>810810.81081081077</v>
      </c>
      <c r="AF87" s="61">
        <v>900000</v>
      </c>
      <c r="AG87" s="62" t="s">
        <v>38</v>
      </c>
      <c r="AH87" s="63" t="str">
        <f>[1]Data2025!W86</f>
        <v>081375309828</v>
      </c>
    </row>
    <row r="88" spans="1:36" ht="26" thickTop="1" thickBot="1">
      <c r="A88" s="41" t="str">
        <f>[1]Data2025!G87</f>
        <v>07</v>
      </c>
      <c r="B88" s="42" t="str">
        <f>[1]Data2025!K87</f>
        <v>BPU07</v>
      </c>
      <c r="C88" s="43" t="str">
        <f>[1]Data2025!D87</f>
        <v>06. 05. 09.</v>
      </c>
      <c r="D88" s="44" t="str">
        <f>[1]Data2025!C87</f>
        <v>5.1.02.01.01.0030</v>
      </c>
      <c r="E88" s="45">
        <f>[1]Data2025!E87</f>
        <v>45661</v>
      </c>
      <c r="F88" s="46" t="str">
        <f>[1]Data2025!F87</f>
        <v>06/01/2025</v>
      </c>
      <c r="G88" s="45" t="str">
        <f>[1]Data2025!H87</f>
        <v>06/01/2025</v>
      </c>
      <c r="H88" s="45" t="str">
        <f t="shared" si="3"/>
        <v>06/01/2025</v>
      </c>
      <c r="I88" s="47" t="str">
        <f>[1]Data2025!J87</f>
        <v>23/01/2025</v>
      </c>
      <c r="J88" s="48" t="str">
        <f>[1]Data2025!L87</f>
        <v>Perlengkapan Kebersihan Pembersih Lantai Super Pel Varian 800ml</v>
      </c>
      <c r="K88" s="48" t="str">
        <f>J88</f>
        <v>Perlengkapan Kebersihan Pembersih Lantai Super Pel Varian 800ml</v>
      </c>
      <c r="L88" s="49">
        <f>[1]Data2025!N87</f>
        <v>15</v>
      </c>
      <c r="M88" s="49" t="str">
        <f>[1]Data2025!O87</f>
        <v>buah</v>
      </c>
      <c r="N88" s="50">
        <f>[1]Data2025!P87</f>
        <v>13500</v>
      </c>
      <c r="O88" s="51">
        <f>[1]Data2025!Q87</f>
        <v>202500</v>
      </c>
      <c r="P88" s="52" t="s">
        <v>54</v>
      </c>
      <c r="Q88" s="53" t="str">
        <f>VLOOKUP(K88,[1]Sheet1!$C$1:$D$101,2,)</f>
        <v>Super Pel (Merek: Super Pel, Varian 800ml/Refill)</v>
      </c>
      <c r="R88" s="54">
        <v>350000</v>
      </c>
      <c r="S88" s="55">
        <v>360000</v>
      </c>
      <c r="T88" s="56" t="str">
        <f>[1]Data2025!T87</f>
        <v>UD. JOSUA</v>
      </c>
      <c r="U88" s="57" t="s">
        <v>35</v>
      </c>
      <c r="V88" s="56" t="str">
        <f>[1]Data2025!V87</f>
        <v>Gestiwan Bazikho</v>
      </c>
      <c r="W88" s="56" t="str">
        <f>[1]Data2025!X87</f>
        <v>Jl. Diponegoro Kel. Pasar Telukdalam - Nias Selatan</v>
      </c>
      <c r="X88" s="57" t="s">
        <v>36</v>
      </c>
      <c r="Y88" s="57" t="str">
        <f t="shared" si="4"/>
        <v>Alat Kebersihan</v>
      </c>
      <c r="Z88" s="58" t="str">
        <f t="shared" si="5"/>
        <v>Alat Kebersihan</v>
      </c>
      <c r="AA88" s="59" t="s">
        <v>55</v>
      </c>
      <c r="AB88" s="60">
        <v>70000</v>
      </c>
      <c r="AC88" s="60">
        <v>350000</v>
      </c>
      <c r="AD88" s="54">
        <v>350000</v>
      </c>
      <c r="AE88" s="61">
        <v>315315.31531531533</v>
      </c>
      <c r="AF88" s="61">
        <v>350000</v>
      </c>
      <c r="AG88" s="62" t="s">
        <v>38</v>
      </c>
      <c r="AH88" s="63" t="str">
        <f>[1]Data2025!W87</f>
        <v>081375309828</v>
      </c>
    </row>
    <row r="89" spans="1:36" ht="16.5" thickTop="1" thickBot="1">
      <c r="A89" s="41" t="str">
        <f>[1]Data2025!G88</f>
        <v>07</v>
      </c>
      <c r="B89" s="42" t="str">
        <f>[1]Data2025!K88</f>
        <v>BPU07</v>
      </c>
      <c r="C89" s="43" t="str">
        <f>[1]Data2025!D88</f>
        <v>06. 05. 09.</v>
      </c>
      <c r="D89" s="44" t="str">
        <f>[1]Data2025!C88</f>
        <v>5.1.02.01.01.0030</v>
      </c>
      <c r="E89" s="45">
        <f>[1]Data2025!E88</f>
        <v>45661</v>
      </c>
      <c r="F89" s="46" t="str">
        <f>[1]Data2025!F88</f>
        <v>06/01/2025</v>
      </c>
      <c r="G89" s="45" t="str">
        <f>[1]Data2025!H88</f>
        <v>06/01/2025</v>
      </c>
      <c r="H89" s="45" t="str">
        <f t="shared" si="3"/>
        <v>06/01/2025</v>
      </c>
      <c r="I89" s="47" t="str">
        <f>[1]Data2025!J88</f>
        <v>23/01/2025</v>
      </c>
      <c r="J89" s="48" t="str">
        <f>[1]Data2025!L88</f>
        <v>Cairan Pembersih Kaca</v>
      </c>
      <c r="K89" s="48" t="str">
        <f t="shared" ref="K89:K94" si="6">J89</f>
        <v>Cairan Pembersih Kaca</v>
      </c>
      <c r="L89" s="49">
        <f>[1]Data2025!N88</f>
        <v>5</v>
      </c>
      <c r="M89" s="49" t="str">
        <f>[1]Data2025!O88</f>
        <v>buah</v>
      </c>
      <c r="N89" s="50">
        <f>[1]Data2025!P88</f>
        <v>12000</v>
      </c>
      <c r="O89" s="51">
        <f>[1]Data2025!Q88</f>
        <v>60000</v>
      </c>
      <c r="P89" s="52" t="s">
        <v>54</v>
      </c>
      <c r="Q89" s="53" t="str">
        <f>VLOOKUP(K89,[1]Sheet1!$C$1:$D$101,2,)</f>
        <v>Cling (Merek: Cling, Varian: Ocean Fresh 425 ml)</v>
      </c>
      <c r="R89" s="54">
        <v>375000</v>
      </c>
      <c r="S89" s="55">
        <v>405000</v>
      </c>
      <c r="T89" s="56" t="str">
        <f>[1]Data2025!T88</f>
        <v>UD. JOSUA</v>
      </c>
      <c r="U89" s="57" t="s">
        <v>35</v>
      </c>
      <c r="V89" s="56" t="str">
        <f>[1]Data2025!V88</f>
        <v>Gestiwan Bazikho</v>
      </c>
      <c r="W89" s="56" t="str">
        <f>[1]Data2025!X88</f>
        <v>Jl. Diponegoro Kel. Pasar Telukdalam - Nias Selatan</v>
      </c>
      <c r="X89" s="57" t="s">
        <v>36</v>
      </c>
      <c r="Y89" s="57" t="str">
        <f t="shared" si="4"/>
        <v>Alat Kebersihan</v>
      </c>
      <c r="Z89" s="58" t="str">
        <f t="shared" si="5"/>
        <v>Alat Kebersihan</v>
      </c>
      <c r="AA89" s="59" t="s">
        <v>42</v>
      </c>
      <c r="AB89" s="60">
        <v>25000</v>
      </c>
      <c r="AC89" s="60">
        <v>375000</v>
      </c>
      <c r="AD89" s="54">
        <v>375000</v>
      </c>
      <c r="AE89" s="61">
        <v>337837.83783783787</v>
      </c>
      <c r="AF89" s="61">
        <v>375000</v>
      </c>
      <c r="AG89" s="62" t="s">
        <v>38</v>
      </c>
      <c r="AH89" s="63" t="str">
        <f>[1]Data2025!W88</f>
        <v>081375309828</v>
      </c>
    </row>
    <row r="90" spans="1:36" ht="26" thickTop="1" thickBot="1">
      <c r="A90" s="41" t="str">
        <f>[1]Data2025!G89</f>
        <v>07</v>
      </c>
      <c r="B90" s="42" t="str">
        <f>[1]Data2025!K89</f>
        <v>BPU07</v>
      </c>
      <c r="C90" s="43" t="str">
        <f>[1]Data2025!D89</f>
        <v>06. 05. 09.</v>
      </c>
      <c r="D90" s="44" t="str">
        <f>[1]Data2025!C89</f>
        <v>5.1.02.01.01.0030</v>
      </c>
      <c r="E90" s="45">
        <f>[1]Data2025!E89</f>
        <v>45661</v>
      </c>
      <c r="F90" s="46" t="str">
        <f>[1]Data2025!F89</f>
        <v>06/01/2025</v>
      </c>
      <c r="G90" s="45" t="str">
        <f>[1]Data2025!H89</f>
        <v>06/01/2025</v>
      </c>
      <c r="H90" s="45" t="str">
        <f t="shared" si="3"/>
        <v>06/01/2025</v>
      </c>
      <c r="I90" s="47" t="str">
        <f>[1]Data2025!J89</f>
        <v>23/01/2025</v>
      </c>
      <c r="J90" s="48" t="str">
        <f>[1]Data2025!L89</f>
        <v>Perlengkapan Kebersihan Pembersih Pakaian Sunlight Refil 800ml</v>
      </c>
      <c r="K90" s="48" t="str">
        <f t="shared" si="6"/>
        <v>Perlengkapan Kebersihan Pembersih Pakaian Sunlight Refil 800ml</v>
      </c>
      <c r="L90" s="49">
        <f>[1]Data2025!N89</f>
        <v>3</v>
      </c>
      <c r="M90" s="49" t="str">
        <f>[1]Data2025!O89</f>
        <v>buah</v>
      </c>
      <c r="N90" s="50">
        <f>[1]Data2025!P89</f>
        <v>15000</v>
      </c>
      <c r="O90" s="51">
        <f>[1]Data2025!Q89</f>
        <v>45000</v>
      </c>
      <c r="P90" s="52" t="s">
        <v>54</v>
      </c>
      <c r="Q90" s="53" t="str">
        <f>VLOOKUP(K90,[1]Sheet1!$C$1:$D$101,2,)</f>
        <v>Sunlight (Merk: Sunlight, Varian 800ml/Refill)</v>
      </c>
      <c r="R90" s="54">
        <v>510000</v>
      </c>
      <c r="S90" s="55">
        <v>540000</v>
      </c>
      <c r="T90" s="56" t="str">
        <f>[1]Data2025!T89</f>
        <v>UD. JOSUA</v>
      </c>
      <c r="U90" s="57" t="s">
        <v>35</v>
      </c>
      <c r="V90" s="56" t="str">
        <f>[1]Data2025!V89</f>
        <v>Gestiwan Bazikho</v>
      </c>
      <c r="W90" s="56" t="str">
        <f>[1]Data2025!X89</f>
        <v>Jl. Diponegoro Kel. Pasar Telukdalam - Nias Selatan</v>
      </c>
      <c r="X90" s="57" t="s">
        <v>36</v>
      </c>
      <c r="Y90" s="57" t="str">
        <f t="shared" si="4"/>
        <v>Alat Kebersihan</v>
      </c>
      <c r="Z90" s="58" t="str">
        <f t="shared" si="5"/>
        <v>Alat Kebersihan</v>
      </c>
      <c r="AA90" s="59" t="s">
        <v>42</v>
      </c>
      <c r="AB90" s="60">
        <v>34000</v>
      </c>
      <c r="AC90" s="60">
        <v>510000</v>
      </c>
      <c r="AD90" s="54">
        <v>510000</v>
      </c>
      <c r="AE90" s="61">
        <v>459459.45945945947</v>
      </c>
      <c r="AF90" s="61">
        <v>510000</v>
      </c>
      <c r="AG90" s="62" t="s">
        <v>38</v>
      </c>
      <c r="AH90" s="63" t="str">
        <f>[1]Data2025!W89</f>
        <v>081375309828</v>
      </c>
    </row>
    <row r="91" spans="1:36" ht="16.5" thickTop="1" thickBot="1">
      <c r="A91" s="41" t="str">
        <f>[1]Data2025!G90</f>
        <v>07</v>
      </c>
      <c r="B91" s="42" t="str">
        <f>[1]Data2025!K90</f>
        <v>BPU07</v>
      </c>
      <c r="C91" s="43" t="str">
        <f>[1]Data2025!D90</f>
        <v>06. 05. 09.</v>
      </c>
      <c r="D91" s="44" t="str">
        <f>[1]Data2025!C90</f>
        <v>5.1.02.01.01.0030</v>
      </c>
      <c r="E91" s="45">
        <f>[1]Data2025!E90</f>
        <v>45661</v>
      </c>
      <c r="F91" s="46" t="str">
        <f>[1]Data2025!F90</f>
        <v>06/01/2025</v>
      </c>
      <c r="G91" s="45" t="str">
        <f>[1]Data2025!H90</f>
        <v>06/01/2025</v>
      </c>
      <c r="H91" s="45" t="str">
        <f t="shared" si="3"/>
        <v>06/01/2025</v>
      </c>
      <c r="I91" s="47" t="str">
        <f>[1]Data2025!J90</f>
        <v>23/01/2025</v>
      </c>
      <c r="J91" s="48" t="str">
        <f>[1]Data2025!L90</f>
        <v>Spon Cuci</v>
      </c>
      <c r="K91" s="48" t="str">
        <f t="shared" si="6"/>
        <v>Spon Cuci</v>
      </c>
      <c r="L91" s="49">
        <f>[1]Data2025!N90</f>
        <v>5</v>
      </c>
      <c r="M91" s="49" t="str">
        <f>[1]Data2025!O90</f>
        <v>buah</v>
      </c>
      <c r="N91" s="50">
        <f>[1]Data2025!P90</f>
        <v>12000</v>
      </c>
      <c r="O91" s="51">
        <f>[1]Data2025!Q90</f>
        <v>60000</v>
      </c>
      <c r="P91" s="52" t="s">
        <v>54</v>
      </c>
      <c r="Q91" s="53" t="str">
        <f>VLOOKUP(K91,[1]Sheet1!$C$1:$D$101,2,)</f>
        <v>Spon Cuci (ukuran tebal 3 cm, panjang 7cm x 9cm)</v>
      </c>
      <c r="R91" s="54">
        <v>60000</v>
      </c>
      <c r="S91" s="55">
        <v>70000</v>
      </c>
      <c r="T91" s="56" t="str">
        <f>[1]Data2025!T90</f>
        <v>UD. JOSUA</v>
      </c>
      <c r="U91" s="57" t="s">
        <v>56</v>
      </c>
      <c r="V91" s="56" t="str">
        <f>[1]Data2025!V90</f>
        <v>Gestiwan Bazikho</v>
      </c>
      <c r="W91" s="56" t="str">
        <f>[1]Data2025!X90</f>
        <v>Jl. Diponegoro Kel. Pasar Telukdalam - Nias Selatan</v>
      </c>
      <c r="X91" s="56" t="s">
        <v>57</v>
      </c>
      <c r="Y91" s="57" t="str">
        <f t="shared" si="4"/>
        <v>Alat Kebersihan</v>
      </c>
      <c r="Z91" s="58" t="str">
        <f t="shared" si="5"/>
        <v>Alat Kebersihan</v>
      </c>
      <c r="AA91" s="59" t="s">
        <v>42</v>
      </c>
      <c r="AB91" s="60">
        <v>12000</v>
      </c>
      <c r="AC91" s="60">
        <v>60000</v>
      </c>
      <c r="AD91" s="54">
        <v>60000</v>
      </c>
      <c r="AE91" s="61">
        <v>54054.054054054053</v>
      </c>
      <c r="AF91" s="61">
        <v>60000</v>
      </c>
      <c r="AG91" s="62" t="s">
        <v>38</v>
      </c>
      <c r="AH91" s="63" t="str">
        <f>[1]Data2025!W90</f>
        <v>081375309828</v>
      </c>
    </row>
    <row r="92" spans="1:36" ht="16.5" thickTop="1" thickBot="1">
      <c r="A92" s="41" t="str">
        <f>[1]Data2025!G91</f>
        <v>07</v>
      </c>
      <c r="B92" s="42" t="str">
        <f>[1]Data2025!K91</f>
        <v>BPU07</v>
      </c>
      <c r="C92" s="43" t="str">
        <f>[1]Data2025!D91</f>
        <v>06. 05. 09.</v>
      </c>
      <c r="D92" s="44" t="str">
        <f>[1]Data2025!C91</f>
        <v>5.1.02.01.01.0030</v>
      </c>
      <c r="E92" s="45">
        <f>[1]Data2025!E91</f>
        <v>45661</v>
      </c>
      <c r="F92" s="46" t="str">
        <f>[1]Data2025!F91</f>
        <v>06/01/2025</v>
      </c>
      <c r="G92" s="45" t="str">
        <f>[1]Data2025!H91</f>
        <v>06/01/2025</v>
      </c>
      <c r="H92" s="45" t="str">
        <f t="shared" si="3"/>
        <v>06/01/2025</v>
      </c>
      <c r="I92" s="47" t="str">
        <f>[1]Data2025!J91</f>
        <v>23/01/2025</v>
      </c>
      <c r="J92" s="48" t="str">
        <f>[1]Data2025!L91</f>
        <v>Handsoap/Pencuci Tangan</v>
      </c>
      <c r="K92" s="48" t="str">
        <f t="shared" si="6"/>
        <v>Handsoap/Pencuci Tangan</v>
      </c>
      <c r="L92" s="49">
        <f>[1]Data2025!N91</f>
        <v>5</v>
      </c>
      <c r="M92" s="49" t="str">
        <f>[1]Data2025!O91</f>
        <v>botol</v>
      </c>
      <c r="N92" s="50">
        <f>[1]Data2025!P91</f>
        <v>67000</v>
      </c>
      <c r="O92" s="51">
        <f>[1]Data2025!Q91</f>
        <v>335000</v>
      </c>
      <c r="P92" s="52" t="s">
        <v>54</v>
      </c>
      <c r="Q92" s="53" t="str">
        <f>VLOOKUP(K92,[1]Sheet1!$C$1:$D$101,2,)</f>
        <v>Handsoap/Pencuci Tangan (Antibacterial Hand Soap - 250ml, ekstrak aloevera)</v>
      </c>
      <c r="R92" s="54">
        <v>160000</v>
      </c>
      <c r="S92" s="55">
        <v>164000</v>
      </c>
      <c r="T92" s="56" t="str">
        <f>[1]Data2025!T91</f>
        <v>UD. JOSUA</v>
      </c>
      <c r="U92" s="57" t="s">
        <v>56</v>
      </c>
      <c r="V92" s="56" t="str">
        <f>[1]Data2025!V91</f>
        <v>Gestiwan Bazikho</v>
      </c>
      <c r="W92" s="56" t="str">
        <f>[1]Data2025!X91</f>
        <v>Jl. Diponegoro Kel. Pasar Telukdalam - Nias Selatan</v>
      </c>
      <c r="X92" s="56" t="s">
        <v>57</v>
      </c>
      <c r="Y92" s="57" t="str">
        <f t="shared" si="4"/>
        <v>Alat Kebersihan</v>
      </c>
      <c r="Z92" s="58" t="str">
        <f t="shared" si="5"/>
        <v>Alat Kebersihan</v>
      </c>
      <c r="AA92" s="59" t="s">
        <v>37</v>
      </c>
      <c r="AB92" s="60">
        <v>80000</v>
      </c>
      <c r="AC92" s="60">
        <v>160000</v>
      </c>
      <c r="AD92" s="54">
        <v>160000</v>
      </c>
      <c r="AE92" s="61">
        <v>144144.14414414414</v>
      </c>
      <c r="AF92" s="61">
        <v>160000</v>
      </c>
      <c r="AG92" s="62" t="s">
        <v>38</v>
      </c>
      <c r="AH92" s="63" t="str">
        <f>[1]Data2025!W91</f>
        <v>081375309828</v>
      </c>
    </row>
    <row r="93" spans="1:36" ht="16.5" thickTop="1" thickBot="1">
      <c r="A93" s="41" t="str">
        <f>[1]Data2025!G92</f>
        <v>07</v>
      </c>
      <c r="B93" s="42" t="str">
        <f>[1]Data2025!K92</f>
        <v>BPU07</v>
      </c>
      <c r="C93" s="43" t="str">
        <f>[1]Data2025!D92</f>
        <v>06. 05. 09.</v>
      </c>
      <c r="D93" s="44" t="str">
        <f>[1]Data2025!C92</f>
        <v>5.1.02.01.01.0030</v>
      </c>
      <c r="E93" s="45">
        <f>[1]Data2025!E92</f>
        <v>45661</v>
      </c>
      <c r="F93" s="46" t="str">
        <f>[1]Data2025!F92</f>
        <v>06/01/2025</v>
      </c>
      <c r="G93" s="45" t="str">
        <f>[1]Data2025!H92</f>
        <v>06/01/2025</v>
      </c>
      <c r="H93" s="45" t="str">
        <f t="shared" si="3"/>
        <v>06/01/2025</v>
      </c>
      <c r="I93" s="47" t="str">
        <f>[1]Data2025!J92</f>
        <v>23/01/2025</v>
      </c>
      <c r="J93" s="48" t="str">
        <f>[1]Data2025!L92</f>
        <v>Pengharum Ruangan</v>
      </c>
      <c r="K93" s="48" t="str">
        <f t="shared" si="6"/>
        <v>Pengharum Ruangan</v>
      </c>
      <c r="L93" s="49">
        <f>[1]Data2025!N92</f>
        <v>10</v>
      </c>
      <c r="M93" s="49" t="str">
        <f>[1]Data2025!O92</f>
        <v>buah</v>
      </c>
      <c r="N93" s="50">
        <f>[1]Data2025!P92</f>
        <v>12100</v>
      </c>
      <c r="O93" s="51">
        <f>[1]Data2025!Q92</f>
        <v>121000</v>
      </c>
      <c r="P93" s="52" t="s">
        <v>54</v>
      </c>
      <c r="Q93" s="53" t="str">
        <f>VLOOKUP(K93,[1]Sheet1!$C$1:$D$101,2,)</f>
        <v>Pengharum Ruangan (Stella Pengharum Ruangan Gantung Lavender 42 g)</v>
      </c>
      <c r="R93" s="54">
        <v>75000</v>
      </c>
      <c r="S93" s="55">
        <v>85000</v>
      </c>
      <c r="T93" s="56" t="str">
        <f>[1]Data2025!T92</f>
        <v>UD. JOSUA</v>
      </c>
      <c r="U93" s="57" t="s">
        <v>56</v>
      </c>
      <c r="V93" s="56" t="str">
        <f>[1]Data2025!V92</f>
        <v>Gestiwan Bazikho</v>
      </c>
      <c r="W93" s="56" t="str">
        <f>[1]Data2025!X92</f>
        <v>Jl. Diponegoro Kel. Pasar Telukdalam - Nias Selatan</v>
      </c>
      <c r="X93" s="56" t="s">
        <v>57</v>
      </c>
      <c r="Y93" s="57" t="str">
        <f t="shared" si="4"/>
        <v>Alat Kebersihan</v>
      </c>
      <c r="Z93" s="58" t="str">
        <f t="shared" si="5"/>
        <v>Alat Kebersihan</v>
      </c>
      <c r="AA93" s="59" t="s">
        <v>42</v>
      </c>
      <c r="AB93" s="60">
        <v>15000</v>
      </c>
      <c r="AC93" s="60">
        <v>75000</v>
      </c>
      <c r="AD93" s="54">
        <v>75000</v>
      </c>
      <c r="AE93" s="61">
        <v>67567.567567567574</v>
      </c>
      <c r="AF93" s="61">
        <v>75000</v>
      </c>
      <c r="AG93" s="62" t="s">
        <v>38</v>
      </c>
      <c r="AH93" s="63" t="str">
        <f>[1]Data2025!W92</f>
        <v>081375309828</v>
      </c>
    </row>
    <row r="94" spans="1:36" ht="16.5" thickTop="1" thickBot="1">
      <c r="A94" s="41" t="str">
        <f>[1]Data2025!G93</f>
        <v>07</v>
      </c>
      <c r="B94" s="42" t="str">
        <f>[1]Data2025!K93</f>
        <v>BPU07</v>
      </c>
      <c r="C94" s="43" t="str">
        <f>[1]Data2025!D93</f>
        <v>06. 05. 09.</v>
      </c>
      <c r="D94" s="44" t="str">
        <f>[1]Data2025!C93</f>
        <v>5.1.02.01.01.0030</v>
      </c>
      <c r="E94" s="45">
        <f>[1]Data2025!E93</f>
        <v>45661</v>
      </c>
      <c r="F94" s="46" t="str">
        <f>[1]Data2025!F93</f>
        <v>06/01/2025</v>
      </c>
      <c r="G94" s="45" t="str">
        <f>[1]Data2025!H93</f>
        <v>06/01/2025</v>
      </c>
      <c r="H94" s="45" t="str">
        <f t="shared" si="3"/>
        <v>06/01/2025</v>
      </c>
      <c r="I94" s="47" t="str">
        <f>[1]Data2025!J93</f>
        <v>23/01/2025</v>
      </c>
      <c r="J94" s="48" t="str">
        <f>[1]Data2025!L93</f>
        <v>Hand Sanitizer-Unit</v>
      </c>
      <c r="K94" s="48" t="str">
        <f t="shared" si="6"/>
        <v>Hand Sanitizer-Unit</v>
      </c>
      <c r="L94" s="49">
        <f>[1]Data2025!N93</f>
        <v>5</v>
      </c>
      <c r="M94" s="49" t="str">
        <f>[1]Data2025!O93</f>
        <v>unit</v>
      </c>
      <c r="N94" s="50">
        <f>[1]Data2025!P93</f>
        <v>70000</v>
      </c>
      <c r="O94" s="51">
        <f>[1]Data2025!Q93</f>
        <v>350000</v>
      </c>
      <c r="P94" s="52" t="s">
        <v>54</v>
      </c>
      <c r="Q94" s="53" t="str">
        <f>VLOOKUP(K94,[1]Sheet1!$C$1:$D$101,2,)</f>
        <v>Hand Sanitizer (Kemasan Botol 500ml)</v>
      </c>
      <c r="R94" s="54">
        <v>110000</v>
      </c>
      <c r="S94" s="55">
        <v>120000</v>
      </c>
      <c r="T94" s="56" t="str">
        <f>[1]Data2025!T93</f>
        <v>UD. JOSUA</v>
      </c>
      <c r="U94" s="57" t="s">
        <v>56</v>
      </c>
      <c r="V94" s="56" t="str">
        <f>[1]Data2025!V93</f>
        <v>Gestiwan Bazikho</v>
      </c>
      <c r="W94" s="56" t="str">
        <f>[1]Data2025!X93</f>
        <v>Jl. Diponegoro Kel. Pasar Telukdalam - Nias Selatan</v>
      </c>
      <c r="X94" s="56" t="s">
        <v>57</v>
      </c>
      <c r="Y94" s="57" t="str">
        <f t="shared" si="4"/>
        <v>Alat Kebersihan</v>
      </c>
      <c r="Z94" s="58" t="str">
        <f t="shared" si="5"/>
        <v>Alat Kebersihan</v>
      </c>
      <c r="AA94" s="59" t="s">
        <v>42</v>
      </c>
      <c r="AB94" s="60">
        <v>22000</v>
      </c>
      <c r="AC94" s="60">
        <v>110000</v>
      </c>
      <c r="AD94" s="54">
        <v>110000</v>
      </c>
      <c r="AE94" s="61">
        <v>99099.099099099098</v>
      </c>
      <c r="AF94" s="61">
        <v>110000</v>
      </c>
      <c r="AG94" s="62" t="s">
        <v>38</v>
      </c>
      <c r="AH94" s="63" t="str">
        <f>[1]Data2025!W93</f>
        <v>081375309828</v>
      </c>
    </row>
    <row r="95" spans="1:36" s="40" customFormat="1" ht="26" thickTop="1" thickBot="1">
      <c r="A95" s="17" t="str">
        <f>[1]Data2025!G94</f>
        <v>08</v>
      </c>
      <c r="B95" s="18" t="str">
        <f>[1]Data2025!K94</f>
        <v>BPU08</v>
      </c>
      <c r="C95" s="19" t="str">
        <f>[1]Data2025!D94</f>
        <v>02. 03. 01.</v>
      </c>
      <c r="D95" s="20" t="str">
        <f>[1]Data2025!C94</f>
        <v>5.1.02.01.01.0052</v>
      </c>
      <c r="E95" s="21">
        <f>[1]Data2025!E94</f>
        <v>45663</v>
      </c>
      <c r="F95" s="22" t="str">
        <f>[1]Data2025!F94</f>
        <v>07/01/2025</v>
      </c>
      <c r="G95" s="21" t="str">
        <f>[1]Data2025!H94</f>
        <v>08/01/2025</v>
      </c>
      <c r="H95" s="21" t="str">
        <f t="shared" si="3"/>
        <v>08/01/2025</v>
      </c>
      <c r="I95" s="23" t="str">
        <f>[1]Data2025!J94</f>
        <v>23/01/2025</v>
      </c>
      <c r="J95" s="24" t="str">
        <f>[1]Data2025!L94</f>
        <v>Kudapan pada Kegiatan Rapat  penyusunan program kurikulum Semester Ganjil/Genap TP 2024/2025</v>
      </c>
      <c r="K95" s="24" t="str">
        <f>[1]Data2025!M94</f>
        <v>Kue Besar</v>
      </c>
      <c r="L95" s="25">
        <f>[1]Data2025!N94</f>
        <v>60</v>
      </c>
      <c r="M95" s="25" t="str">
        <f>[1]Data2025!O94</f>
        <v>kotak</v>
      </c>
      <c r="N95" s="26">
        <f>[1]Data2025!P94</f>
        <v>15000</v>
      </c>
      <c r="O95" s="27">
        <f>[1]Data2025!Q94</f>
        <v>900000</v>
      </c>
      <c r="P95" s="28" t="s">
        <v>58</v>
      </c>
      <c r="Q95" s="29" t="str">
        <f>VLOOKUP(K95,[1]Sheet1!$C$1:$D$101,2,)</f>
        <v>Kue (bahan tepung terigu, gula, telur, mentega; berat 100gr, panjang 15cm, lebar 8 cm)</v>
      </c>
      <c r="R95" s="30">
        <v>240000</v>
      </c>
      <c r="S95" s="31">
        <v>244000</v>
      </c>
      <c r="T95" s="32" t="str">
        <f>[1]Data2025!T94</f>
        <v>Rumah Roti Helena</v>
      </c>
      <c r="U95" s="33" t="s">
        <v>56</v>
      </c>
      <c r="V95" s="32" t="str">
        <f>[1]Data2025!V94</f>
        <v>Fudi Supiyanto</v>
      </c>
      <c r="W95" s="32" t="str">
        <f>[1]Data2025!X94</f>
        <v>Jln Ahmad Yani No.89 Kel. Pasar Telukdalam, Nias Selatan</v>
      </c>
      <c r="X95" s="32" t="s">
        <v>57</v>
      </c>
      <c r="Y95" s="33" t="str">
        <f t="shared" si="4"/>
        <v>Kudapan</v>
      </c>
      <c r="Z95" s="34" t="str">
        <f t="shared" si="5"/>
        <v>Kudapan</v>
      </c>
      <c r="AA95" s="35" t="s">
        <v>42</v>
      </c>
      <c r="AB95" s="36">
        <v>120000</v>
      </c>
      <c r="AC95" s="36">
        <v>240000</v>
      </c>
      <c r="AD95" s="30">
        <v>240000</v>
      </c>
      <c r="AE95" s="37">
        <v>216216.21621621621</v>
      </c>
      <c r="AF95" s="37">
        <v>240000</v>
      </c>
      <c r="AG95" s="38" t="s">
        <v>38</v>
      </c>
      <c r="AH95" s="39" t="str">
        <f>[1]Data2025!W94</f>
        <v>082164895397</v>
      </c>
      <c r="AI95" s="91"/>
      <c r="AJ95" s="91"/>
    </row>
    <row r="96" spans="1:36" ht="26" thickTop="1" thickBot="1">
      <c r="A96" s="41" t="str">
        <f>[1]Data2025!G95</f>
        <v>09</v>
      </c>
      <c r="B96" s="42" t="str">
        <f>[1]Data2025!K95</f>
        <v>BPU09</v>
      </c>
      <c r="C96" s="43" t="str">
        <f>[1]Data2025!D95</f>
        <v>02. 03. 01.</v>
      </c>
      <c r="D96" s="44" t="str">
        <f>[1]Data2025!C95</f>
        <v>5.1.02.01.01.0052</v>
      </c>
      <c r="E96" s="45">
        <f>[1]Data2025!E95</f>
        <v>45663</v>
      </c>
      <c r="F96" s="46" t="str">
        <f>[1]Data2025!F95</f>
        <v>07/01/2025</v>
      </c>
      <c r="G96" s="45" t="str">
        <f>[1]Data2025!H95</f>
        <v>08/01/2025</v>
      </c>
      <c r="H96" s="45" t="str">
        <f t="shared" si="3"/>
        <v>08/01/2025</v>
      </c>
      <c r="I96" s="47" t="str">
        <f>[1]Data2025!J95</f>
        <v>23/01/2025</v>
      </c>
      <c r="J96" s="48" t="str">
        <f>[1]Data2025!L95</f>
        <v>Konsumsi pada Kegiatan Rapat  penyusunan program kurikulum Semester Ganjil/Genap TP 2024/2025</v>
      </c>
      <c r="K96" s="48" t="str">
        <f>[1]Data2025!M95</f>
        <v>Nasi Kotak</v>
      </c>
      <c r="L96" s="49">
        <f>[1]Data2025!N95</f>
        <v>60</v>
      </c>
      <c r="M96" s="49" t="str">
        <f>[1]Data2025!O95</f>
        <v>kotak</v>
      </c>
      <c r="N96" s="50">
        <f>[1]Data2025!P95</f>
        <v>40000</v>
      </c>
      <c r="O96" s="51">
        <f>[1]Data2025!Q95</f>
        <v>2400000</v>
      </c>
      <c r="P96" s="52" t="s">
        <v>59</v>
      </c>
      <c r="Q96" s="53" t="str">
        <f>VLOOKUP(K96,[1]Sheet1!$C$1:$D$101,2,)</f>
        <v>Nasi Kotak (isi: Nasi putih;Sop daging; Sayur; Berat 1000gr; Dimensi; (PxLxT) 25cmx25cmx10cm)</v>
      </c>
      <c r="R96" s="54">
        <v>75000</v>
      </c>
      <c r="S96" s="55">
        <v>85000</v>
      </c>
      <c r="T96" s="56" t="str">
        <f>[1]Data2025!T95</f>
        <v>Resto JFC Esther</v>
      </c>
      <c r="U96" s="57" t="s">
        <v>56</v>
      </c>
      <c r="V96" s="56" t="str">
        <f>[1]Data2025!V95</f>
        <v>Limaati Daeli</v>
      </c>
      <c r="W96" s="56" t="str">
        <f>[1]Data2025!X95</f>
        <v>Jl. Saonigeho Km. 2 Telukdalam - Nias Selatan</v>
      </c>
      <c r="X96" s="56" t="s">
        <v>57</v>
      </c>
      <c r="Y96" s="57" t="str">
        <f t="shared" si="4"/>
        <v>Konsumsi</v>
      </c>
      <c r="Z96" s="58" t="str">
        <f t="shared" si="5"/>
        <v>Konsumsi</v>
      </c>
      <c r="AA96" s="59" t="s">
        <v>42</v>
      </c>
      <c r="AB96" s="60">
        <v>15000</v>
      </c>
      <c r="AC96" s="60">
        <v>75000</v>
      </c>
      <c r="AD96" s="54">
        <v>75000</v>
      </c>
      <c r="AE96" s="61">
        <v>67567.567567567574</v>
      </c>
      <c r="AF96" s="61">
        <v>75000</v>
      </c>
      <c r="AG96" s="62" t="s">
        <v>38</v>
      </c>
      <c r="AH96" s="63" t="str">
        <f>[1]Data2025!W95</f>
        <v>085297578868</v>
      </c>
    </row>
    <row r="97" spans="1:36" ht="51" thickTop="1" thickBot="1">
      <c r="A97" s="41">
        <f>[1]Data2025!G96</f>
        <v>10</v>
      </c>
      <c r="B97" s="42" t="str">
        <f>[1]Data2025!K96</f>
        <v>BPU10</v>
      </c>
      <c r="C97" s="43" t="str">
        <f>[1]Data2025!D96</f>
        <v>06. 05. 02.</v>
      </c>
      <c r="D97" s="44" t="str">
        <f>[1]Data2025!C96</f>
        <v>5.1.02.04.01.0001</v>
      </c>
      <c r="E97" s="45" t="str">
        <f>[1]Data2025!E96</f>
        <v>06/01/2025</v>
      </c>
      <c r="F97" s="46" t="str">
        <f>[1]Data2025!F96</f>
        <v>08/01/2025</v>
      </c>
      <c r="G97" s="45" t="str">
        <f>[1]Data2025!H96</f>
        <v>09/01/2025</v>
      </c>
      <c r="H97" s="45" t="str">
        <f t="shared" si="3"/>
        <v>09/01/2025</v>
      </c>
      <c r="I97" s="47" t="str">
        <f>[1]Data2025!J96</f>
        <v>23/01/2025</v>
      </c>
      <c r="J97" s="48" t="str">
        <f>[1]Data2025!L96</f>
        <v>Satuan Biaya Transportasi Udara Dalam Wilayah Provinsi ke Kabupaten/Kota se Sumatera Utara (Kabupaten/Kota Yang Sudah Ada Fasilitas Bandar Udara) - Medan -Gunung Sitoli ( Bandara Binaka )-NaN</v>
      </c>
      <c r="K97" s="48">
        <f>[1]Data2025!M96</f>
        <v>0</v>
      </c>
      <c r="L97" s="49">
        <f>[1]Data2025!N96</f>
        <v>2</v>
      </c>
      <c r="M97" s="49" t="str">
        <f>[1]Data2025!O96</f>
        <v>orang / kali</v>
      </c>
      <c r="N97" s="50">
        <f>[1]Data2025!P96</f>
        <v>1865000</v>
      </c>
      <c r="O97" s="51">
        <f>[1]Data2025!Q96</f>
        <v>3730000</v>
      </c>
      <c r="P97" s="52"/>
      <c r="Q97" s="53" t="e">
        <f>VLOOKUP(K97,[1]Sheet1!$C$1:$D$101,2,)</f>
        <v>#N/A</v>
      </c>
      <c r="R97" s="54">
        <v>900000</v>
      </c>
      <c r="S97" s="55">
        <v>1020000</v>
      </c>
      <c r="T97" s="56" t="str">
        <f>[1]Data2025!T96</f>
        <v>NR. Simanullang</v>
      </c>
      <c r="U97" s="57" t="s">
        <v>60</v>
      </c>
      <c r="V97" s="56" t="e">
        <f>[1]Data2025!V96</f>
        <v>#N/A</v>
      </c>
      <c r="W97" s="56" t="e">
        <f>[1]Data2025!X96</f>
        <v>#N/A</v>
      </c>
      <c r="X97" s="57" t="s">
        <v>61</v>
      </c>
      <c r="Y97" s="57">
        <f t="shared" si="4"/>
        <v>0</v>
      </c>
      <c r="Z97" s="58">
        <f t="shared" si="5"/>
        <v>0</v>
      </c>
      <c r="AA97" s="59" t="s">
        <v>37</v>
      </c>
      <c r="AB97" s="60">
        <v>15000</v>
      </c>
      <c r="AC97" s="60">
        <v>900000</v>
      </c>
      <c r="AD97" s="54">
        <v>900000</v>
      </c>
      <c r="AE97" s="61">
        <v>810810.81081081077</v>
      </c>
      <c r="AF97" s="61">
        <v>900000</v>
      </c>
      <c r="AG97" s="62" t="s">
        <v>38</v>
      </c>
      <c r="AH97" s="63" t="e">
        <f>[1]Data2025!W96</f>
        <v>#N/A</v>
      </c>
      <c r="AI97" s="92"/>
      <c r="AJ97" s="92"/>
    </row>
    <row r="98" spans="1:36" ht="26" thickTop="1" thickBot="1">
      <c r="A98" s="41">
        <f>[1]Data2025!G97</f>
        <v>10</v>
      </c>
      <c r="B98" s="42" t="str">
        <f>[1]Data2025!K97</f>
        <v>BPU10</v>
      </c>
      <c r="C98" s="43" t="str">
        <f>[1]Data2025!D97</f>
        <v>06. 05. 02.</v>
      </c>
      <c r="D98" s="44" t="str">
        <f>[1]Data2025!C97</f>
        <v>5.1.02.04.01.0001</v>
      </c>
      <c r="E98" s="45" t="str">
        <f>[1]Data2025!E97</f>
        <v>06/01/2025</v>
      </c>
      <c r="F98" s="46" t="str">
        <f>[1]Data2025!F97</f>
        <v>08/01/2025</v>
      </c>
      <c r="G98" s="45" t="str">
        <f>[1]Data2025!H97</f>
        <v>09/01/2025</v>
      </c>
      <c r="H98" s="45" t="str">
        <f t="shared" si="3"/>
        <v>09/01/2025</v>
      </c>
      <c r="I98" s="47" t="str">
        <f>[1]Data2025!J97</f>
        <v>23/01/2025</v>
      </c>
      <c r="J98" s="48" t="str">
        <f>[1]Data2025!L97</f>
        <v>Uang Harian Perjalanan Dinas Dalam Negeri Luar Kota - Provinsi Sumatera Utara--</v>
      </c>
      <c r="K98" s="48">
        <f>[1]Data2025!M97</f>
        <v>0</v>
      </c>
      <c r="L98" s="49">
        <f>[1]Data2025!N97</f>
        <v>3</v>
      </c>
      <c r="M98" s="49" t="str">
        <f>[1]Data2025!O97</f>
        <v>orang / hari</v>
      </c>
      <c r="N98" s="50">
        <f>[1]Data2025!P97</f>
        <v>350000</v>
      </c>
      <c r="O98" s="51">
        <f>[1]Data2025!Q97</f>
        <v>1050000</v>
      </c>
      <c r="P98" s="52"/>
      <c r="Q98" s="53" t="e">
        <f>VLOOKUP(K98,[1]Sheet1!$C$1:$D$101,2,)</f>
        <v>#N/A</v>
      </c>
      <c r="R98" s="54">
        <v>2400000</v>
      </c>
      <c r="S98" s="55">
        <v>2520000</v>
      </c>
      <c r="T98" s="56" t="str">
        <f>[1]Data2025!T97</f>
        <v>NR. Simanullang</v>
      </c>
      <c r="U98" s="57" t="s">
        <v>62</v>
      </c>
      <c r="V98" s="56" t="e">
        <f>[1]Data2025!V97</f>
        <v>#N/A</v>
      </c>
      <c r="W98" s="56" t="e">
        <f>[1]Data2025!X97</f>
        <v>#N/A</v>
      </c>
      <c r="X98" s="57" t="s">
        <v>63</v>
      </c>
      <c r="Y98" s="57">
        <f t="shared" si="4"/>
        <v>0</v>
      </c>
      <c r="Z98" s="58">
        <f t="shared" si="5"/>
        <v>0</v>
      </c>
      <c r="AA98" s="59" t="s">
        <v>37</v>
      </c>
      <c r="AB98" s="60">
        <v>40000</v>
      </c>
      <c r="AC98" s="60">
        <v>2400000</v>
      </c>
      <c r="AD98" s="54">
        <v>2400000</v>
      </c>
      <c r="AE98" s="61">
        <v>2162162.1621621624</v>
      </c>
      <c r="AF98" s="61">
        <v>2400000</v>
      </c>
      <c r="AG98" s="62" t="s">
        <v>38</v>
      </c>
      <c r="AH98" s="63" t="e">
        <f>[1]Data2025!W97</f>
        <v>#N/A</v>
      </c>
    </row>
    <row r="99" spans="1:36" ht="26" thickTop="1" thickBot="1">
      <c r="A99" s="41">
        <f>[1]Data2025!G98</f>
        <v>10</v>
      </c>
      <c r="B99" s="42" t="str">
        <f>[1]Data2025!K98</f>
        <v>BPU10</v>
      </c>
      <c r="C99" s="43" t="str">
        <f>[1]Data2025!D98</f>
        <v>06. 05. 02.</v>
      </c>
      <c r="D99" s="44" t="str">
        <f>[1]Data2025!C98</f>
        <v>5.1.02.04.01.0001</v>
      </c>
      <c r="E99" s="45" t="str">
        <f>[1]Data2025!E98</f>
        <v>06/01/2025</v>
      </c>
      <c r="F99" s="46" t="str">
        <f>[1]Data2025!F98</f>
        <v>08/01/2025</v>
      </c>
      <c r="G99" s="45" t="str">
        <f>[1]Data2025!H98</f>
        <v>09/01/2025</v>
      </c>
      <c r="H99" s="45" t="str">
        <f t="shared" si="3"/>
        <v>09/01/2025</v>
      </c>
      <c r="I99" s="47" t="str">
        <f>[1]Data2025!J98</f>
        <v>23/01/2025</v>
      </c>
      <c r="J99" s="48" t="str">
        <f>[1]Data2025!L98</f>
        <v>Satuan Penginapan Perjalanan Dinas Dalam Negeri Golongan I/II - Provinsi Sumatera Utara--</v>
      </c>
      <c r="K99" s="48">
        <f>[1]Data2025!M98</f>
        <v>0</v>
      </c>
      <c r="L99" s="49">
        <f>[1]Data2025!N98</f>
        <v>2</v>
      </c>
      <c r="M99" s="49" t="str">
        <f>[1]Data2025!O98</f>
        <v>orang / hari</v>
      </c>
      <c r="N99" s="50">
        <f>[1]Data2025!P98</f>
        <v>500000</v>
      </c>
      <c r="O99" s="51">
        <f>[1]Data2025!Q98</f>
        <v>1000000</v>
      </c>
      <c r="P99" s="52"/>
      <c r="Q99" s="53" t="e">
        <f>VLOOKUP(K99,[1]Sheet1!$C$1:$D$101,2,)</f>
        <v>#N/A</v>
      </c>
      <c r="R99" s="54">
        <v>1800000</v>
      </c>
      <c r="S99" s="55">
        <v>2040000</v>
      </c>
      <c r="T99" s="56" t="str">
        <f>[1]Data2025!T98</f>
        <v>NR. Simanullang</v>
      </c>
      <c r="U99" s="57" t="s">
        <v>60</v>
      </c>
      <c r="V99" s="56" t="e">
        <f>[1]Data2025!V98</f>
        <v>#N/A</v>
      </c>
      <c r="W99" s="56" t="e">
        <f>[1]Data2025!X98</f>
        <v>#N/A</v>
      </c>
      <c r="X99" s="57" t="s">
        <v>61</v>
      </c>
      <c r="Y99" s="57">
        <f t="shared" si="4"/>
        <v>0</v>
      </c>
      <c r="Z99" s="58">
        <f t="shared" si="5"/>
        <v>0</v>
      </c>
      <c r="AA99" s="59" t="s">
        <v>37</v>
      </c>
      <c r="AB99" s="60">
        <v>15000</v>
      </c>
      <c r="AC99" s="60">
        <v>1800000</v>
      </c>
      <c r="AD99" s="54">
        <v>1800000</v>
      </c>
      <c r="AE99" s="61">
        <v>1621621.6216216215</v>
      </c>
      <c r="AF99" s="61">
        <v>1800000</v>
      </c>
      <c r="AG99" s="62" t="s">
        <v>38</v>
      </c>
      <c r="AH99" s="63" t="e">
        <f>[1]Data2025!W98</f>
        <v>#N/A</v>
      </c>
    </row>
    <row r="100" spans="1:36" ht="16.5" thickTop="1" thickBot="1">
      <c r="A100" s="41">
        <f>[1]Data2025!G99</f>
        <v>11</v>
      </c>
      <c r="B100" s="42" t="str">
        <f>[1]Data2025!K99</f>
        <v>BPU11</v>
      </c>
      <c r="C100" s="43" t="str">
        <f>[1]Data2025!D99</f>
        <v>05. 08. 10.</v>
      </c>
      <c r="D100" s="44" t="str">
        <f>[1]Data2025!C99</f>
        <v>5.1.02.02.01.0035</v>
      </c>
      <c r="E100" s="45">
        <f>[1]Data2025!E99</f>
        <v>45665</v>
      </c>
      <c r="F100" s="46" t="str">
        <f>[1]Data2025!F99</f>
        <v>09/01/2025</v>
      </c>
      <c r="G100" s="45" t="str">
        <f>[1]Data2025!H99</f>
        <v>09/01/2025</v>
      </c>
      <c r="H100" s="45" t="str">
        <f t="shared" si="3"/>
        <v>09/01/2025</v>
      </c>
      <c r="I100" s="47" t="str">
        <f>[1]Data2025!J99</f>
        <v>23/01/2025</v>
      </c>
      <c r="J100" s="48" t="str">
        <f>[1]Data2025!L99</f>
        <v>Jasa Perbaikan dan Pemeliharaan Listrik Sekolah</v>
      </c>
      <c r="K100" s="48">
        <f>[1]Data2025!M99</f>
        <v>0</v>
      </c>
      <c r="L100" s="49">
        <f>[1]Data2025!N99</f>
        <v>1</v>
      </c>
      <c r="M100" s="49" t="str">
        <f>[1]Data2025!O99</f>
        <v>kegiatan</v>
      </c>
      <c r="N100" s="50">
        <f>[1]Data2025!P99</f>
        <v>2250000</v>
      </c>
      <c r="O100" s="51">
        <f>[1]Data2025!Q99</f>
        <v>2250000</v>
      </c>
      <c r="P100" s="52"/>
      <c r="Q100" s="53" t="e">
        <f>VLOOKUP(K100,[1]Sheet1!$C$1:$D$101,2,)</f>
        <v>#N/A</v>
      </c>
      <c r="R100" s="54">
        <v>2400000</v>
      </c>
      <c r="S100" s="55">
        <v>2520000</v>
      </c>
      <c r="T100" s="56" t="str">
        <f>[1]Data2025!T99</f>
        <v>Zefrianus Zai</v>
      </c>
      <c r="U100" s="57" t="s">
        <v>62</v>
      </c>
      <c r="V100" s="56" t="e">
        <f>[1]Data2025!V99</f>
        <v>#N/A</v>
      </c>
      <c r="W100" s="56" t="e">
        <f>[1]Data2025!X99</f>
        <v>#N/A</v>
      </c>
      <c r="X100" s="57" t="s">
        <v>63</v>
      </c>
      <c r="Y100" s="57">
        <f t="shared" si="4"/>
        <v>0</v>
      </c>
      <c r="Z100" s="58">
        <f t="shared" si="5"/>
        <v>0</v>
      </c>
      <c r="AA100" s="59" t="s">
        <v>37</v>
      </c>
      <c r="AB100" s="60">
        <v>40000</v>
      </c>
      <c r="AC100" s="60">
        <v>2400000</v>
      </c>
      <c r="AD100" s="54">
        <v>2400000</v>
      </c>
      <c r="AE100" s="61">
        <v>2162162.1621621624</v>
      </c>
      <c r="AF100" s="61">
        <v>2400000</v>
      </c>
      <c r="AG100" s="62" t="s">
        <v>38</v>
      </c>
      <c r="AH100" s="63" t="e">
        <f>[1]Data2025!W99</f>
        <v>#N/A</v>
      </c>
    </row>
    <row r="101" spans="1:36" s="40" customFormat="1" ht="26" thickTop="1" thickBot="1">
      <c r="A101" s="17">
        <f>[1]Data2025!G100</f>
        <v>12</v>
      </c>
      <c r="B101" s="18" t="str">
        <f>[1]Data2025!K100</f>
        <v>BPU12</v>
      </c>
      <c r="C101" s="19" t="str">
        <f>[1]Data2025!D100</f>
        <v>04. 06. 13.</v>
      </c>
      <c r="D101" s="20" t="str">
        <f>[1]Data2025!C100</f>
        <v>5.1.02.01.01.0052</v>
      </c>
      <c r="E101" s="21">
        <f>[1]Data2025!E100</f>
        <v>45666</v>
      </c>
      <c r="F101" s="22" t="str">
        <f>[1]Data2025!F100</f>
        <v>10/01/2025</v>
      </c>
      <c r="G101" s="21" t="str">
        <f>[1]Data2025!H100</f>
        <v>11/01/2025</v>
      </c>
      <c r="H101" s="21" t="str">
        <f t="shared" si="3"/>
        <v>11/01/2025</v>
      </c>
      <c r="I101" s="23" t="str">
        <f>[1]Data2025!J100</f>
        <v>23/01/2025</v>
      </c>
      <c r="J101" s="24" t="str">
        <f>[1]Data2025!L100</f>
        <v>Kudapan pada Kegiatan Pelatihan Peningkatan Kompetensi Guru untuk memperkuat numerasi</v>
      </c>
      <c r="K101" s="24" t="str">
        <f>[1]Data2025!M100</f>
        <v>Kue Besar</v>
      </c>
      <c r="L101" s="25">
        <f>[1]Data2025!N100</f>
        <v>60</v>
      </c>
      <c r="M101" s="25" t="str">
        <f>[1]Data2025!O100</f>
        <v>kotak</v>
      </c>
      <c r="N101" s="26">
        <f>[1]Data2025!P100</f>
        <v>15000</v>
      </c>
      <c r="O101" s="27">
        <f>[1]Data2025!Q100</f>
        <v>900000</v>
      </c>
      <c r="P101" s="28" t="s">
        <v>58</v>
      </c>
      <c r="Q101" s="29" t="str">
        <f>VLOOKUP(K101,[1]Sheet1!$C$1:$D$101,2,)</f>
        <v>Kue (bahan tepung terigu, gula, telur, mentega; berat 100gr, panjang 15cm, lebar 8 cm)</v>
      </c>
      <c r="R101" s="30">
        <v>900000</v>
      </c>
      <c r="S101" s="31">
        <v>1020000</v>
      </c>
      <c r="T101" s="32" t="str">
        <f>[1]Data2025!T100</f>
        <v>Rumah Roti Helena</v>
      </c>
      <c r="U101" s="33" t="s">
        <v>60</v>
      </c>
      <c r="V101" s="32" t="str">
        <f>[1]Data2025!V100</f>
        <v>Fudi Supiyanto</v>
      </c>
      <c r="W101" s="32" t="str">
        <f>[1]Data2025!X100</f>
        <v>Jln Ahmad Yani No.89 Kel. Pasar Telukdalam, Nias Selatan</v>
      </c>
      <c r="X101" s="33" t="s">
        <v>61</v>
      </c>
      <c r="Y101" s="33" t="str">
        <f t="shared" si="4"/>
        <v>Kudapan</v>
      </c>
      <c r="Z101" s="34" t="str">
        <f t="shared" si="5"/>
        <v>Kudapan</v>
      </c>
      <c r="AA101" s="35" t="s">
        <v>37</v>
      </c>
      <c r="AB101" s="36">
        <v>15000</v>
      </c>
      <c r="AC101" s="36">
        <v>900000</v>
      </c>
      <c r="AD101" s="30">
        <v>900000</v>
      </c>
      <c r="AE101" s="37">
        <v>810810.81081081077</v>
      </c>
      <c r="AF101" s="37">
        <v>900000</v>
      </c>
      <c r="AG101" s="38" t="s">
        <v>38</v>
      </c>
      <c r="AH101" s="39" t="str">
        <f>[1]Data2025!W100</f>
        <v>082164895397</v>
      </c>
    </row>
    <row r="102" spans="1:36" ht="26" thickTop="1" thickBot="1">
      <c r="A102" s="41">
        <f>[1]Data2025!G101</f>
        <v>13</v>
      </c>
      <c r="B102" s="42" t="str">
        <f>[1]Data2025!K101</f>
        <v>BPU13</v>
      </c>
      <c r="C102" s="43" t="str">
        <f>[1]Data2025!D101</f>
        <v>04. 06. 13.</v>
      </c>
      <c r="D102" s="44" t="str">
        <f>[1]Data2025!C101</f>
        <v>5.1.02.01.01.0052</v>
      </c>
      <c r="E102" s="45">
        <f>[1]Data2025!E101</f>
        <v>45666</v>
      </c>
      <c r="F102" s="46" t="str">
        <f>[1]Data2025!F101</f>
        <v>10/01/2025</v>
      </c>
      <c r="G102" s="45" t="str">
        <f>[1]Data2025!H101</f>
        <v>11/01/2025</v>
      </c>
      <c r="H102" s="45" t="str">
        <f t="shared" si="3"/>
        <v>11/01/2025</v>
      </c>
      <c r="I102" s="47" t="str">
        <f>[1]Data2025!J101</f>
        <v>23/01/2025</v>
      </c>
      <c r="J102" s="48" t="str">
        <f>[1]Data2025!L101</f>
        <v>Konsumsi pada Kegiatan Pelatihan Peningkatan Kompetensi Guru untuk memperkuat numerasi</v>
      </c>
      <c r="K102" s="48" t="str">
        <f>[1]Data2025!M101</f>
        <v>Nasi Kotak</v>
      </c>
      <c r="L102" s="49">
        <f>[1]Data2025!N101</f>
        <v>60</v>
      </c>
      <c r="M102" s="49" t="str">
        <f>[1]Data2025!O101</f>
        <v>kotak</v>
      </c>
      <c r="N102" s="50">
        <f>[1]Data2025!P101</f>
        <v>40000</v>
      </c>
      <c r="O102" s="51">
        <f>[1]Data2025!Q101</f>
        <v>2400000</v>
      </c>
      <c r="P102" s="52" t="s">
        <v>59</v>
      </c>
      <c r="Q102" s="53" t="str">
        <f>VLOOKUP(K102,[1]Sheet1!$C$1:$D$101,2,)</f>
        <v>Nasi Kotak (isi: Nasi putih;Sop daging; Sayur; Berat 1000gr; Dimensi; (PxLxT) 25cmx25cmx10cm)</v>
      </c>
      <c r="R102" s="54">
        <v>2400000</v>
      </c>
      <c r="S102" s="55">
        <v>2520000</v>
      </c>
      <c r="T102" s="56" t="str">
        <f>[1]Data2025!T101</f>
        <v>Resto JFC Esther</v>
      </c>
      <c r="U102" s="57" t="s">
        <v>62</v>
      </c>
      <c r="V102" s="56" t="str">
        <f>[1]Data2025!V101</f>
        <v>Limaati Daeli</v>
      </c>
      <c r="W102" s="56" t="str">
        <f>[1]Data2025!X101</f>
        <v>Jl. Saonigeho Km. 2 Telukdalam - Nias Selatan</v>
      </c>
      <c r="X102" s="57" t="s">
        <v>63</v>
      </c>
      <c r="Y102" s="57" t="str">
        <f t="shared" si="4"/>
        <v>Konsumsi</v>
      </c>
      <c r="Z102" s="58" t="str">
        <f t="shared" si="5"/>
        <v>Konsumsi</v>
      </c>
      <c r="AA102" s="59" t="s">
        <v>37</v>
      </c>
      <c r="AB102" s="60">
        <v>40000</v>
      </c>
      <c r="AC102" s="60">
        <v>2400000</v>
      </c>
      <c r="AD102" s="54">
        <v>2400000</v>
      </c>
      <c r="AE102" s="61">
        <v>2162162.1621621624</v>
      </c>
      <c r="AF102" s="61">
        <v>2400000</v>
      </c>
      <c r="AG102" s="62" t="s">
        <v>38</v>
      </c>
      <c r="AH102" s="63" t="str">
        <f>[1]Data2025!W101</f>
        <v>085297578868</v>
      </c>
    </row>
    <row r="103" spans="1:36" s="40" customFormat="1" ht="38.5" thickTop="1" thickBot="1">
      <c r="A103" s="17">
        <f>[1]Data2025!G102</f>
        <v>14</v>
      </c>
      <c r="B103" s="18" t="str">
        <f>[1]Data2025!K102</f>
        <v>BPU14</v>
      </c>
      <c r="C103" s="19" t="str">
        <f>[1]Data2025!D102</f>
        <v>02.06.01.</v>
      </c>
      <c r="D103" s="20" t="str">
        <f>[1]Data2025!C102</f>
        <v>5.1.02.01.01.0052</v>
      </c>
      <c r="E103" s="21" t="str">
        <f>[1]Data2025!E102</f>
        <v>11/01/2025</v>
      </c>
      <c r="F103" s="22" t="str">
        <f>[1]Data2025!F102</f>
        <v>13/01/2025</v>
      </c>
      <c r="G103" s="21" t="str">
        <f>[1]Data2025!H102</f>
        <v>14/01/2025</v>
      </c>
      <c r="H103" s="21" t="str">
        <f t="shared" si="3"/>
        <v>14/01/2025</v>
      </c>
      <c r="I103" s="23" t="str">
        <f>[1]Data2025!J102</f>
        <v>23/01/2025</v>
      </c>
      <c r="J103" s="24" t="str">
        <f>[1]Data2025!L102</f>
        <v>Kudapan pada Kegiatan diskusi kolaborasi pengembangan RPP dalam Komunitas Belajar (termasuk KKG/MGMP/MGMPS/MGPMPK)</v>
      </c>
      <c r="K103" s="24" t="str">
        <f>[1]Data2025!M102</f>
        <v>Kue Besar</v>
      </c>
      <c r="L103" s="25">
        <f>[1]Data2025!N102</f>
        <v>120</v>
      </c>
      <c r="M103" s="25" t="str">
        <f>[1]Data2025!O102</f>
        <v>kotak</v>
      </c>
      <c r="N103" s="26">
        <f>[1]Data2025!P102</f>
        <v>15000</v>
      </c>
      <c r="O103" s="27">
        <f>[1]Data2025!Q102</f>
        <v>1800000</v>
      </c>
      <c r="P103" s="28" t="s">
        <v>58</v>
      </c>
      <c r="Q103" s="29" t="str">
        <f>VLOOKUP(K103,[1]Sheet1!$C$1:$D$101,2,)</f>
        <v>Kue (bahan tepung terigu, gula, telur, mentega; berat 100gr, panjang 15cm, lebar 8 cm)</v>
      </c>
      <c r="R103" s="30">
        <v>900000</v>
      </c>
      <c r="S103" s="31">
        <v>1020000</v>
      </c>
      <c r="T103" s="32" t="str">
        <f>[1]Data2025!T102</f>
        <v>Rumah Roti Helena</v>
      </c>
      <c r="U103" s="33" t="s">
        <v>60</v>
      </c>
      <c r="V103" s="32" t="str">
        <f>[1]Data2025!V102</f>
        <v>Fudi Supiyanto</v>
      </c>
      <c r="W103" s="32" t="str">
        <f>[1]Data2025!X102</f>
        <v>Jln Ahmad Yani No.89 Kel. Pasar Telukdalam, Nias Selatan</v>
      </c>
      <c r="X103" s="33" t="s">
        <v>61</v>
      </c>
      <c r="Y103" s="33" t="str">
        <f t="shared" si="4"/>
        <v>Kudapan</v>
      </c>
      <c r="Z103" s="34" t="str">
        <f t="shared" si="5"/>
        <v>Kudapan</v>
      </c>
      <c r="AA103" s="35" t="s">
        <v>37</v>
      </c>
      <c r="AB103" s="36">
        <v>15000</v>
      </c>
      <c r="AC103" s="36">
        <v>900000</v>
      </c>
      <c r="AD103" s="30">
        <v>900000</v>
      </c>
      <c r="AE103" s="37">
        <v>810810.81081081077</v>
      </c>
      <c r="AF103" s="37">
        <v>900000</v>
      </c>
      <c r="AG103" s="38" t="s">
        <v>38</v>
      </c>
      <c r="AH103" s="39" t="str">
        <f>[1]Data2025!W102</f>
        <v>082164895397</v>
      </c>
    </row>
    <row r="104" spans="1:36" ht="38.5" thickTop="1" thickBot="1">
      <c r="A104" s="41">
        <f>[1]Data2025!G103</f>
        <v>15</v>
      </c>
      <c r="B104" s="42" t="str">
        <f>[1]Data2025!K103</f>
        <v>BPU15</v>
      </c>
      <c r="C104" s="43" t="str">
        <f>[1]Data2025!D103</f>
        <v>02.06.01.</v>
      </c>
      <c r="D104" s="44" t="str">
        <f>[1]Data2025!C103</f>
        <v>5.1.02.01.01.0052</v>
      </c>
      <c r="E104" s="45" t="str">
        <f>[1]Data2025!E103</f>
        <v>11/01/2025</v>
      </c>
      <c r="F104" s="46" t="str">
        <f>[1]Data2025!F103</f>
        <v>13/01/2025</v>
      </c>
      <c r="G104" s="45" t="str">
        <f>[1]Data2025!H103</f>
        <v>14/01/2025</v>
      </c>
      <c r="H104" s="45" t="str">
        <f t="shared" si="3"/>
        <v>14/01/2025</v>
      </c>
      <c r="I104" s="47" t="str">
        <f>[1]Data2025!J103</f>
        <v>23/01/2025</v>
      </c>
      <c r="J104" s="48" t="str">
        <f>[1]Data2025!L103</f>
        <v>Konsumsi Kegiatan diskusi kolaborasi pengembangan RPP dalam Komunitas Belajar (termasuk KKG/MGMP/MGMPS/MGPMPK)</v>
      </c>
      <c r="K104" s="48" t="str">
        <f>[1]Data2025!M103</f>
        <v>Nasi Kotak</v>
      </c>
      <c r="L104" s="49">
        <f>[1]Data2025!N103</f>
        <v>60</v>
      </c>
      <c r="M104" s="49" t="str">
        <f>[1]Data2025!O103</f>
        <v>kotak</v>
      </c>
      <c r="N104" s="50">
        <f>[1]Data2025!P103</f>
        <v>40000</v>
      </c>
      <c r="O104" s="51">
        <f>[1]Data2025!Q103</f>
        <v>2400000</v>
      </c>
      <c r="P104" s="52" t="s">
        <v>59</v>
      </c>
      <c r="Q104" s="53" t="str">
        <f>VLOOKUP(K104,[1]Sheet1!$C$1:$D$101,2,)</f>
        <v>Nasi Kotak (isi: Nasi putih;Sop daging; Sayur; Berat 1000gr; Dimensi; (PxLxT) 25cmx25cmx10cm)</v>
      </c>
      <c r="R104" s="54">
        <v>2400000</v>
      </c>
      <c r="S104" s="55">
        <v>2520000</v>
      </c>
      <c r="T104" s="56" t="str">
        <f>[1]Data2025!T103</f>
        <v>Resto JFC Esther</v>
      </c>
      <c r="U104" s="57" t="s">
        <v>62</v>
      </c>
      <c r="V104" s="56" t="str">
        <f>[1]Data2025!V103</f>
        <v>Limaati Daeli</v>
      </c>
      <c r="W104" s="56" t="str">
        <f>[1]Data2025!X103</f>
        <v>Jl. Saonigeho Km. 2 Telukdalam - Nias Selatan</v>
      </c>
      <c r="X104" s="57" t="s">
        <v>63</v>
      </c>
      <c r="Y104" s="57" t="str">
        <f t="shared" si="4"/>
        <v>Konsumsi</v>
      </c>
      <c r="Z104" s="58" t="str">
        <f t="shared" si="5"/>
        <v>Konsumsi</v>
      </c>
      <c r="AA104" s="59" t="s">
        <v>37</v>
      </c>
      <c r="AB104" s="60">
        <v>40000</v>
      </c>
      <c r="AC104" s="60">
        <v>2400000</v>
      </c>
      <c r="AD104" s="54">
        <v>2400000</v>
      </c>
      <c r="AE104" s="61">
        <v>2162162.1621621624</v>
      </c>
      <c r="AF104" s="61">
        <v>2400000</v>
      </c>
      <c r="AG104" s="62" t="s">
        <v>38</v>
      </c>
      <c r="AH104" s="63" t="str">
        <f>[1]Data2025!W103</f>
        <v>085297578868</v>
      </c>
    </row>
    <row r="105" spans="1:36" ht="16.5" thickTop="1" thickBot="1">
      <c r="A105" s="41">
        <f>[1]Data2025!G104</f>
        <v>16</v>
      </c>
      <c r="B105" s="42" t="str">
        <f>[1]Data2025!K104</f>
        <v>BPU16</v>
      </c>
      <c r="C105" s="43" t="str">
        <f>[1]Data2025!D104</f>
        <v>03. 03. 21.</v>
      </c>
      <c r="D105" s="44" t="str">
        <f>[1]Data2025!C104</f>
        <v>5.1.02.01.01.0026</v>
      </c>
      <c r="E105" s="45">
        <f>[1]Data2025!E104</f>
        <v>45673</v>
      </c>
      <c r="F105" s="46" t="str">
        <f>[1]Data2025!F104</f>
        <v>17/01/2025</v>
      </c>
      <c r="G105" s="45" t="str">
        <f>[1]Data2025!H104</f>
        <v>18/01/2025</v>
      </c>
      <c r="H105" s="45" t="str">
        <f t="shared" si="3"/>
        <v>18/01/2025</v>
      </c>
      <c r="I105" s="47" t="str">
        <f>[1]Data2025!J104</f>
        <v>23/01/2025</v>
      </c>
      <c r="J105" s="48" t="str">
        <f>[1]Data2025!L104</f>
        <v>Spanduk Uk. 1 x 6 meter-</v>
      </c>
      <c r="K105" s="48" t="str">
        <f>[1]Data2025!M104</f>
        <v>Spanduk Uk. 1 x 6 meter-</v>
      </c>
      <c r="L105" s="49">
        <f>[1]Data2025!N104</f>
        <v>2</v>
      </c>
      <c r="M105" s="49" t="str">
        <f>[1]Data2025!O104</f>
        <v>buah</v>
      </c>
      <c r="N105" s="50">
        <f>[1]Data2025!P104</f>
        <v>300000</v>
      </c>
      <c r="O105" s="51">
        <f>[1]Data2025!Q104</f>
        <v>600000</v>
      </c>
      <c r="P105" s="52" t="s">
        <v>64</v>
      </c>
      <c r="Q105" s="53" t="e">
        <f>VLOOKUP(K105,[1]Sheet1!$C$1:$D$101,2,)</f>
        <v>#N/A</v>
      </c>
      <c r="R105" s="54">
        <v>1250000</v>
      </c>
      <c r="S105" s="55">
        <v>1300000</v>
      </c>
      <c r="T105" s="56" t="str">
        <f>[1]Data2025!T104</f>
        <v>Ud. BALIZATO</v>
      </c>
      <c r="U105" s="57" t="s">
        <v>60</v>
      </c>
      <c r="V105" s="56" t="str">
        <f>[1]Data2025!V104</f>
        <v>Pieter B.P. Loi</v>
      </c>
      <c r="W105" s="56" t="str">
        <f>[1]Data2025!X104</f>
        <v>Jl. Diponegoro Kel. Pasar Telukdalam - Nias Selatan</v>
      </c>
      <c r="X105" s="57" t="s">
        <v>61</v>
      </c>
      <c r="Y105" s="57" t="str">
        <f t="shared" si="4"/>
        <v>Spanduk</v>
      </c>
      <c r="Z105" s="58" t="str">
        <f t="shared" si="5"/>
        <v>Spanduk</v>
      </c>
      <c r="AA105" s="59" t="s">
        <v>65</v>
      </c>
      <c r="AB105" s="60">
        <v>50000</v>
      </c>
      <c r="AC105" s="60">
        <v>1250000</v>
      </c>
      <c r="AD105" s="54">
        <v>1250000</v>
      </c>
      <c r="AE105" s="61">
        <v>1126126.1261261262</v>
      </c>
      <c r="AF105" s="61">
        <v>1250000</v>
      </c>
      <c r="AG105" s="62" t="s">
        <v>38</v>
      </c>
      <c r="AH105" s="63" t="str">
        <f>[1]Data2025!W104</f>
        <v>082166506229</v>
      </c>
    </row>
    <row r="106" spans="1:36" ht="26" thickTop="1" thickBot="1">
      <c r="A106" s="41">
        <f>[1]Data2025!G105</f>
        <v>17</v>
      </c>
      <c r="B106" s="42" t="str">
        <f>[1]Data2025!K105</f>
        <v>BPU17</v>
      </c>
      <c r="C106" s="43" t="str">
        <f>[1]Data2025!D105</f>
        <v>03. 03. 21.</v>
      </c>
      <c r="D106" s="44" t="str">
        <f>[1]Data2025!C105</f>
        <v>5.1.02.01.01.0052</v>
      </c>
      <c r="E106" s="45">
        <f>[1]Data2025!E105</f>
        <v>45673</v>
      </c>
      <c r="F106" s="46" t="str">
        <f>[1]Data2025!F105</f>
        <v>17/01/2025</v>
      </c>
      <c r="G106" s="45" t="str">
        <f>[1]Data2025!H105</f>
        <v>18/01/2025</v>
      </c>
      <c r="H106" s="45" t="str">
        <f t="shared" si="3"/>
        <v>18/01/2025</v>
      </c>
      <c r="I106" s="47" t="str">
        <f>[1]Data2025!J105</f>
        <v>23/01/2025</v>
      </c>
      <c r="J106" s="48" t="str">
        <f>[1]Data2025!L105</f>
        <v>Konsumsi Pada Kegiatan Syukuran Hari Raya Natal dan Tahun Baru 2024</v>
      </c>
      <c r="K106" s="48" t="str">
        <f>[1]Data2025!M105</f>
        <v>Nasi Kotak</v>
      </c>
      <c r="L106" s="49">
        <f>[1]Data2025!N105</f>
        <v>60</v>
      </c>
      <c r="M106" s="49" t="str">
        <f>[1]Data2025!O105</f>
        <v>kotak</v>
      </c>
      <c r="N106" s="50">
        <f>[1]Data2025!P105</f>
        <v>40000</v>
      </c>
      <c r="O106" s="51">
        <f>[1]Data2025!Q105</f>
        <v>2400000</v>
      </c>
      <c r="P106" s="52" t="s">
        <v>59</v>
      </c>
      <c r="Q106" s="53" t="str">
        <f>VLOOKUP(K106,[1]Sheet1!$C$1:$D$101,2,)</f>
        <v>Nasi Kotak (isi: Nasi putih;Sop daging; Sayur; Berat 1000gr; Dimensi; (PxLxT) 25cmx25cmx10cm)</v>
      </c>
      <c r="R106" s="54">
        <v>1633800</v>
      </c>
      <c r="S106" s="55">
        <v>1675800</v>
      </c>
      <c r="T106" s="56" t="str">
        <f>[1]Data2025!T105</f>
        <v>Resto JFC Esther</v>
      </c>
      <c r="U106" s="57" t="s">
        <v>66</v>
      </c>
      <c r="V106" s="56" t="str">
        <f>[1]Data2025!V105</f>
        <v>Limaati Daeli</v>
      </c>
      <c r="W106" s="56" t="str">
        <f>[1]Data2025!X105</f>
        <v>Jl. Saonigeho Km. 2 Telukdalam - Nias Selatan</v>
      </c>
      <c r="X106" s="56" t="s">
        <v>67</v>
      </c>
      <c r="Y106" s="57" t="str">
        <f t="shared" si="4"/>
        <v>Konsumsi</v>
      </c>
      <c r="Z106" s="58" t="str">
        <f t="shared" si="5"/>
        <v>Konsumsi</v>
      </c>
      <c r="AA106" s="59" t="s">
        <v>42</v>
      </c>
      <c r="AB106" s="60">
        <v>77800</v>
      </c>
      <c r="AC106" s="60">
        <v>1633800</v>
      </c>
      <c r="AD106" s="54">
        <v>1633800</v>
      </c>
      <c r="AE106" s="61">
        <v>1471891.8918918918</v>
      </c>
      <c r="AF106" s="61">
        <v>1633800</v>
      </c>
      <c r="AG106" s="62" t="s">
        <v>38</v>
      </c>
      <c r="AH106" s="63" t="str">
        <f>[1]Data2025!W105</f>
        <v>085297578868</v>
      </c>
    </row>
    <row r="107" spans="1:36" ht="30" thickTop="1" thickBot="1">
      <c r="A107" s="41">
        <f>[1]Data2025!G106</f>
        <v>18</v>
      </c>
      <c r="B107" s="42" t="str">
        <f>[1]Data2025!K106</f>
        <v>BPU18</v>
      </c>
      <c r="C107" s="43" t="str">
        <f>[1]Data2025!D106</f>
        <v>06. 05. 01.</v>
      </c>
      <c r="D107" s="44" t="str">
        <f>[1]Data2025!C106</f>
        <v>5.1.02.01.01.0052</v>
      </c>
      <c r="E107" s="45">
        <f>[1]Data2025!E106</f>
        <v>45674</v>
      </c>
      <c r="F107" s="46" t="str">
        <f>[1]Data2025!F106</f>
        <v>18/01/2025</v>
      </c>
      <c r="G107" s="45" t="str">
        <f>[1]Data2025!H106</f>
        <v>20/01/2025</v>
      </c>
      <c r="H107" s="45" t="str">
        <f t="shared" si="3"/>
        <v>20/01/2025</v>
      </c>
      <c r="I107" s="47" t="str">
        <f>[1]Data2025!J106</f>
        <v>23/01/2025</v>
      </c>
      <c r="J107" s="48" t="str">
        <f>[1]Data2025!L106</f>
        <v>Nasi Kotak Penyusunan RKAS Tahun 2025</v>
      </c>
      <c r="K107" s="48" t="str">
        <f>[1]Data2025!M106</f>
        <v>Nasi Kotak</v>
      </c>
      <c r="L107" s="49">
        <f>[1]Data2025!N106</f>
        <v>80</v>
      </c>
      <c r="M107" s="49" t="str">
        <f>[1]Data2025!O106</f>
        <v>kotak</v>
      </c>
      <c r="N107" s="50">
        <f>[1]Data2025!P106</f>
        <v>40000</v>
      </c>
      <c r="O107" s="51">
        <f>[1]Data2025!Q106</f>
        <v>3200000</v>
      </c>
      <c r="P107" s="52" t="s">
        <v>59</v>
      </c>
      <c r="Q107" s="53" t="str">
        <f>VLOOKUP(K107,[1]Sheet1!$C$1:$D$101,2,)</f>
        <v>Nasi Kotak (isi: Nasi putih;Sop daging; Sayur; Berat 1000gr; Dimensi; (PxLxT) 25cmx25cmx10cm)</v>
      </c>
      <c r="R107" s="54">
        <v>600000</v>
      </c>
      <c r="S107" s="55">
        <v>604000</v>
      </c>
      <c r="T107" s="56" t="str">
        <f>[1]Data2025!T106</f>
        <v>Resto JFC Esther</v>
      </c>
      <c r="U107" s="57" t="s">
        <v>68</v>
      </c>
      <c r="V107" s="56" t="str">
        <f>[1]Data2025!V106</f>
        <v>Limaati Daeli</v>
      </c>
      <c r="W107" s="56" t="str">
        <f>[1]Data2025!X106</f>
        <v>Jl. Saonigeho Km. 2 Telukdalam - Nias Selatan</v>
      </c>
      <c r="X107" s="93" t="s">
        <v>36</v>
      </c>
      <c r="Y107" s="57" t="str">
        <f t="shared" si="4"/>
        <v>Konsumsi</v>
      </c>
      <c r="Z107" s="58" t="str">
        <f t="shared" si="5"/>
        <v>Konsumsi</v>
      </c>
      <c r="AA107" s="59" t="s">
        <v>42</v>
      </c>
      <c r="AB107" s="60">
        <v>300000</v>
      </c>
      <c r="AC107" s="60">
        <v>600000</v>
      </c>
      <c r="AD107" s="54">
        <v>600000</v>
      </c>
      <c r="AE107" s="61">
        <v>540540.54054054059</v>
      </c>
      <c r="AF107" s="61">
        <v>600000</v>
      </c>
      <c r="AG107" s="62" t="s">
        <v>38</v>
      </c>
      <c r="AH107" s="63" t="str">
        <f>[1]Data2025!W106</f>
        <v>085297578868</v>
      </c>
    </row>
    <row r="108" spans="1:36" s="40" customFormat="1" ht="16.5" thickTop="1" thickBot="1">
      <c r="A108" s="17">
        <f>[1]Data2025!G107</f>
        <v>19</v>
      </c>
      <c r="B108" s="18" t="str">
        <f>[1]Data2025!K107</f>
        <v>BPU19</v>
      </c>
      <c r="C108" s="19" t="str">
        <f>[1]Data2025!D107</f>
        <v>06. 05. 01.</v>
      </c>
      <c r="D108" s="20" t="str">
        <f>[1]Data2025!C107</f>
        <v>5.1.02.01.01.0052</v>
      </c>
      <c r="E108" s="21">
        <f>[1]Data2025!E107</f>
        <v>45674</v>
      </c>
      <c r="F108" s="22" t="str">
        <f>[1]Data2025!F107</f>
        <v>18/01/2025</v>
      </c>
      <c r="G108" s="21" t="str">
        <f>[1]Data2025!H107</f>
        <v>20/01/2025</v>
      </c>
      <c r="H108" s="21" t="str">
        <f t="shared" si="3"/>
        <v>20/01/2025</v>
      </c>
      <c r="I108" s="23" t="str">
        <f>[1]Data2025!J107</f>
        <v>23/01/2025</v>
      </c>
      <c r="J108" s="24" t="str">
        <f>[1]Data2025!L107</f>
        <v>Kudapan Penyusunan RKAS Tahun 2025</v>
      </c>
      <c r="K108" s="24" t="str">
        <f>[1]Data2025!M107</f>
        <v>Kue Besar</v>
      </c>
      <c r="L108" s="25">
        <f>[1]Data2025!N107</f>
        <v>80</v>
      </c>
      <c r="M108" s="25" t="str">
        <f>[1]Data2025!O107</f>
        <v>kotak</v>
      </c>
      <c r="N108" s="26">
        <f>[1]Data2025!P107</f>
        <v>15000</v>
      </c>
      <c r="O108" s="27">
        <f>[1]Data2025!Q107</f>
        <v>1200000</v>
      </c>
      <c r="P108" s="28" t="s">
        <v>58</v>
      </c>
      <c r="Q108" s="29" t="str">
        <f>VLOOKUP(K108,[1]Sheet1!$C$1:$D$101,2,)</f>
        <v>Kue (bahan tepung terigu, gula, telur, mentega; berat 100gr, panjang 15cm, lebar 8 cm)</v>
      </c>
      <c r="R108" s="30">
        <v>4500000</v>
      </c>
      <c r="S108" s="31">
        <v>5100000</v>
      </c>
      <c r="T108" s="32" t="str">
        <f>[1]Data2025!T107</f>
        <v>Rumah Roti Helena</v>
      </c>
      <c r="U108" s="33" t="s">
        <v>60</v>
      </c>
      <c r="V108" s="32" t="str">
        <f>[1]Data2025!V107</f>
        <v>Fudi Supiyanto</v>
      </c>
      <c r="W108" s="32" t="str">
        <f>[1]Data2025!X107</f>
        <v>Jln Ahmad Yani No.89 Kel. Pasar Telukdalam, Nias Selatan</v>
      </c>
      <c r="X108" s="33" t="s">
        <v>61</v>
      </c>
      <c r="Y108" s="33" t="str">
        <f t="shared" si="4"/>
        <v>Kudapan</v>
      </c>
      <c r="Z108" s="34" t="str">
        <f t="shared" si="5"/>
        <v>Kudapan</v>
      </c>
      <c r="AA108" s="35" t="s">
        <v>37</v>
      </c>
      <c r="AB108" s="36">
        <v>15000</v>
      </c>
      <c r="AC108" s="36">
        <v>4500000</v>
      </c>
      <c r="AD108" s="30">
        <v>4500000</v>
      </c>
      <c r="AE108" s="37">
        <v>4054054.054054054</v>
      </c>
      <c r="AF108" s="37">
        <v>4500000</v>
      </c>
      <c r="AG108" s="38" t="s">
        <v>38</v>
      </c>
      <c r="AH108" s="39" t="str">
        <f>[1]Data2025!W107</f>
        <v>082164895397</v>
      </c>
    </row>
    <row r="109" spans="1:36" s="40" customFormat="1" ht="16.5" thickTop="1" thickBot="1">
      <c r="A109" s="17">
        <f>[1]Data2025!G108</f>
        <v>20</v>
      </c>
      <c r="B109" s="18" t="str">
        <f>[1]Data2025!K108</f>
        <v>BPU20</v>
      </c>
      <c r="C109" s="19" t="str">
        <f>[1]Data2025!D108</f>
        <v>08. 04. 10.</v>
      </c>
      <c r="D109" s="20" t="str">
        <f>[1]Data2025!C108</f>
        <v>5.1.02.01.01.0052</v>
      </c>
      <c r="E109" s="21">
        <f>[1]Data2025!E108</f>
        <v>45675</v>
      </c>
      <c r="F109" s="22" t="str">
        <f>[1]Data2025!F108</f>
        <v>20/01/2025</v>
      </c>
      <c r="G109" s="21" t="str">
        <f>[1]Data2025!H108</f>
        <v>21/01/2025</v>
      </c>
      <c r="H109" s="21" t="str">
        <f t="shared" si="3"/>
        <v>21/01/2025</v>
      </c>
      <c r="I109" s="23" t="str">
        <f>[1]Data2025!J108</f>
        <v>23/01/2025</v>
      </c>
      <c r="J109" s="24" t="str">
        <f>[1]Data2025!L108</f>
        <v>Kudapan pada kegiatan Rapat Penyusunan KKM</v>
      </c>
      <c r="K109" s="24" t="str">
        <f>[1]Data2025!M108</f>
        <v>Kue Besar</v>
      </c>
      <c r="L109" s="25">
        <f>[1]Data2025!N108</f>
        <v>60</v>
      </c>
      <c r="M109" s="25" t="str">
        <f>[1]Data2025!O108</f>
        <v>kotak</v>
      </c>
      <c r="N109" s="26">
        <f>[1]Data2025!P108</f>
        <v>15000</v>
      </c>
      <c r="O109" s="27">
        <f>[1]Data2025!Q108</f>
        <v>900000</v>
      </c>
      <c r="P109" s="28" t="s">
        <v>58</v>
      </c>
      <c r="Q109" s="29" t="str">
        <f>VLOOKUP(K109,[1]Sheet1!$C$1:$D$101,2,)</f>
        <v>Kue (bahan tepung terigu, gula, telur, mentega; berat 100gr, panjang 15cm, lebar 8 cm)</v>
      </c>
      <c r="R109" s="30">
        <v>2400000</v>
      </c>
      <c r="S109" s="31">
        <v>2520000</v>
      </c>
      <c r="T109" s="32" t="str">
        <f>[1]Data2025!T108</f>
        <v>Rumah Roti Helena</v>
      </c>
      <c r="U109" s="33" t="s">
        <v>62</v>
      </c>
      <c r="V109" s="32" t="str">
        <f>[1]Data2025!V108</f>
        <v>Fudi Supiyanto</v>
      </c>
      <c r="W109" s="32" t="str">
        <f>[1]Data2025!X108</f>
        <v>Jln Ahmad Yani No.89 Kel. Pasar Telukdalam, Nias Selatan</v>
      </c>
      <c r="X109" s="33" t="s">
        <v>63</v>
      </c>
      <c r="Y109" s="33" t="str">
        <f t="shared" si="4"/>
        <v>Kudapan</v>
      </c>
      <c r="Z109" s="34" t="str">
        <f t="shared" si="5"/>
        <v>Kudapan</v>
      </c>
      <c r="AA109" s="35" t="s">
        <v>37</v>
      </c>
      <c r="AB109" s="36">
        <v>40000</v>
      </c>
      <c r="AC109" s="36">
        <v>2400000</v>
      </c>
      <c r="AD109" s="30">
        <v>2400000</v>
      </c>
      <c r="AE109" s="37">
        <v>2162162.1621621624</v>
      </c>
      <c r="AF109" s="37">
        <v>2400000</v>
      </c>
      <c r="AG109" s="38" t="s">
        <v>38</v>
      </c>
      <c r="AH109" s="39" t="str">
        <f>[1]Data2025!W108</f>
        <v>082164895397</v>
      </c>
    </row>
    <row r="110" spans="1:36" ht="16.5" thickTop="1" thickBot="1">
      <c r="A110" s="41">
        <f>[1]Data2025!G109</f>
        <v>21</v>
      </c>
      <c r="B110" s="42" t="str">
        <f>[1]Data2025!K109</f>
        <v>BPU21</v>
      </c>
      <c r="C110" s="43" t="str">
        <f>[1]Data2025!D109</f>
        <v>08. 04. 10.</v>
      </c>
      <c r="D110" s="44" t="str">
        <f>[1]Data2025!C109</f>
        <v>5.1.02.01.01.0052</v>
      </c>
      <c r="E110" s="45">
        <f>[1]Data2025!E109</f>
        <v>45675</v>
      </c>
      <c r="F110" s="46" t="str">
        <f>[1]Data2025!F109</f>
        <v>20/01/2025</v>
      </c>
      <c r="G110" s="45" t="str">
        <f>[1]Data2025!H109</f>
        <v>21/01/2025</v>
      </c>
      <c r="H110" s="45" t="str">
        <f t="shared" si="3"/>
        <v>21/01/2025</v>
      </c>
      <c r="I110" s="47" t="str">
        <f>[1]Data2025!J109</f>
        <v>23/01/2025</v>
      </c>
      <c r="J110" s="48" t="str">
        <f>[1]Data2025!L109</f>
        <v>Konsumsi pada kegiatan Rapat Penyusunan KKM</v>
      </c>
      <c r="K110" s="48" t="str">
        <f>[1]Data2025!M109</f>
        <v>Nasi Kotak</v>
      </c>
      <c r="L110" s="49">
        <f>[1]Data2025!N109</f>
        <v>60</v>
      </c>
      <c r="M110" s="49" t="str">
        <f>[1]Data2025!O109</f>
        <v>kotak</v>
      </c>
      <c r="N110" s="50">
        <f>[1]Data2025!P109</f>
        <v>40000</v>
      </c>
      <c r="O110" s="51">
        <f>[1]Data2025!Q109</f>
        <v>2400000</v>
      </c>
      <c r="P110" s="52" t="s">
        <v>59</v>
      </c>
      <c r="Q110" s="53" t="str">
        <f>VLOOKUP(K110,[1]Sheet1!$C$1:$D$101,2,)</f>
        <v>Nasi Kotak (isi: Nasi putih;Sop daging; Sayur; Berat 1000gr; Dimensi; (PxLxT) 25cmx25cmx10cm)</v>
      </c>
      <c r="R110" s="54">
        <v>3000000</v>
      </c>
      <c r="S110" s="55">
        <v>3002000</v>
      </c>
      <c r="T110" s="56" t="str">
        <f>[1]Data2025!T109</f>
        <v>Resto JFC Esther</v>
      </c>
      <c r="U110" s="57" t="s">
        <v>69</v>
      </c>
      <c r="V110" s="56" t="str">
        <f>[1]Data2025!V109</f>
        <v>Limaati Daeli</v>
      </c>
      <c r="W110" s="56" t="str">
        <f>[1]Data2025!X109</f>
        <v>Jl. Saonigeho Km. 2 Telukdalam - Nias Selatan</v>
      </c>
      <c r="X110" s="57" t="s">
        <v>70</v>
      </c>
      <c r="Y110" s="57" t="str">
        <f t="shared" si="4"/>
        <v>Konsumsi</v>
      </c>
      <c r="Z110" s="58" t="str">
        <f t="shared" si="5"/>
        <v>Konsumsi</v>
      </c>
      <c r="AA110" s="59" t="s">
        <v>55</v>
      </c>
      <c r="AB110" s="60">
        <v>3000000</v>
      </c>
      <c r="AC110" s="60">
        <v>3000000</v>
      </c>
      <c r="AD110" s="54">
        <v>3000000</v>
      </c>
      <c r="AE110" s="61">
        <v>2702702.702702703</v>
      </c>
      <c r="AF110" s="61">
        <v>3000000</v>
      </c>
      <c r="AG110" s="62" t="s">
        <v>38</v>
      </c>
      <c r="AH110" s="63" t="str">
        <f>[1]Data2025!W109</f>
        <v>085297578868</v>
      </c>
    </row>
    <row r="111" spans="1:36" ht="16.5" thickTop="1" thickBot="1">
      <c r="A111" s="41">
        <f>[1]Data2025!G110</f>
        <v>22</v>
      </c>
      <c r="B111" s="42" t="str">
        <f>[1]Data2025!K110</f>
        <v>BPU22</v>
      </c>
      <c r="C111" s="43" t="str">
        <f>[1]Data2025!D110</f>
        <v>06. 07. 01.</v>
      </c>
      <c r="D111" s="44" t="str">
        <f>[1]Data2025!C110</f>
        <v>5.1.02.02.01.0061</v>
      </c>
      <c r="E111" s="45">
        <f>[1]Data2025!E110</f>
        <v>45678</v>
      </c>
      <c r="F111" s="46" t="str">
        <f>[1]Data2025!F110</f>
        <v>23/01/2025</v>
      </c>
      <c r="G111" s="45" t="str">
        <f>[1]Data2025!H110</f>
        <v>23/01/2025</v>
      </c>
      <c r="H111" s="45" t="str">
        <f t="shared" si="3"/>
        <v>23/01/2025</v>
      </c>
      <c r="I111" s="47" t="str">
        <f>[1]Data2025!J110</f>
        <v>23/01/2025</v>
      </c>
      <c r="J111" s="48" t="str">
        <f>[1]Data2025!L110</f>
        <v>Biaya Rekening Listrik--</v>
      </c>
      <c r="K111" s="48" t="str">
        <f>[1]Data2025!M110</f>
        <v>Jasa Langganan Listrik</v>
      </c>
      <c r="L111" s="49">
        <f>[1]Data2025!N110</f>
        <v>1</v>
      </c>
      <c r="M111" s="49" t="str">
        <f>[1]Data2025!O110</f>
        <v>bulan</v>
      </c>
      <c r="N111" s="50">
        <f>[1]Data2025!P110</f>
        <v>2000000</v>
      </c>
      <c r="O111" s="51">
        <f>[1]Data2025!Q110</f>
        <v>2000000</v>
      </c>
      <c r="P111" s="52" t="s">
        <v>71</v>
      </c>
      <c r="Q111" s="53" t="e">
        <f>VLOOKUP(K111,[1]Sheet1!$C$1:$D$101,2,)</f>
        <v>#N/A</v>
      </c>
      <c r="R111" s="54">
        <v>1691940</v>
      </c>
      <c r="S111" s="55">
        <v>2002000</v>
      </c>
      <c r="T111" s="56">
        <f>[1]Data2025!T110</f>
        <v>0</v>
      </c>
      <c r="U111" s="57" t="s">
        <v>72</v>
      </c>
      <c r="V111" s="56" t="e">
        <f>[1]Data2025!V110</f>
        <v>#N/A</v>
      </c>
      <c r="W111" s="56" t="e">
        <f>[1]Data2025!X110</f>
        <v>#N/A</v>
      </c>
      <c r="X111" s="57">
        <v>0</v>
      </c>
      <c r="Y111" s="57" t="str">
        <f t="shared" si="4"/>
        <v>Jasa PLN</v>
      </c>
      <c r="Z111" s="58" t="str">
        <f t="shared" si="5"/>
        <v>Jasa PLN</v>
      </c>
      <c r="AA111" s="59" t="s">
        <v>73</v>
      </c>
      <c r="AB111" s="60">
        <v>2000000</v>
      </c>
      <c r="AC111" s="60">
        <v>2000000</v>
      </c>
      <c r="AD111" s="54">
        <v>1691940</v>
      </c>
      <c r="AE111" s="61">
        <v>1524270.2702702703</v>
      </c>
      <c r="AF111" s="61">
        <v>1691940</v>
      </c>
      <c r="AG111" s="62" t="s">
        <v>38</v>
      </c>
      <c r="AH111" s="63" t="e">
        <f>[1]Data2025!W110</f>
        <v>#N/A</v>
      </c>
      <c r="AI111" s="92"/>
      <c r="AJ111" s="92"/>
    </row>
    <row r="112" spans="1:36" ht="16.5" thickTop="1" thickBot="1">
      <c r="A112" s="41">
        <f>[1]Data2025!G111</f>
        <v>23</v>
      </c>
      <c r="B112" s="42" t="str">
        <f>[1]Data2025!K111</f>
        <v>BPU23</v>
      </c>
      <c r="C112" s="43" t="str">
        <f>[1]Data2025!D111</f>
        <v>06. 07. 05.</v>
      </c>
      <c r="D112" s="44" t="str">
        <f>[1]Data2025!C111</f>
        <v>5.1.02.02.01.0063</v>
      </c>
      <c r="E112" s="45">
        <f>[1]Data2025!E111</f>
        <v>45678</v>
      </c>
      <c r="F112" s="46" t="str">
        <f>[1]Data2025!F111</f>
        <v>23/01/2025</v>
      </c>
      <c r="G112" s="45" t="str">
        <f>[1]Data2025!H111</f>
        <v>23/01/2025</v>
      </c>
      <c r="H112" s="45" t="str">
        <f t="shared" si="3"/>
        <v>23/01/2025</v>
      </c>
      <c r="I112" s="47" t="str">
        <f>[1]Data2025!J111</f>
        <v>23/01/2025</v>
      </c>
      <c r="J112" s="48" t="str">
        <f>[1]Data2025!L111</f>
        <v>Biaya Langganan Internet--</v>
      </c>
      <c r="K112" s="48" t="str">
        <f>[1]Data2025!M111</f>
        <v>Jasa Langganan Indihome</v>
      </c>
      <c r="L112" s="49">
        <f>[1]Data2025!N111</f>
        <v>1</v>
      </c>
      <c r="M112" s="49" t="str">
        <f>[1]Data2025!O111</f>
        <v>bulan</v>
      </c>
      <c r="N112" s="50">
        <f>[1]Data2025!P111</f>
        <v>1500000</v>
      </c>
      <c r="O112" s="51">
        <f>[1]Data2025!Q111</f>
        <v>1500000</v>
      </c>
      <c r="P112" s="52" t="s">
        <v>74</v>
      </c>
      <c r="Q112" s="53" t="e">
        <f>VLOOKUP(K112,[1]Sheet1!$C$1:$D$101,2,)</f>
        <v>#N/A</v>
      </c>
      <c r="R112" s="54">
        <v>1235850</v>
      </c>
      <c r="S112" s="55">
        <v>1502000</v>
      </c>
      <c r="T112" s="56">
        <f>[1]Data2025!T111</f>
        <v>0</v>
      </c>
      <c r="U112" s="57" t="s">
        <v>72</v>
      </c>
      <c r="V112" s="56" t="e">
        <f>[1]Data2025!V111</f>
        <v>#N/A</v>
      </c>
      <c r="W112" s="56" t="e">
        <f>[1]Data2025!X111</f>
        <v>#N/A</v>
      </c>
      <c r="X112" s="57">
        <v>0</v>
      </c>
      <c r="Y112" s="57" t="str">
        <f t="shared" si="4"/>
        <v>Jasa Internet</v>
      </c>
      <c r="Z112" s="58" t="str">
        <f t="shared" si="5"/>
        <v>Jasa Internet</v>
      </c>
      <c r="AA112" s="59" t="s">
        <v>73</v>
      </c>
      <c r="AB112" s="60">
        <v>1500000</v>
      </c>
      <c r="AC112" s="60">
        <v>1500000</v>
      </c>
      <c r="AD112" s="54">
        <v>1235850</v>
      </c>
      <c r="AE112" s="61">
        <v>1113378.3783783785</v>
      </c>
      <c r="AF112" s="61">
        <v>1235850</v>
      </c>
      <c r="AG112" s="62" t="s">
        <v>38</v>
      </c>
      <c r="AH112" s="63" t="e">
        <f>[1]Data2025!W111</f>
        <v>#N/A</v>
      </c>
    </row>
    <row r="113" spans="1:36" s="40" customFormat="1" ht="16.5" thickTop="1" thickBot="1">
      <c r="A113" s="17">
        <f>[1]Data2025!G112</f>
        <v>24</v>
      </c>
      <c r="B113" s="18" t="str">
        <f>[1]Data2025!K112</f>
        <v>BPU24</v>
      </c>
      <c r="C113" s="19" t="str">
        <f>[1]Data2025!D112</f>
        <v>03. 03. 14.</v>
      </c>
      <c r="D113" s="20" t="str">
        <f>[1]Data2025!C112</f>
        <v>5.1.02.01.01.0052</v>
      </c>
      <c r="E113" s="21">
        <f>[1]Data2025!E112</f>
        <v>45680</v>
      </c>
      <c r="F113" s="22" t="str">
        <f>[1]Data2025!F112</f>
        <v>24/01/2025</v>
      </c>
      <c r="G113" s="21" t="str">
        <f>[1]Data2025!H112</f>
        <v>25/01/2025</v>
      </c>
      <c r="H113" s="21" t="str">
        <f t="shared" si="3"/>
        <v>25/01/2025</v>
      </c>
      <c r="I113" s="23" t="str">
        <f>[1]Data2025!J112</f>
        <v>25/01/2025</v>
      </c>
      <c r="J113" s="24" t="str">
        <f>[1]Data2025!L112</f>
        <v>Kudapan pada Kegiatan rubrik/Ibadah Bulanan</v>
      </c>
      <c r="K113" s="24" t="str">
        <f>[1]Data2025!M112</f>
        <v>Kue Besar</v>
      </c>
      <c r="L113" s="25">
        <f>[1]Data2025!N112</f>
        <v>100</v>
      </c>
      <c r="M113" s="25" t="str">
        <f>[1]Data2025!O112</f>
        <v>kotak</v>
      </c>
      <c r="N113" s="26">
        <f>[1]Data2025!P112</f>
        <v>15000</v>
      </c>
      <c r="O113" s="27">
        <f>[1]Data2025!Q112</f>
        <v>1500000</v>
      </c>
      <c r="P113" s="28" t="s">
        <v>58</v>
      </c>
      <c r="Q113" s="29" t="str">
        <f>VLOOKUP(K113,[1]Sheet1!$C$1:$D$101,2,)</f>
        <v>Kue (bahan tepung terigu, gula, telur, mentega; berat 100gr, panjang 15cm, lebar 8 cm)</v>
      </c>
      <c r="R113" s="30">
        <v>1500000</v>
      </c>
      <c r="S113" s="31">
        <v>1700000</v>
      </c>
      <c r="T113" s="32" t="str">
        <f>[1]Data2025!T112</f>
        <v>Rumah Roti Helena</v>
      </c>
      <c r="U113" s="33" t="s">
        <v>60</v>
      </c>
      <c r="V113" s="32" t="str">
        <f>[1]Data2025!V112</f>
        <v>Fudi Supiyanto</v>
      </c>
      <c r="W113" s="32" t="str">
        <f>[1]Data2025!X112</f>
        <v>Jln Ahmad Yani No.89 Kel. Pasar Telukdalam, Nias Selatan</v>
      </c>
      <c r="X113" s="33" t="s">
        <v>61</v>
      </c>
      <c r="Y113" s="33" t="str">
        <f t="shared" si="4"/>
        <v>Kudapan</v>
      </c>
      <c r="Z113" s="34" t="str">
        <f t="shared" si="5"/>
        <v>Kudapan</v>
      </c>
      <c r="AA113" s="35" t="s">
        <v>37</v>
      </c>
      <c r="AB113" s="36">
        <v>15000</v>
      </c>
      <c r="AC113" s="36">
        <v>1500000</v>
      </c>
      <c r="AD113" s="30">
        <v>1500000</v>
      </c>
      <c r="AE113" s="37">
        <v>1351351.3513513515</v>
      </c>
      <c r="AF113" s="37">
        <v>1500000</v>
      </c>
      <c r="AG113" s="38" t="s">
        <v>38</v>
      </c>
      <c r="AH113" s="39" t="str">
        <f>[1]Data2025!W112</f>
        <v>082164895397</v>
      </c>
    </row>
    <row r="114" spans="1:36" s="40" customFormat="1" ht="16.5" thickTop="1" thickBot="1">
      <c r="A114" s="17">
        <f>[1]Data2025!G113</f>
        <v>25</v>
      </c>
      <c r="B114" s="18" t="str">
        <f>[1]Data2025!K113</f>
        <v>BPU25</v>
      </c>
      <c r="C114" s="19" t="str">
        <f>[1]Data2025!D113</f>
        <v>06. 05. 02.</v>
      </c>
      <c r="D114" s="20" t="str">
        <f>[1]Data2025!C113</f>
        <v>5.1.02.01.01.0052</v>
      </c>
      <c r="E114" s="21">
        <f>[1]Data2025!E113</f>
        <v>45680</v>
      </c>
      <c r="F114" s="22" t="str">
        <f>[1]Data2025!F113</f>
        <v>24/01/2025</v>
      </c>
      <c r="G114" s="21" t="str">
        <f>[1]Data2025!H113</f>
        <v>25/01/2025</v>
      </c>
      <c r="H114" s="21" t="str">
        <f t="shared" si="3"/>
        <v>25/01/2025</v>
      </c>
      <c r="I114" s="23" t="str">
        <f>[1]Data2025!J113</f>
        <v>25/01/2025</v>
      </c>
      <c r="J114" s="24" t="str">
        <f>[1]Data2025!L113</f>
        <v>Kudapan Rapat Rutin Bulanan</v>
      </c>
      <c r="K114" s="24" t="str">
        <f>[1]Data2025!M113</f>
        <v>Kue Besar</v>
      </c>
      <c r="L114" s="25">
        <f>[1]Data2025!N113</f>
        <v>60</v>
      </c>
      <c r="M114" s="25" t="str">
        <f>[1]Data2025!O113</f>
        <v>buah</v>
      </c>
      <c r="N114" s="26">
        <f>[1]Data2025!P113</f>
        <v>15000</v>
      </c>
      <c r="O114" s="27">
        <f>[1]Data2025!Q113</f>
        <v>900000</v>
      </c>
      <c r="P114" s="28" t="s">
        <v>58</v>
      </c>
      <c r="Q114" s="29" t="str">
        <f>VLOOKUP(K114,[1]Sheet1!$C$1:$D$101,2,)</f>
        <v>Kue (bahan tepung terigu, gula, telur, mentega; berat 100gr, panjang 15cm, lebar 8 cm)</v>
      </c>
      <c r="R114" s="30">
        <v>1000000</v>
      </c>
      <c r="S114" s="31">
        <v>1002000</v>
      </c>
      <c r="T114" s="32" t="str">
        <f>[1]Data2025!T113</f>
        <v>Rumah Roti Helena</v>
      </c>
      <c r="U114" s="33" t="s">
        <v>75</v>
      </c>
      <c r="V114" s="32" t="str">
        <f>[1]Data2025!V113</f>
        <v>Fudi Supiyanto</v>
      </c>
      <c r="W114" s="32" t="str">
        <f>[1]Data2025!X113</f>
        <v>Jln Ahmad Yani No.89 Kel. Pasar Telukdalam, Nias Selatan</v>
      </c>
      <c r="X114" s="33">
        <v>0</v>
      </c>
      <c r="Y114" s="33" t="str">
        <f t="shared" si="4"/>
        <v>Kudapan</v>
      </c>
      <c r="Z114" s="34" t="str">
        <f t="shared" si="5"/>
        <v>Kudapan</v>
      </c>
      <c r="AA114" s="35" t="s">
        <v>73</v>
      </c>
      <c r="AB114" s="36">
        <v>1000000</v>
      </c>
      <c r="AC114" s="36">
        <v>1000000</v>
      </c>
      <c r="AD114" s="30">
        <v>1000000</v>
      </c>
      <c r="AE114" s="37">
        <v>900900.90090090095</v>
      </c>
      <c r="AF114" s="37">
        <v>1000000</v>
      </c>
      <c r="AG114" s="38" t="s">
        <v>38</v>
      </c>
      <c r="AH114" s="39" t="str">
        <f>[1]Data2025!W113</f>
        <v>082164895397</v>
      </c>
    </row>
    <row r="115" spans="1:36" ht="16.5" thickTop="1" thickBot="1">
      <c r="A115" s="41">
        <f>[1]Data2025!G114</f>
        <v>26</v>
      </c>
      <c r="B115" s="42" t="str">
        <f>[1]Data2025!K114</f>
        <v>BNU01</v>
      </c>
      <c r="C115" s="43" t="str">
        <f>[1]Data2025!D114</f>
        <v>07. 12. 01.</v>
      </c>
      <c r="D115" s="44" t="str">
        <f>[1]Data2025!C114</f>
        <v>5.1.02.02.01.0013</v>
      </c>
      <c r="E115" s="45">
        <f>[1]Data2025!E114</f>
        <v>45682</v>
      </c>
      <c r="F115" s="46" t="str">
        <f>[1]Data2025!F114</f>
        <v>05/02/2025</v>
      </c>
      <c r="G115" s="45" t="str">
        <f>[1]Data2025!H114</f>
        <v>05/02/2025</v>
      </c>
      <c r="H115" s="45" t="str">
        <f t="shared" si="3"/>
        <v>05/02/2025</v>
      </c>
      <c r="I115" s="47" t="str">
        <f>[1]Data2025!J114</f>
        <v>05/02/2025</v>
      </c>
      <c r="J115" s="48" t="str">
        <f>[1]Data2025!L114</f>
        <v>Selatieli Nehe</v>
      </c>
      <c r="K115" s="48" t="str">
        <f>[1]Data2025!M114</f>
        <v>Gaji Guru Tidak Tetap Sekolah</v>
      </c>
      <c r="L115" s="49">
        <f>[1]Data2025!N114</f>
        <v>41</v>
      </c>
      <c r="M115" s="49" t="str">
        <f>[1]Data2025!O114</f>
        <v>jpl</v>
      </c>
      <c r="N115" s="50">
        <f>[1]Data2025!P114</f>
        <v>60000</v>
      </c>
      <c r="O115" s="51">
        <f>[1]Data2025!Q114</f>
        <v>2460000</v>
      </c>
      <c r="P115" s="52" t="s">
        <v>76</v>
      </c>
      <c r="Q115" s="53" t="e">
        <f>VLOOKUP(K115,[1]Sheet1!$C$1:$D$101,2,)</f>
        <v>#N/A</v>
      </c>
      <c r="R115" s="54">
        <v>1658650</v>
      </c>
      <c r="S115" s="55">
        <v>11136650</v>
      </c>
      <c r="T115" s="56">
        <f>[1]Data2025!T114</f>
        <v>0</v>
      </c>
      <c r="U115" s="57" t="s">
        <v>35</v>
      </c>
      <c r="V115" s="56" t="e">
        <f>[1]Data2025!V114</f>
        <v>#N/A</v>
      </c>
      <c r="W115" s="56" t="e">
        <f>[1]Data2025!X114</f>
        <v>#N/A</v>
      </c>
      <c r="X115" s="57" t="s">
        <v>36</v>
      </c>
      <c r="Y115" s="57" t="str">
        <f t="shared" si="4"/>
        <v>Honorarium</v>
      </c>
      <c r="Z115" s="58" t="str">
        <f t="shared" si="5"/>
        <v>Honorarium</v>
      </c>
      <c r="AA115" s="59" t="s">
        <v>49</v>
      </c>
      <c r="AB115" s="60">
        <v>350</v>
      </c>
      <c r="AC115" s="60">
        <v>1658650</v>
      </c>
      <c r="AD115" s="54">
        <v>1658650</v>
      </c>
      <c r="AE115" s="61">
        <v>1494279.2792792793</v>
      </c>
      <c r="AF115" s="61">
        <v>1658650</v>
      </c>
      <c r="AG115" s="62" t="s">
        <v>38</v>
      </c>
      <c r="AH115" s="63" t="e">
        <f>[1]Data2025!W114</f>
        <v>#N/A</v>
      </c>
      <c r="AI115" s="92"/>
      <c r="AJ115" s="92"/>
    </row>
    <row r="116" spans="1:36" ht="16.5" thickTop="1" thickBot="1">
      <c r="A116" s="41">
        <f>[1]Data2025!G115</f>
        <v>27</v>
      </c>
      <c r="B116" s="42" t="str">
        <f>[1]Data2025!K115</f>
        <v>BNU02</v>
      </c>
      <c r="C116" s="43" t="str">
        <f>[1]Data2025!D115</f>
        <v>07. 12. 01.</v>
      </c>
      <c r="D116" s="44" t="str">
        <f>[1]Data2025!C115</f>
        <v>5.1.02.02.01.0013</v>
      </c>
      <c r="E116" s="45">
        <f>[1]Data2025!E115</f>
        <v>45682</v>
      </c>
      <c r="F116" s="46" t="str">
        <f>[1]Data2025!F115</f>
        <v>05/02/2025</v>
      </c>
      <c r="G116" s="45" t="str">
        <f>[1]Data2025!H115</f>
        <v>05/02/2025</v>
      </c>
      <c r="H116" s="45" t="str">
        <f t="shared" si="3"/>
        <v>05/02/2025</v>
      </c>
      <c r="I116" s="47" t="str">
        <f>[1]Data2025!J115</f>
        <v>05/02/2025</v>
      </c>
      <c r="J116" s="48" t="str">
        <f>[1]Data2025!L115</f>
        <v>Arifin Metodi Bate'e</v>
      </c>
      <c r="K116" s="48" t="str">
        <f>[1]Data2025!M115</f>
        <v>Gaji Guru Tidak Tetap Sekolah</v>
      </c>
      <c r="L116" s="49">
        <f>[1]Data2025!N115</f>
        <v>34</v>
      </c>
      <c r="M116" s="49" t="str">
        <f>[1]Data2025!O115</f>
        <v>jpl</v>
      </c>
      <c r="N116" s="50">
        <f>[1]Data2025!P115</f>
        <v>60000</v>
      </c>
      <c r="O116" s="51">
        <f>[1]Data2025!Q115</f>
        <v>2040000</v>
      </c>
      <c r="P116" s="52" t="s">
        <v>76</v>
      </c>
      <c r="Q116" s="53" t="e">
        <f>VLOOKUP(K116,[1]Sheet1!$C$1:$D$101,2,)</f>
        <v>#N/A</v>
      </c>
      <c r="R116" s="54">
        <v>2475000</v>
      </c>
      <c r="S116" s="55">
        <v>2541000</v>
      </c>
      <c r="T116" s="56">
        <f>[1]Data2025!T115</f>
        <v>0</v>
      </c>
      <c r="U116" s="57" t="s">
        <v>62</v>
      </c>
      <c r="V116" s="56" t="e">
        <f>[1]Data2025!V115</f>
        <v>#N/A</v>
      </c>
      <c r="W116" s="56" t="e">
        <f>[1]Data2025!X115</f>
        <v>#N/A</v>
      </c>
      <c r="X116" s="57" t="s">
        <v>63</v>
      </c>
      <c r="Y116" s="57" t="str">
        <f t="shared" si="4"/>
        <v>Honorarium</v>
      </c>
      <c r="Z116" s="58" t="str">
        <f t="shared" si="5"/>
        <v>Honorarium</v>
      </c>
      <c r="AA116" s="59" t="s">
        <v>77</v>
      </c>
      <c r="AB116" s="60">
        <v>75000</v>
      </c>
      <c r="AC116" s="60">
        <v>2475000</v>
      </c>
      <c r="AD116" s="54">
        <v>2475000</v>
      </c>
      <c r="AE116" s="61">
        <v>2229729.7297297297</v>
      </c>
      <c r="AF116" s="61">
        <v>2475000</v>
      </c>
      <c r="AG116" s="62" t="s">
        <v>38</v>
      </c>
      <c r="AH116" s="63" t="e">
        <f>[1]Data2025!W115</f>
        <v>#N/A</v>
      </c>
    </row>
    <row r="117" spans="1:36" ht="16.5" thickTop="1" thickBot="1">
      <c r="A117" s="41">
        <f>[1]Data2025!G116</f>
        <v>28</v>
      </c>
      <c r="B117" s="42" t="str">
        <f>[1]Data2025!K116</f>
        <v>BNU03</v>
      </c>
      <c r="C117" s="43" t="str">
        <f>[1]Data2025!D116</f>
        <v>07. 12. 01.</v>
      </c>
      <c r="D117" s="44" t="str">
        <f>[1]Data2025!C116</f>
        <v>5.1.02.02.01.0013</v>
      </c>
      <c r="E117" s="45">
        <f>[1]Data2025!E116</f>
        <v>45682</v>
      </c>
      <c r="F117" s="46" t="str">
        <f>[1]Data2025!F116</f>
        <v>05/02/2025</v>
      </c>
      <c r="G117" s="45" t="str">
        <f>[1]Data2025!H116</f>
        <v>05/02/2025</v>
      </c>
      <c r="H117" s="45" t="str">
        <f t="shared" si="3"/>
        <v>05/02/2025</v>
      </c>
      <c r="I117" s="47" t="str">
        <f>[1]Data2025!J116</f>
        <v>05/02/2025</v>
      </c>
      <c r="J117" s="48" t="str">
        <f>[1]Data2025!L116</f>
        <v>Ferdiwati Wau</v>
      </c>
      <c r="K117" s="48" t="str">
        <f>[1]Data2025!M116</f>
        <v>Gaji Guru Tidak Tetap Sekolah</v>
      </c>
      <c r="L117" s="49">
        <f>[1]Data2025!N116</f>
        <v>34</v>
      </c>
      <c r="M117" s="49" t="str">
        <f>[1]Data2025!O116</f>
        <v>jpl</v>
      </c>
      <c r="N117" s="50">
        <f>[1]Data2025!P116</f>
        <v>60000</v>
      </c>
      <c r="O117" s="51">
        <f>[1]Data2025!Q116</f>
        <v>2040000</v>
      </c>
      <c r="P117" s="52" t="s">
        <v>76</v>
      </c>
      <c r="Q117" s="53" t="e">
        <f>VLOOKUP(K117,[1]Sheet1!$C$1:$D$101,2,)</f>
        <v>#N/A</v>
      </c>
      <c r="R117" s="54">
        <v>2550000</v>
      </c>
      <c r="S117" s="55">
        <v>2618000</v>
      </c>
      <c r="T117" s="56">
        <f>[1]Data2025!T116</f>
        <v>0</v>
      </c>
      <c r="U117" s="57" t="s">
        <v>60</v>
      </c>
      <c r="V117" s="56" t="e">
        <f>[1]Data2025!V116</f>
        <v>#N/A</v>
      </c>
      <c r="W117" s="56" t="e">
        <f>[1]Data2025!X116</f>
        <v>#N/A</v>
      </c>
      <c r="X117" s="57" t="s">
        <v>61</v>
      </c>
      <c r="Y117" s="57" t="str">
        <f t="shared" si="4"/>
        <v>Honorarium</v>
      </c>
      <c r="Z117" s="58" t="str">
        <f t="shared" si="5"/>
        <v>Honorarium</v>
      </c>
      <c r="AA117" s="59" t="s">
        <v>77</v>
      </c>
      <c r="AB117" s="60">
        <v>75000</v>
      </c>
      <c r="AC117" s="60">
        <v>2550000</v>
      </c>
      <c r="AD117" s="54">
        <v>2550000</v>
      </c>
      <c r="AE117" s="61">
        <v>2297297.2972972975</v>
      </c>
      <c r="AF117" s="61">
        <v>2550000</v>
      </c>
      <c r="AG117" s="62" t="s">
        <v>38</v>
      </c>
      <c r="AH117" s="63" t="e">
        <f>[1]Data2025!W116</f>
        <v>#N/A</v>
      </c>
    </row>
    <row r="118" spans="1:36" ht="16.5" thickTop="1" thickBot="1">
      <c r="A118" s="41">
        <f>[1]Data2025!G117</f>
        <v>29</v>
      </c>
      <c r="B118" s="42" t="str">
        <f>[1]Data2025!K117</f>
        <v>BNU04</v>
      </c>
      <c r="C118" s="43" t="str">
        <f>[1]Data2025!D117</f>
        <v>07. 12. 01.</v>
      </c>
      <c r="D118" s="44" t="str">
        <f>[1]Data2025!C117</f>
        <v>5.1.02.02.01.0013</v>
      </c>
      <c r="E118" s="45">
        <f>[1]Data2025!E117</f>
        <v>45682</v>
      </c>
      <c r="F118" s="46" t="str">
        <f>[1]Data2025!F117</f>
        <v>05/02/2025</v>
      </c>
      <c r="G118" s="45" t="str">
        <f>[1]Data2025!H117</f>
        <v>05/02/2025</v>
      </c>
      <c r="H118" s="45" t="str">
        <f t="shared" si="3"/>
        <v>05/02/2025</v>
      </c>
      <c r="I118" s="47" t="str">
        <f>[1]Data2025!J117</f>
        <v>05/02/2025</v>
      </c>
      <c r="J118" s="48" t="str">
        <f>[1]Data2025!L117</f>
        <v>Noni Alfanita Sarumaha, S.Pd</v>
      </c>
      <c r="K118" s="48" t="str">
        <f>[1]Data2025!M117</f>
        <v>Gaji Guru Tidak Tetap Sekolah</v>
      </c>
      <c r="L118" s="49">
        <f>[1]Data2025!N117</f>
        <v>37</v>
      </c>
      <c r="M118" s="49" t="str">
        <f>[1]Data2025!O117</f>
        <v>jpl</v>
      </c>
      <c r="N118" s="50">
        <f>[1]Data2025!P117</f>
        <v>60000</v>
      </c>
      <c r="O118" s="51">
        <f>[1]Data2025!Q117</f>
        <v>2220000</v>
      </c>
      <c r="P118" s="52" t="s">
        <v>76</v>
      </c>
      <c r="Q118" s="53" t="e">
        <f>VLOOKUP(K118,[1]Sheet1!$C$1:$D$101,2,)</f>
        <v>#N/A</v>
      </c>
      <c r="R118" s="54">
        <v>2250000</v>
      </c>
      <c r="S118" s="55">
        <v>2310000</v>
      </c>
      <c r="T118" s="56">
        <f>[1]Data2025!T117</f>
        <v>0</v>
      </c>
      <c r="U118" s="57" t="s">
        <v>60</v>
      </c>
      <c r="V118" s="56" t="e">
        <f>[1]Data2025!V117</f>
        <v>#N/A</v>
      </c>
      <c r="W118" s="56" t="e">
        <f>[1]Data2025!X117</f>
        <v>#N/A</v>
      </c>
      <c r="X118" s="57" t="s">
        <v>61</v>
      </c>
      <c r="Y118" s="57" t="str">
        <f t="shared" si="4"/>
        <v>Honorarium</v>
      </c>
      <c r="Z118" s="58" t="str">
        <f t="shared" si="5"/>
        <v>Honorarium</v>
      </c>
      <c r="AA118" s="59" t="s">
        <v>77</v>
      </c>
      <c r="AB118" s="60">
        <v>75000</v>
      </c>
      <c r="AC118" s="60">
        <v>2250000</v>
      </c>
      <c r="AD118" s="54">
        <v>2250000</v>
      </c>
      <c r="AE118" s="61">
        <v>2027027.027027027</v>
      </c>
      <c r="AF118" s="61">
        <v>2250000</v>
      </c>
      <c r="AG118" s="62" t="s">
        <v>38</v>
      </c>
      <c r="AH118" s="63" t="e">
        <f>[1]Data2025!W117</f>
        <v>#N/A</v>
      </c>
    </row>
    <row r="119" spans="1:36" ht="16.5" thickTop="1" thickBot="1">
      <c r="A119" s="41">
        <f>[1]Data2025!G118</f>
        <v>30</v>
      </c>
      <c r="B119" s="42" t="str">
        <f>[1]Data2025!K118</f>
        <v>BNU05</v>
      </c>
      <c r="C119" s="43" t="str">
        <f>[1]Data2025!D118</f>
        <v>07. 12. 01.</v>
      </c>
      <c r="D119" s="44" t="str">
        <f>[1]Data2025!C118</f>
        <v>5.1.02.02.01.0013</v>
      </c>
      <c r="E119" s="45">
        <f>[1]Data2025!E118</f>
        <v>45682</v>
      </c>
      <c r="F119" s="46" t="str">
        <f>[1]Data2025!F118</f>
        <v>05/02/2025</v>
      </c>
      <c r="G119" s="45" t="str">
        <f>[1]Data2025!H118</f>
        <v>05/02/2025</v>
      </c>
      <c r="H119" s="45" t="str">
        <f t="shared" si="3"/>
        <v>05/02/2025</v>
      </c>
      <c r="I119" s="47" t="str">
        <f>[1]Data2025!J118</f>
        <v>05/02/2025</v>
      </c>
      <c r="J119" s="48" t="str">
        <f>[1]Data2025!L118</f>
        <v>EMILA HAFO</v>
      </c>
      <c r="K119" s="48" t="str">
        <f>[1]Data2025!M118</f>
        <v>Gaji Guru Tidak Tetap Sekolah</v>
      </c>
      <c r="L119" s="49">
        <f>[1]Data2025!N118</f>
        <v>35</v>
      </c>
      <c r="M119" s="49" t="str">
        <f>[1]Data2025!O118</f>
        <v>jpl</v>
      </c>
      <c r="N119" s="50">
        <f>[1]Data2025!P118</f>
        <v>60000</v>
      </c>
      <c r="O119" s="51">
        <f>[1]Data2025!Q118</f>
        <v>2100000</v>
      </c>
      <c r="P119" s="52" t="s">
        <v>76</v>
      </c>
      <c r="Q119" s="53" t="e">
        <f>VLOOKUP(K119,[1]Sheet1!$C$1:$D$101,2,)</f>
        <v>#N/A</v>
      </c>
      <c r="R119" s="54">
        <v>2475000</v>
      </c>
      <c r="S119" s="55">
        <v>2541000</v>
      </c>
      <c r="T119" s="56">
        <f>[1]Data2025!T118</f>
        <v>0</v>
      </c>
      <c r="U119" s="57" t="s">
        <v>35</v>
      </c>
      <c r="V119" s="56" t="e">
        <f>[1]Data2025!V118</f>
        <v>#N/A</v>
      </c>
      <c r="W119" s="56" t="e">
        <f>[1]Data2025!X118</f>
        <v>#N/A</v>
      </c>
      <c r="X119" s="57" t="s">
        <v>78</v>
      </c>
      <c r="Y119" s="57" t="str">
        <f t="shared" si="4"/>
        <v>Honorarium</v>
      </c>
      <c r="Z119" s="58" t="str">
        <f t="shared" si="5"/>
        <v>Honorarium</v>
      </c>
      <c r="AA119" s="59" t="s">
        <v>77</v>
      </c>
      <c r="AB119" s="60">
        <v>75000</v>
      </c>
      <c r="AC119" s="60">
        <v>2475000</v>
      </c>
      <c r="AD119" s="54">
        <v>2475000</v>
      </c>
      <c r="AE119" s="61">
        <v>2229729.7297297297</v>
      </c>
      <c r="AF119" s="61">
        <v>2475000</v>
      </c>
      <c r="AG119" s="62" t="s">
        <v>38</v>
      </c>
      <c r="AH119" s="63" t="e">
        <f>[1]Data2025!W118</f>
        <v>#N/A</v>
      </c>
    </row>
    <row r="120" spans="1:36" ht="16.5" thickTop="1" thickBot="1">
      <c r="A120" s="41">
        <f>[1]Data2025!G119</f>
        <v>31</v>
      </c>
      <c r="B120" s="42" t="str">
        <f>[1]Data2025!K119</f>
        <v>BNU06</v>
      </c>
      <c r="C120" s="43" t="str">
        <f>[1]Data2025!D119</f>
        <v>07. 12. 01.</v>
      </c>
      <c r="D120" s="44" t="str">
        <f>[1]Data2025!C119</f>
        <v>5.1.02.02.01.0013</v>
      </c>
      <c r="E120" s="45">
        <f>[1]Data2025!E119</f>
        <v>45682</v>
      </c>
      <c r="F120" s="46" t="str">
        <f>[1]Data2025!F119</f>
        <v>05/02/2025</v>
      </c>
      <c r="G120" s="45" t="str">
        <f>[1]Data2025!H119</f>
        <v>05/02/2025</v>
      </c>
      <c r="H120" s="45" t="str">
        <f t="shared" si="3"/>
        <v>05/02/2025</v>
      </c>
      <c r="I120" s="47" t="str">
        <f>[1]Data2025!J119</f>
        <v>05/02/2025</v>
      </c>
      <c r="J120" s="48" t="str">
        <f>[1]Data2025!L119</f>
        <v>Asep Nurhidayat</v>
      </c>
      <c r="K120" s="48" t="str">
        <f>[1]Data2025!M119</f>
        <v>Gaji Guru Tidak Tetap Sekolah</v>
      </c>
      <c r="L120" s="49">
        <f>[1]Data2025!N119</f>
        <v>21</v>
      </c>
      <c r="M120" s="49" t="str">
        <f>[1]Data2025!O119</f>
        <v>jpl</v>
      </c>
      <c r="N120" s="50">
        <f>[1]Data2025!P119</f>
        <v>60000</v>
      </c>
      <c r="O120" s="51">
        <f>[1]Data2025!Q119</f>
        <v>1260000</v>
      </c>
      <c r="P120" s="52" t="s">
        <v>76</v>
      </c>
      <c r="Q120" s="53" t="e">
        <f>VLOOKUP(K120,[1]Sheet1!$C$1:$D$101,2,)</f>
        <v>#N/A</v>
      </c>
      <c r="R120" s="54">
        <v>2100000</v>
      </c>
      <c r="S120" s="55">
        <v>2156000</v>
      </c>
      <c r="T120" s="56">
        <f>[1]Data2025!T119</f>
        <v>0</v>
      </c>
      <c r="U120" s="57" t="s">
        <v>35</v>
      </c>
      <c r="V120" s="56" t="e">
        <f>[1]Data2025!V119</f>
        <v>#N/A</v>
      </c>
      <c r="W120" s="56" t="e">
        <f>[1]Data2025!X119</f>
        <v>#N/A</v>
      </c>
      <c r="X120" s="57" t="s">
        <v>78</v>
      </c>
      <c r="Y120" s="57" t="str">
        <f t="shared" si="4"/>
        <v>Honorarium</v>
      </c>
      <c r="Z120" s="58" t="str">
        <f t="shared" si="5"/>
        <v>Honorarium</v>
      </c>
      <c r="AA120" s="59" t="s">
        <v>77</v>
      </c>
      <c r="AB120" s="60">
        <v>75000</v>
      </c>
      <c r="AC120" s="60">
        <v>2100000</v>
      </c>
      <c r="AD120" s="54">
        <v>2100000</v>
      </c>
      <c r="AE120" s="61">
        <v>1891891.8918918918</v>
      </c>
      <c r="AF120" s="61">
        <v>2100000</v>
      </c>
      <c r="AG120" s="62" t="s">
        <v>38</v>
      </c>
      <c r="AH120" s="63" t="e">
        <f>[1]Data2025!W119</f>
        <v>#N/A</v>
      </c>
    </row>
    <row r="121" spans="1:36" ht="16.5" thickTop="1" thickBot="1">
      <c r="A121" s="41">
        <f>[1]Data2025!G120</f>
        <v>32</v>
      </c>
      <c r="B121" s="42" t="str">
        <f>[1]Data2025!K120</f>
        <v>BNU07</v>
      </c>
      <c r="C121" s="43" t="str">
        <f>[1]Data2025!D120</f>
        <v>07. 12. 01.</v>
      </c>
      <c r="D121" s="44" t="str">
        <f>[1]Data2025!C120</f>
        <v>5.1.02.02.01.0013</v>
      </c>
      <c r="E121" s="45">
        <f>[1]Data2025!E120</f>
        <v>45682</v>
      </c>
      <c r="F121" s="46" t="str">
        <f>[1]Data2025!F120</f>
        <v>05/02/2025</v>
      </c>
      <c r="G121" s="45" t="str">
        <f>[1]Data2025!H120</f>
        <v>05/02/2025</v>
      </c>
      <c r="H121" s="45" t="str">
        <f t="shared" si="3"/>
        <v>05/02/2025</v>
      </c>
      <c r="I121" s="47" t="str">
        <f>[1]Data2025!J120</f>
        <v>05/02/2025</v>
      </c>
      <c r="J121" s="48" t="str">
        <f>[1]Data2025!L120</f>
        <v>Amonius Dakhi</v>
      </c>
      <c r="K121" s="48" t="str">
        <f>[1]Data2025!M120</f>
        <v>Gaji Guru Tidak Tetap Sekolah</v>
      </c>
      <c r="L121" s="49">
        <f>[1]Data2025!N120</f>
        <v>24</v>
      </c>
      <c r="M121" s="49" t="str">
        <f>[1]Data2025!O120</f>
        <v>orang / jam pelajaran</v>
      </c>
      <c r="N121" s="50">
        <f>[1]Data2025!P120</f>
        <v>50000</v>
      </c>
      <c r="O121" s="51">
        <f>[1]Data2025!Q120</f>
        <v>1200000</v>
      </c>
      <c r="P121" s="52" t="s">
        <v>76</v>
      </c>
      <c r="Q121" s="53" t="e">
        <f>VLOOKUP(K121,[1]Sheet1!$C$1:$D$101,2,)</f>
        <v>#N/A</v>
      </c>
      <c r="R121" s="54">
        <v>2475000</v>
      </c>
      <c r="S121" s="55">
        <v>2541000</v>
      </c>
      <c r="T121" s="56">
        <f>[1]Data2025!T120</f>
        <v>0</v>
      </c>
      <c r="U121" s="57" t="s">
        <v>35</v>
      </c>
      <c r="V121" s="56" t="e">
        <f>[1]Data2025!V120</f>
        <v>#N/A</v>
      </c>
      <c r="W121" s="56" t="e">
        <f>[1]Data2025!X120</f>
        <v>#N/A</v>
      </c>
      <c r="X121" s="57" t="s">
        <v>78</v>
      </c>
      <c r="Y121" s="57" t="str">
        <f t="shared" si="4"/>
        <v>Honorarium</v>
      </c>
      <c r="Z121" s="58" t="str">
        <f t="shared" si="5"/>
        <v>Honorarium</v>
      </c>
      <c r="AA121" s="59" t="s">
        <v>77</v>
      </c>
      <c r="AB121" s="60">
        <v>75000</v>
      </c>
      <c r="AC121" s="60">
        <v>2475000</v>
      </c>
      <c r="AD121" s="54">
        <v>2475000</v>
      </c>
      <c r="AE121" s="61">
        <v>2229729.7297297297</v>
      </c>
      <c r="AF121" s="61">
        <v>2475000</v>
      </c>
      <c r="AG121" s="62" t="s">
        <v>38</v>
      </c>
      <c r="AH121" s="63" t="e">
        <f>[1]Data2025!W120</f>
        <v>#N/A</v>
      </c>
    </row>
    <row r="122" spans="1:36" ht="16.5" thickTop="1" thickBot="1">
      <c r="A122" s="41">
        <f>[1]Data2025!G121</f>
        <v>33</v>
      </c>
      <c r="B122" s="42" t="str">
        <f>[1]Data2025!K121</f>
        <v>BNU08</v>
      </c>
      <c r="C122" s="43" t="str">
        <f>[1]Data2025!D121</f>
        <v>07. 12. 01.</v>
      </c>
      <c r="D122" s="44" t="str">
        <f>[1]Data2025!C121</f>
        <v>5.1.02.02.01.0013</v>
      </c>
      <c r="E122" s="45">
        <f>[1]Data2025!E121</f>
        <v>45682</v>
      </c>
      <c r="F122" s="46" t="str">
        <f>[1]Data2025!F121</f>
        <v>05/02/2025</v>
      </c>
      <c r="G122" s="45" t="str">
        <f>[1]Data2025!H121</f>
        <v>05/02/2025</v>
      </c>
      <c r="H122" s="45" t="str">
        <f t="shared" si="3"/>
        <v>05/02/2025</v>
      </c>
      <c r="I122" s="47" t="str">
        <f>[1]Data2025!J121</f>
        <v>05/02/2025</v>
      </c>
      <c r="J122" s="48" t="str">
        <f>[1]Data2025!L121</f>
        <v>NELPI KARIANA WATI GOHAE</v>
      </c>
      <c r="K122" s="48" t="str">
        <f>[1]Data2025!M121</f>
        <v>Gaji Guru Tidak Tetap Sekolah</v>
      </c>
      <c r="L122" s="49">
        <f>[1]Data2025!N121</f>
        <v>24</v>
      </c>
      <c r="M122" s="49" t="str">
        <f>[1]Data2025!O121</f>
        <v>orang / jam pelajaran</v>
      </c>
      <c r="N122" s="50">
        <f>[1]Data2025!P121</f>
        <v>50000</v>
      </c>
      <c r="O122" s="51">
        <f>[1]Data2025!Q121</f>
        <v>1200000</v>
      </c>
      <c r="P122" s="52" t="s">
        <v>76</v>
      </c>
      <c r="Q122" s="53" t="e">
        <f>VLOOKUP(K122,[1]Sheet1!$C$1:$D$101,2,)</f>
        <v>#N/A</v>
      </c>
      <c r="R122" s="54">
        <v>2000000</v>
      </c>
      <c r="S122" s="55">
        <v>2002000</v>
      </c>
      <c r="T122" s="56">
        <f>[1]Data2025!T121</f>
        <v>0</v>
      </c>
      <c r="U122" s="57" t="s">
        <v>35</v>
      </c>
      <c r="V122" s="56" t="e">
        <f>[1]Data2025!V121</f>
        <v>#N/A</v>
      </c>
      <c r="W122" s="56" t="e">
        <f>[1]Data2025!X121</f>
        <v>#N/A</v>
      </c>
      <c r="X122" s="57" t="s">
        <v>78</v>
      </c>
      <c r="Y122" s="57" t="str">
        <f t="shared" si="4"/>
        <v>Honorarium</v>
      </c>
      <c r="Z122" s="58" t="str">
        <f t="shared" si="5"/>
        <v>Honorarium</v>
      </c>
      <c r="AA122" s="59" t="s">
        <v>73</v>
      </c>
      <c r="AB122" s="60">
        <v>2000000</v>
      </c>
      <c r="AC122" s="60">
        <v>2000000</v>
      </c>
      <c r="AD122" s="54">
        <v>2000000</v>
      </c>
      <c r="AE122" s="61">
        <v>1801801.8018018019</v>
      </c>
      <c r="AF122" s="61">
        <v>2000000</v>
      </c>
      <c r="AG122" s="62" t="s">
        <v>38</v>
      </c>
      <c r="AH122" s="63" t="e">
        <f>[1]Data2025!W121</f>
        <v>#N/A</v>
      </c>
    </row>
    <row r="123" spans="1:36" ht="26" thickTop="1" thickBot="1">
      <c r="A123" s="41">
        <f>[1]Data2025!G122</f>
        <v>34</v>
      </c>
      <c r="B123" s="42" t="str">
        <f>[1]Data2025!K122</f>
        <v>BNU09</v>
      </c>
      <c r="C123" s="43" t="str">
        <f>[1]Data2025!D122</f>
        <v>07. 12. 01.</v>
      </c>
      <c r="D123" s="44" t="str">
        <f>[1]Data2025!C122</f>
        <v>5.1.02.02.01.0013</v>
      </c>
      <c r="E123" s="45">
        <f>[1]Data2025!E122</f>
        <v>45682</v>
      </c>
      <c r="F123" s="46" t="str">
        <f>[1]Data2025!F122</f>
        <v>05/02/2025</v>
      </c>
      <c r="G123" s="45" t="str">
        <f>[1]Data2025!H122</f>
        <v>05/02/2025</v>
      </c>
      <c r="H123" s="45" t="str">
        <f t="shared" si="3"/>
        <v>05/02/2025</v>
      </c>
      <c r="I123" s="47" t="str">
        <f>[1]Data2025!J122</f>
        <v>05/02/2025</v>
      </c>
      <c r="J123" s="48" t="str">
        <f>[1]Data2025!L122</f>
        <v>MERCY GRACE KARTIKA SARI ZAGOTO (1558776677230122)</v>
      </c>
      <c r="K123" s="48" t="str">
        <f>[1]Data2025!M122</f>
        <v>Gaji Guru Tidak Tetap Sekolah</v>
      </c>
      <c r="L123" s="49">
        <f>[1]Data2025!N122</f>
        <v>35</v>
      </c>
      <c r="M123" s="49" t="str">
        <f>[1]Data2025!O122</f>
        <v>orang / jam pelajaran</v>
      </c>
      <c r="N123" s="50">
        <f>[1]Data2025!P122</f>
        <v>50000</v>
      </c>
      <c r="O123" s="51">
        <f>[1]Data2025!Q122</f>
        <v>1750000</v>
      </c>
      <c r="P123" s="52" t="s">
        <v>76</v>
      </c>
      <c r="Q123" s="53" t="e">
        <f>VLOOKUP(K123,[1]Sheet1!$C$1:$D$101,2,)</f>
        <v>#N/A</v>
      </c>
      <c r="R123" s="54">
        <v>2000000</v>
      </c>
      <c r="S123" s="55">
        <v>2002000</v>
      </c>
      <c r="T123" s="56">
        <f>[1]Data2025!T122</f>
        <v>0</v>
      </c>
      <c r="U123" s="57" t="s">
        <v>35</v>
      </c>
      <c r="V123" s="56" t="e">
        <f>[1]Data2025!V122</f>
        <v>#N/A</v>
      </c>
      <c r="W123" s="56" t="e">
        <f>[1]Data2025!X122</f>
        <v>#N/A</v>
      </c>
      <c r="X123" s="57" t="s">
        <v>78</v>
      </c>
      <c r="Y123" s="57" t="str">
        <f t="shared" si="4"/>
        <v>Honorarium</v>
      </c>
      <c r="Z123" s="58" t="str">
        <f t="shared" si="5"/>
        <v>Honorarium</v>
      </c>
      <c r="AA123" s="59" t="s">
        <v>73</v>
      </c>
      <c r="AB123" s="60">
        <v>2000000</v>
      </c>
      <c r="AC123" s="60">
        <v>2000000</v>
      </c>
      <c r="AD123" s="54">
        <v>2000000</v>
      </c>
      <c r="AE123" s="61">
        <v>1801801.8018018019</v>
      </c>
      <c r="AF123" s="61">
        <v>2000000</v>
      </c>
      <c r="AG123" s="62" t="s">
        <v>38</v>
      </c>
      <c r="AH123" s="63" t="e">
        <f>[1]Data2025!W122</f>
        <v>#N/A</v>
      </c>
    </row>
    <row r="124" spans="1:36" ht="16.5" thickTop="1" thickBot="1">
      <c r="A124" s="41">
        <f>[1]Data2025!G123</f>
        <v>35</v>
      </c>
      <c r="B124" s="42" t="str">
        <f>[1]Data2025!K123</f>
        <v>BNU10</v>
      </c>
      <c r="C124" s="43" t="str">
        <f>[1]Data2025!D123</f>
        <v>07. 12. 02.</v>
      </c>
      <c r="D124" s="44" t="str">
        <f>[1]Data2025!C123</f>
        <v>5.1.02.02.01.0026</v>
      </c>
      <c r="E124" s="45">
        <f>[1]Data2025!E123</f>
        <v>45682</v>
      </c>
      <c r="F124" s="46" t="str">
        <f>[1]Data2025!F123</f>
        <v>05/02/2025</v>
      </c>
      <c r="G124" s="45" t="str">
        <f>[1]Data2025!H123</f>
        <v>05/02/2025</v>
      </c>
      <c r="H124" s="45" t="str">
        <f t="shared" si="3"/>
        <v>05/02/2025</v>
      </c>
      <c r="I124" s="47" t="str">
        <f>[1]Data2025!J123</f>
        <v>05/02/2025</v>
      </c>
      <c r="J124" s="48" t="str">
        <f>[1]Data2025!L123</f>
        <v>Estera Nehe</v>
      </c>
      <c r="K124" s="48" t="str">
        <f>[1]Data2025!M123</f>
        <v>Gaji Pegawai Tidak Tetap Sekolah</v>
      </c>
      <c r="L124" s="49">
        <f>[1]Data2025!N123</f>
        <v>1</v>
      </c>
      <c r="M124" s="49" t="str">
        <f>[1]Data2025!O123</f>
        <v>bulan</v>
      </c>
      <c r="N124" s="50">
        <f>[1]Data2025!P123</f>
        <v>2000000</v>
      </c>
      <c r="O124" s="51">
        <f>[1]Data2025!Q123</f>
        <v>2000000</v>
      </c>
      <c r="P124" s="52" t="s">
        <v>76</v>
      </c>
      <c r="Q124" s="53" t="e">
        <f>VLOOKUP(K124,[1]Sheet1!$C$1:$D$101,2,)</f>
        <v>#N/A</v>
      </c>
      <c r="R124" s="54">
        <v>2000000</v>
      </c>
      <c r="S124" s="55">
        <v>2002000</v>
      </c>
      <c r="T124" s="56">
        <f>[1]Data2025!T123</f>
        <v>0</v>
      </c>
      <c r="U124" s="57" t="s">
        <v>35</v>
      </c>
      <c r="V124" s="56" t="e">
        <f>[1]Data2025!V123</f>
        <v>#N/A</v>
      </c>
      <c r="W124" s="56" t="e">
        <f>[1]Data2025!X123</f>
        <v>#N/A</v>
      </c>
      <c r="X124" s="57" t="s">
        <v>78</v>
      </c>
      <c r="Y124" s="57" t="str">
        <f t="shared" si="4"/>
        <v>Honorarium</v>
      </c>
      <c r="Z124" s="58" t="str">
        <f t="shared" si="5"/>
        <v>Honorarium</v>
      </c>
      <c r="AA124" s="59" t="s">
        <v>73</v>
      </c>
      <c r="AB124" s="60">
        <v>2000000</v>
      </c>
      <c r="AC124" s="60">
        <v>2000000</v>
      </c>
      <c r="AD124" s="54">
        <v>2000000</v>
      </c>
      <c r="AE124" s="61">
        <v>1801801.8018018019</v>
      </c>
      <c r="AF124" s="61">
        <v>2000000</v>
      </c>
      <c r="AG124" s="62" t="s">
        <v>38</v>
      </c>
      <c r="AH124" s="63" t="e">
        <f>[1]Data2025!W123</f>
        <v>#N/A</v>
      </c>
    </row>
    <row r="125" spans="1:36" ht="16.5" thickTop="1" thickBot="1">
      <c r="A125" s="41">
        <f>[1]Data2025!G124</f>
        <v>36</v>
      </c>
      <c r="B125" s="42" t="str">
        <f>[1]Data2025!K124</f>
        <v>BNU11</v>
      </c>
      <c r="C125" s="43" t="str">
        <f>[1]Data2025!D124</f>
        <v>07. 12. 02.</v>
      </c>
      <c r="D125" s="44" t="str">
        <f>[1]Data2025!C124</f>
        <v>5.1.02.02.01.0026</v>
      </c>
      <c r="E125" s="45">
        <f>[1]Data2025!E124</f>
        <v>45682</v>
      </c>
      <c r="F125" s="46" t="str">
        <f>[1]Data2025!F124</f>
        <v>05/02/2025</v>
      </c>
      <c r="G125" s="45" t="str">
        <f>[1]Data2025!H124</f>
        <v>05/02/2025</v>
      </c>
      <c r="H125" s="45" t="str">
        <f t="shared" si="3"/>
        <v>05/02/2025</v>
      </c>
      <c r="I125" s="47" t="str">
        <f>[1]Data2025!J124</f>
        <v>05/02/2025</v>
      </c>
      <c r="J125" s="48" t="str">
        <f>[1]Data2025!L124</f>
        <v>Hatieli Buulolo</v>
      </c>
      <c r="K125" s="48" t="str">
        <f>[1]Data2025!M124</f>
        <v>Gaji Pegawai Tidak Tetap Sekolah</v>
      </c>
      <c r="L125" s="49">
        <f>[1]Data2025!N124</f>
        <v>1</v>
      </c>
      <c r="M125" s="49" t="str">
        <f>[1]Data2025!O124</f>
        <v>bulan</v>
      </c>
      <c r="N125" s="50">
        <f>[1]Data2025!P124</f>
        <v>2500000</v>
      </c>
      <c r="O125" s="51">
        <f>[1]Data2025!Q124</f>
        <v>2500000</v>
      </c>
      <c r="P125" s="52" t="s">
        <v>76</v>
      </c>
      <c r="Q125" s="53" t="e">
        <f>VLOOKUP(K125,[1]Sheet1!$C$1:$D$101,2,)</f>
        <v>#N/A</v>
      </c>
      <c r="R125" s="54">
        <v>2000000</v>
      </c>
      <c r="S125" s="55">
        <v>2002000</v>
      </c>
      <c r="T125" s="56">
        <f>[1]Data2025!T124</f>
        <v>0</v>
      </c>
      <c r="U125" s="57" t="s">
        <v>35</v>
      </c>
      <c r="V125" s="56" t="e">
        <f>[1]Data2025!V124</f>
        <v>#N/A</v>
      </c>
      <c r="W125" s="56" t="e">
        <f>[1]Data2025!X124</f>
        <v>#N/A</v>
      </c>
      <c r="X125" s="57" t="s">
        <v>78</v>
      </c>
      <c r="Y125" s="57" t="str">
        <f t="shared" si="4"/>
        <v>Honorarium</v>
      </c>
      <c r="Z125" s="58" t="str">
        <f t="shared" si="5"/>
        <v>Honorarium</v>
      </c>
      <c r="AA125" s="59" t="s">
        <v>73</v>
      </c>
      <c r="AB125" s="60">
        <v>2000000</v>
      </c>
      <c r="AC125" s="60">
        <v>2000000</v>
      </c>
      <c r="AD125" s="54">
        <v>2000000</v>
      </c>
      <c r="AE125" s="61">
        <v>1801801.8018018019</v>
      </c>
      <c r="AF125" s="61">
        <v>2000000</v>
      </c>
      <c r="AG125" s="62" t="s">
        <v>38</v>
      </c>
      <c r="AH125" s="63" t="e">
        <f>[1]Data2025!W124</f>
        <v>#N/A</v>
      </c>
    </row>
    <row r="126" spans="1:36" ht="16.5" thickTop="1" thickBot="1">
      <c r="A126" s="41">
        <f>[1]Data2025!G125</f>
        <v>37</v>
      </c>
      <c r="B126" s="42" t="str">
        <f>[1]Data2025!K125</f>
        <v>BNU12</v>
      </c>
      <c r="C126" s="43" t="str">
        <f>[1]Data2025!D125</f>
        <v>07. 12. 02.</v>
      </c>
      <c r="D126" s="44" t="str">
        <f>[1]Data2025!C125</f>
        <v>5.1.02.02.01.0026</v>
      </c>
      <c r="E126" s="45">
        <f>[1]Data2025!E125</f>
        <v>45682</v>
      </c>
      <c r="F126" s="46" t="str">
        <f>[1]Data2025!F125</f>
        <v>05/02/2025</v>
      </c>
      <c r="G126" s="45" t="str">
        <f>[1]Data2025!H125</f>
        <v>05/02/2025</v>
      </c>
      <c r="H126" s="45" t="str">
        <f t="shared" si="3"/>
        <v>05/02/2025</v>
      </c>
      <c r="I126" s="47" t="str">
        <f>[1]Data2025!J125</f>
        <v>05/02/2025</v>
      </c>
      <c r="J126" s="48" t="str">
        <f>[1]Data2025!L125</f>
        <v>David J. Sitinjak</v>
      </c>
      <c r="K126" s="48" t="str">
        <f>[1]Data2025!M125</f>
        <v>Gaji Pegawai Tidak Tetap Sekolah</v>
      </c>
      <c r="L126" s="49">
        <f>[1]Data2025!N125</f>
        <v>1</v>
      </c>
      <c r="M126" s="49" t="str">
        <f>[1]Data2025!O125</f>
        <v>bulan</v>
      </c>
      <c r="N126" s="50">
        <f>[1]Data2025!P125</f>
        <v>2500000</v>
      </c>
      <c r="O126" s="51">
        <f>[1]Data2025!Q125</f>
        <v>2500000</v>
      </c>
      <c r="P126" s="52" t="s">
        <v>76</v>
      </c>
      <c r="Q126" s="53" t="e">
        <f>VLOOKUP(K126,[1]Sheet1!$C$1:$D$101,2,)</f>
        <v>#N/A</v>
      </c>
      <c r="R126" s="54">
        <v>2000000</v>
      </c>
      <c r="S126" s="55">
        <v>2002000</v>
      </c>
      <c r="T126" s="56">
        <f>[1]Data2025!T125</f>
        <v>0</v>
      </c>
      <c r="U126" s="57" t="s">
        <v>35</v>
      </c>
      <c r="V126" s="56" t="e">
        <f>[1]Data2025!V125</f>
        <v>#N/A</v>
      </c>
      <c r="W126" s="56" t="e">
        <f>[1]Data2025!X125</f>
        <v>#N/A</v>
      </c>
      <c r="X126" s="57" t="s">
        <v>78</v>
      </c>
      <c r="Y126" s="57" t="str">
        <f t="shared" si="4"/>
        <v>Honorarium</v>
      </c>
      <c r="Z126" s="58" t="str">
        <f t="shared" si="5"/>
        <v>Honorarium</v>
      </c>
      <c r="AA126" s="59" t="s">
        <v>73</v>
      </c>
      <c r="AB126" s="60">
        <v>2000000</v>
      </c>
      <c r="AC126" s="60">
        <v>2000000</v>
      </c>
      <c r="AD126" s="54">
        <v>2000000</v>
      </c>
      <c r="AE126" s="61">
        <v>1801801.8018018019</v>
      </c>
      <c r="AF126" s="61">
        <v>2000000</v>
      </c>
      <c r="AG126" s="62" t="s">
        <v>38</v>
      </c>
      <c r="AH126" s="63" t="e">
        <f>[1]Data2025!W125</f>
        <v>#N/A</v>
      </c>
    </row>
    <row r="127" spans="1:36" ht="16.5" thickTop="1" thickBot="1">
      <c r="A127" s="41">
        <f>[1]Data2025!G126</f>
        <v>38</v>
      </c>
      <c r="B127" s="42" t="str">
        <f>[1]Data2025!K126</f>
        <v>BNU13</v>
      </c>
      <c r="C127" s="43" t="str">
        <f>[1]Data2025!D126</f>
        <v>07. 12. 02.</v>
      </c>
      <c r="D127" s="44" t="str">
        <f>[1]Data2025!C126</f>
        <v>5.1.02.02.01.0026</v>
      </c>
      <c r="E127" s="45">
        <f>[1]Data2025!E126</f>
        <v>45682</v>
      </c>
      <c r="F127" s="46" t="str">
        <f>[1]Data2025!F126</f>
        <v>05/02/2025</v>
      </c>
      <c r="G127" s="45" t="str">
        <f>[1]Data2025!H126</f>
        <v>05/02/2025</v>
      </c>
      <c r="H127" s="45" t="str">
        <f t="shared" si="3"/>
        <v>05/02/2025</v>
      </c>
      <c r="I127" s="47" t="str">
        <f>[1]Data2025!J126</f>
        <v>05/02/2025</v>
      </c>
      <c r="J127" s="48" t="str">
        <f>[1]Data2025!L126</f>
        <v>Siona Ziraluo</v>
      </c>
      <c r="K127" s="48" t="str">
        <f>[1]Data2025!M126</f>
        <v>Gaji Pegawai Tidak Tetap Sekolah</v>
      </c>
      <c r="L127" s="49">
        <f>[1]Data2025!N126</f>
        <v>1</v>
      </c>
      <c r="M127" s="49" t="str">
        <f>[1]Data2025!O126</f>
        <v>bulan</v>
      </c>
      <c r="N127" s="50">
        <f>[1]Data2025!P126</f>
        <v>2000000</v>
      </c>
      <c r="O127" s="51">
        <f>[1]Data2025!Q126</f>
        <v>2000000</v>
      </c>
      <c r="P127" s="52" t="s">
        <v>76</v>
      </c>
      <c r="Q127" s="53" t="e">
        <f>VLOOKUP(K127,[1]Sheet1!$C$1:$D$101,2,)</f>
        <v>#N/A</v>
      </c>
      <c r="R127" s="54">
        <v>1000000</v>
      </c>
      <c r="S127" s="55">
        <v>1002000</v>
      </c>
      <c r="T127" s="56">
        <f>[1]Data2025!T126</f>
        <v>0</v>
      </c>
      <c r="U127" s="57" t="s">
        <v>35</v>
      </c>
      <c r="V127" s="56" t="e">
        <f>[1]Data2025!V126</f>
        <v>#N/A</v>
      </c>
      <c r="W127" s="56" t="e">
        <f>[1]Data2025!X126</f>
        <v>#N/A</v>
      </c>
      <c r="X127" s="57" t="s">
        <v>78</v>
      </c>
      <c r="Y127" s="57" t="str">
        <f t="shared" si="4"/>
        <v>Honorarium</v>
      </c>
      <c r="Z127" s="58" t="str">
        <f t="shared" si="5"/>
        <v>Honorarium</v>
      </c>
      <c r="AA127" s="59" t="s">
        <v>73</v>
      </c>
      <c r="AB127" s="60">
        <v>1000000</v>
      </c>
      <c r="AC127" s="60">
        <v>1000000</v>
      </c>
      <c r="AD127" s="54">
        <v>1000000</v>
      </c>
      <c r="AE127" s="61">
        <v>900900.90090090095</v>
      </c>
      <c r="AF127" s="61">
        <v>1000000</v>
      </c>
      <c r="AG127" s="62" t="s">
        <v>38</v>
      </c>
      <c r="AH127" s="63" t="e">
        <f>[1]Data2025!W126</f>
        <v>#N/A</v>
      </c>
    </row>
    <row r="128" spans="1:36" ht="16.5" thickTop="1" thickBot="1">
      <c r="A128" s="41">
        <f>[1]Data2025!G127</f>
        <v>39</v>
      </c>
      <c r="B128" s="42" t="str">
        <f>[1]Data2025!K127</f>
        <v>BNU14</v>
      </c>
      <c r="C128" s="43" t="str">
        <f>[1]Data2025!D127</f>
        <v>07. 12. 02.</v>
      </c>
      <c r="D128" s="44" t="str">
        <f>[1]Data2025!C127</f>
        <v>5.1.02.02.01.0026</v>
      </c>
      <c r="E128" s="45">
        <f>[1]Data2025!E127</f>
        <v>45682</v>
      </c>
      <c r="F128" s="46" t="str">
        <f>[1]Data2025!F127</f>
        <v>05/02/2025</v>
      </c>
      <c r="G128" s="45" t="str">
        <f>[1]Data2025!H127</f>
        <v>05/02/2025</v>
      </c>
      <c r="H128" s="45" t="str">
        <f t="shared" si="3"/>
        <v>05/02/2025</v>
      </c>
      <c r="I128" s="47" t="str">
        <f>[1]Data2025!J127</f>
        <v>05/02/2025</v>
      </c>
      <c r="J128" s="48" t="str">
        <f>[1]Data2025!L127</f>
        <v>Merdina Ziraluo</v>
      </c>
      <c r="K128" s="48" t="str">
        <f>[1]Data2025!M127</f>
        <v>Gaji Pegawai Tidak Tetap Sekolah</v>
      </c>
      <c r="L128" s="49">
        <f>[1]Data2025!N127</f>
        <v>1</v>
      </c>
      <c r="M128" s="49" t="str">
        <f>[1]Data2025!O127</f>
        <v>bulan</v>
      </c>
      <c r="N128" s="50">
        <f>[1]Data2025!P127</f>
        <v>2500000</v>
      </c>
      <c r="O128" s="51">
        <f>[1]Data2025!Q127</f>
        <v>2500000</v>
      </c>
      <c r="P128" s="52" t="s">
        <v>76</v>
      </c>
      <c r="Q128" s="53" t="e">
        <f>VLOOKUP(K128,[1]Sheet1!$C$1:$D$101,2,)</f>
        <v>#N/A</v>
      </c>
      <c r="R128" s="54">
        <v>3200000</v>
      </c>
      <c r="S128" s="55">
        <v>3360000</v>
      </c>
      <c r="T128" s="56">
        <f>[1]Data2025!T127</f>
        <v>0</v>
      </c>
      <c r="U128" s="57" t="s">
        <v>62</v>
      </c>
      <c r="V128" s="56" t="e">
        <f>[1]Data2025!V127</f>
        <v>#N/A</v>
      </c>
      <c r="W128" s="56" t="e">
        <f>[1]Data2025!X127</f>
        <v>#N/A</v>
      </c>
      <c r="X128" s="57" t="s">
        <v>63</v>
      </c>
      <c r="Y128" s="57" t="str">
        <f t="shared" si="4"/>
        <v>Honorarium</v>
      </c>
      <c r="Z128" s="58" t="str">
        <f t="shared" si="5"/>
        <v>Honorarium</v>
      </c>
      <c r="AA128" s="59" t="s">
        <v>37</v>
      </c>
      <c r="AB128" s="60">
        <v>40000</v>
      </c>
      <c r="AC128" s="60">
        <v>3200000</v>
      </c>
      <c r="AD128" s="54">
        <v>3200000</v>
      </c>
      <c r="AE128" s="61">
        <v>2882882.8828828828</v>
      </c>
      <c r="AF128" s="61">
        <v>3200000</v>
      </c>
      <c r="AG128" s="62" t="s">
        <v>38</v>
      </c>
      <c r="AH128" s="63" t="e">
        <f>[1]Data2025!W127</f>
        <v>#N/A</v>
      </c>
    </row>
    <row r="129" spans="1:34" ht="16.5" thickTop="1" thickBot="1">
      <c r="A129" s="41">
        <f>[1]Data2025!G128</f>
        <v>40</v>
      </c>
      <c r="B129" s="42" t="str">
        <f>[1]Data2025!K128</f>
        <v>BNU15</v>
      </c>
      <c r="C129" s="43" t="str">
        <f>[1]Data2025!D128</f>
        <v>07. 12. 02.</v>
      </c>
      <c r="D129" s="44" t="str">
        <f>[1]Data2025!C128</f>
        <v>5.1.02.02.01.0026</v>
      </c>
      <c r="E129" s="45">
        <f>[1]Data2025!E128</f>
        <v>45682</v>
      </c>
      <c r="F129" s="46" t="str">
        <f>[1]Data2025!F128</f>
        <v>05/02/2025</v>
      </c>
      <c r="G129" s="45" t="str">
        <f>[1]Data2025!H128</f>
        <v>05/02/2025</v>
      </c>
      <c r="H129" s="45" t="str">
        <f t="shared" si="3"/>
        <v>05/02/2025</v>
      </c>
      <c r="I129" s="47" t="str">
        <f>[1]Data2025!J128</f>
        <v>05/02/2025</v>
      </c>
      <c r="J129" s="48" t="str">
        <f>[1]Data2025!L128</f>
        <v>Oksilia Buulolo, S.S</v>
      </c>
      <c r="K129" s="48" t="str">
        <f>[1]Data2025!M128</f>
        <v>Gaji Pegawai Tidak Tetap Sekolah</v>
      </c>
      <c r="L129" s="49">
        <f>[1]Data2025!N128</f>
        <v>1</v>
      </c>
      <c r="M129" s="49" t="str">
        <f>[1]Data2025!O128</f>
        <v>bulan/orang</v>
      </c>
      <c r="N129" s="50">
        <f>[1]Data2025!P128</f>
        <v>2000000</v>
      </c>
      <c r="O129" s="51">
        <f>[1]Data2025!Q128</f>
        <v>2000000</v>
      </c>
      <c r="P129" s="52" t="s">
        <v>76</v>
      </c>
      <c r="Q129" s="53" t="e">
        <f>VLOOKUP(K129,[1]Sheet1!$C$1:$D$101,2,)</f>
        <v>#N/A</v>
      </c>
      <c r="R129" s="54">
        <v>1200000</v>
      </c>
      <c r="S129" s="55">
        <v>1360000</v>
      </c>
      <c r="T129" s="56">
        <f>[1]Data2025!T128</f>
        <v>0</v>
      </c>
      <c r="U129" s="57" t="s">
        <v>60</v>
      </c>
      <c r="V129" s="56" t="e">
        <f>[1]Data2025!V128</f>
        <v>#N/A</v>
      </c>
      <c r="W129" s="56" t="e">
        <f>[1]Data2025!X128</f>
        <v>#N/A</v>
      </c>
      <c r="X129" s="57" t="s">
        <v>61</v>
      </c>
      <c r="Y129" s="57" t="str">
        <f t="shared" si="4"/>
        <v>Honorarium</v>
      </c>
      <c r="Z129" s="58" t="str">
        <f t="shared" si="5"/>
        <v>Honorarium</v>
      </c>
      <c r="AA129" s="59" t="s">
        <v>37</v>
      </c>
      <c r="AB129" s="60">
        <v>15000</v>
      </c>
      <c r="AC129" s="60">
        <v>1200000</v>
      </c>
      <c r="AD129" s="54">
        <v>1200000</v>
      </c>
      <c r="AE129" s="61">
        <v>1081081.0810810812</v>
      </c>
      <c r="AF129" s="61">
        <v>1200000</v>
      </c>
      <c r="AG129" s="62" t="s">
        <v>38</v>
      </c>
      <c r="AH129" s="63" t="e">
        <f>[1]Data2025!W128</f>
        <v>#N/A</v>
      </c>
    </row>
    <row r="130" spans="1:34" ht="16.5" thickTop="1" thickBot="1">
      <c r="A130" s="41">
        <f>[1]Data2025!G129</f>
        <v>41</v>
      </c>
      <c r="B130" s="42" t="str">
        <f>[1]Data2025!K129</f>
        <v>BNU16</v>
      </c>
      <c r="C130" s="43" t="str">
        <f>[1]Data2025!D129</f>
        <v>07. 12. 02.</v>
      </c>
      <c r="D130" s="44" t="str">
        <f>[1]Data2025!C129</f>
        <v>5.1.02.02.01.0026</v>
      </c>
      <c r="E130" s="45">
        <f>[1]Data2025!E129</f>
        <v>45682</v>
      </c>
      <c r="F130" s="46" t="str">
        <f>[1]Data2025!F129</f>
        <v>05/02/2025</v>
      </c>
      <c r="G130" s="45" t="str">
        <f>[1]Data2025!H129</f>
        <v>05/02/2025</v>
      </c>
      <c r="H130" s="45" t="str">
        <f t="shared" si="3"/>
        <v>05/02/2025</v>
      </c>
      <c r="I130" s="47" t="str">
        <f>[1]Data2025!J129</f>
        <v>05/02/2025</v>
      </c>
      <c r="J130" s="48" t="str">
        <f>[1]Data2025!L129</f>
        <v>Novika Efdimasari Halawa, S.S.I</v>
      </c>
      <c r="K130" s="48" t="str">
        <f>[1]Data2025!M129</f>
        <v>Gaji Pegawai Tidak Tetap Sekolah</v>
      </c>
      <c r="L130" s="49">
        <f>[1]Data2025!N129</f>
        <v>1</v>
      </c>
      <c r="M130" s="49" t="str">
        <f>[1]Data2025!O129</f>
        <v>bulan/orang</v>
      </c>
      <c r="N130" s="50">
        <f>[1]Data2025!P129</f>
        <v>2000000</v>
      </c>
      <c r="O130" s="51">
        <f>[1]Data2025!Q129</f>
        <v>2000000</v>
      </c>
      <c r="P130" s="52" t="s">
        <v>76</v>
      </c>
      <c r="Q130" s="53" t="e">
        <f>VLOOKUP(K130,[1]Sheet1!$C$1:$D$101,2,)</f>
        <v>#N/A</v>
      </c>
      <c r="R130" s="54">
        <v>900000</v>
      </c>
      <c r="S130" s="55">
        <v>1020000</v>
      </c>
      <c r="T130" s="56">
        <f>[1]Data2025!T129</f>
        <v>0</v>
      </c>
      <c r="U130" s="57" t="s">
        <v>60</v>
      </c>
      <c r="V130" s="56" t="e">
        <f>[1]Data2025!V129</f>
        <v>#N/A</v>
      </c>
      <c r="W130" s="56" t="e">
        <f>[1]Data2025!X129</f>
        <v>#N/A</v>
      </c>
      <c r="X130" s="57" t="s">
        <v>61</v>
      </c>
      <c r="Y130" s="57" t="str">
        <f t="shared" si="4"/>
        <v>Honorarium</v>
      </c>
      <c r="Z130" s="58" t="str">
        <f t="shared" si="5"/>
        <v>Honorarium</v>
      </c>
      <c r="AA130" s="59" t="s">
        <v>42</v>
      </c>
      <c r="AB130" s="60">
        <v>15000</v>
      </c>
      <c r="AC130" s="60">
        <v>900000</v>
      </c>
      <c r="AD130" s="54">
        <v>900000</v>
      </c>
      <c r="AE130" s="61">
        <v>810810.81081081077</v>
      </c>
      <c r="AF130" s="61">
        <v>900000</v>
      </c>
      <c r="AG130" s="62" t="s">
        <v>38</v>
      </c>
      <c r="AH130" s="63" t="e">
        <f>[1]Data2025!W129</f>
        <v>#N/A</v>
      </c>
    </row>
    <row r="131" spans="1:34" ht="16.5" thickTop="1" thickBot="1">
      <c r="A131" s="41">
        <f>[1]Data2025!G130</f>
        <v>42</v>
      </c>
      <c r="B131" s="42" t="str">
        <f>[1]Data2025!K130</f>
        <v>BNU17</v>
      </c>
      <c r="C131" s="43" t="str">
        <f>[1]Data2025!D130</f>
        <v>07. 12. 04.</v>
      </c>
      <c r="D131" s="44" t="str">
        <f>[1]Data2025!C130</f>
        <v>5.1.02.02.01.0016</v>
      </c>
      <c r="E131" s="45">
        <f>[1]Data2025!E130</f>
        <v>45682</v>
      </c>
      <c r="F131" s="46" t="str">
        <f>[1]Data2025!F130</f>
        <v>05/02/2025</v>
      </c>
      <c r="G131" s="45" t="str">
        <f>[1]Data2025!H130</f>
        <v>05/02/2025</v>
      </c>
      <c r="H131" s="45" t="str">
        <f t="shared" si="3"/>
        <v>05/02/2025</v>
      </c>
      <c r="I131" s="47" t="str">
        <f>[1]Data2025!J130</f>
        <v>05/02/2025</v>
      </c>
      <c r="J131" s="48" t="str">
        <f>[1]Data2025!L130</f>
        <v>Zefrianus Zai</v>
      </c>
      <c r="K131" s="48" t="str">
        <f>[1]Data2025!M130</f>
        <v>Gaji Pegawai Tidak Tetap Sekolah</v>
      </c>
      <c r="L131" s="49">
        <f>[1]Data2025!N130</f>
        <v>1</v>
      </c>
      <c r="M131" s="49" t="str">
        <f>[1]Data2025!O130</f>
        <v>bulan/orang</v>
      </c>
      <c r="N131" s="50">
        <f>[1]Data2025!P130</f>
        <v>2000000</v>
      </c>
      <c r="O131" s="51">
        <f>[1]Data2025!Q130</f>
        <v>2000000</v>
      </c>
      <c r="P131" s="52" t="s">
        <v>76</v>
      </c>
      <c r="Q131" s="53" t="e">
        <f>VLOOKUP(K131,[1]Sheet1!$C$1:$D$101,2,)</f>
        <v>#N/A</v>
      </c>
      <c r="R131" s="54">
        <v>28000000</v>
      </c>
      <c r="S131" s="55">
        <v>28004000</v>
      </c>
      <c r="T131" s="56">
        <f>[1]Data2025!T130</f>
        <v>0</v>
      </c>
      <c r="U131" s="57" t="s">
        <v>35</v>
      </c>
      <c r="V131" s="56" t="e">
        <f>[1]Data2025!V130</f>
        <v>#N/A</v>
      </c>
      <c r="W131" s="56" t="e">
        <f>[1]Data2025!X130</f>
        <v>#N/A</v>
      </c>
      <c r="X131" s="57" t="s">
        <v>78</v>
      </c>
      <c r="Y131" s="57" t="str">
        <f t="shared" si="4"/>
        <v>Honorarium</v>
      </c>
      <c r="Z131" s="58" t="str">
        <f t="shared" si="5"/>
        <v>Honorarium</v>
      </c>
      <c r="AA131" s="59" t="s">
        <v>55</v>
      </c>
      <c r="AB131" s="60">
        <v>14000000</v>
      </c>
      <c r="AC131" s="60">
        <v>28000000</v>
      </c>
      <c r="AD131" s="54">
        <v>28000000</v>
      </c>
      <c r="AE131" s="61">
        <v>25225225.225225225</v>
      </c>
      <c r="AF131" s="61">
        <v>28000000</v>
      </c>
      <c r="AG131" s="62" t="s">
        <v>38</v>
      </c>
      <c r="AH131" s="63" t="e">
        <f>[1]Data2025!W130</f>
        <v>#N/A</v>
      </c>
    </row>
    <row r="132" spans="1:34" ht="16.5" thickTop="1" thickBot="1">
      <c r="A132" s="41">
        <f>[1]Data2025!G131</f>
        <v>43</v>
      </c>
      <c r="B132" s="42" t="str">
        <f>[1]Data2025!K131</f>
        <v>BPU32</v>
      </c>
      <c r="C132" s="43" t="str">
        <f>[1]Data2025!D131</f>
        <v>07. 12. 04.</v>
      </c>
      <c r="D132" s="44" t="str">
        <f>[1]Data2025!C131</f>
        <v>5.1.02.02.01.0030</v>
      </c>
      <c r="E132" s="45">
        <f>[1]Data2025!E131</f>
        <v>45682</v>
      </c>
      <c r="F132" s="46" t="str">
        <f>[1]Data2025!F131</f>
        <v>05/02/2025</v>
      </c>
      <c r="G132" s="45" t="str">
        <f>[1]Data2025!H131</f>
        <v>05/02/2025</v>
      </c>
      <c r="H132" s="45" t="str">
        <f t="shared" si="3"/>
        <v>05/02/2025</v>
      </c>
      <c r="I132" s="47" t="str">
        <f>[1]Data2025!J131</f>
        <v>05/02/2025</v>
      </c>
      <c r="J132" s="48" t="str">
        <f>[1]Data2025!L131</f>
        <v>Thomas Hondro</v>
      </c>
      <c r="K132" s="48" t="str">
        <f>[1]Data2025!M131</f>
        <v>Gaji Pegawai Tidak Tetap Sekolah</v>
      </c>
      <c r="L132" s="49">
        <f>[1]Data2025!N131</f>
        <v>1</v>
      </c>
      <c r="M132" s="49" t="str">
        <f>[1]Data2025!O131</f>
        <v>bulan</v>
      </c>
      <c r="N132" s="50">
        <f>[1]Data2025!P131</f>
        <v>1000000</v>
      </c>
      <c r="O132" s="51">
        <f>[1]Data2025!Q131</f>
        <v>1000000</v>
      </c>
      <c r="P132" s="52" t="s">
        <v>76</v>
      </c>
      <c r="Q132" s="53" t="e">
        <f>VLOOKUP(K132,[1]Sheet1!$C$1:$D$101,2,)</f>
        <v>#N/A</v>
      </c>
      <c r="R132" s="54">
        <v>15600000</v>
      </c>
      <c r="S132" s="55">
        <v>15604000</v>
      </c>
      <c r="T132" s="56">
        <f>[1]Data2025!T131</f>
        <v>0</v>
      </c>
      <c r="U132" s="57" t="s">
        <v>35</v>
      </c>
      <c r="V132" s="56" t="e">
        <f>[1]Data2025!V131</f>
        <v>#N/A</v>
      </c>
      <c r="W132" s="56" t="e">
        <f>[1]Data2025!X131</f>
        <v>#N/A</v>
      </c>
      <c r="X132" s="57" t="s">
        <v>78</v>
      </c>
      <c r="Y132" s="57" t="str">
        <f t="shared" si="4"/>
        <v>Honorarium</v>
      </c>
      <c r="Z132" s="58" t="str">
        <f t="shared" si="5"/>
        <v>Honorarium</v>
      </c>
      <c r="AA132" s="59" t="s">
        <v>55</v>
      </c>
      <c r="AB132" s="60">
        <v>7800000</v>
      </c>
      <c r="AC132" s="60">
        <v>15600000</v>
      </c>
      <c r="AD132" s="54">
        <v>15600000</v>
      </c>
      <c r="AE132" s="61">
        <v>14054054.054054054</v>
      </c>
      <c r="AF132" s="61">
        <v>15600000</v>
      </c>
      <c r="AG132" s="62" t="s">
        <v>38</v>
      </c>
      <c r="AH132" s="63" t="e">
        <f>[1]Data2025!W131</f>
        <v>#N/A</v>
      </c>
    </row>
    <row r="133" spans="1:34" ht="16.5" thickTop="1" thickBot="1">
      <c r="A133" s="41">
        <f>[1]Data2025!G132</f>
        <v>0</v>
      </c>
      <c r="B133" s="42">
        <f>[1]Data2025!K132</f>
        <v>0</v>
      </c>
      <c r="C133" s="43">
        <f>[1]Data2025!D132</f>
        <v>0</v>
      </c>
      <c r="D133" s="44">
        <f>[1]Data2025!C132</f>
        <v>0</v>
      </c>
      <c r="E133" s="45">
        <f>[1]Data2025!E132</f>
        <v>0</v>
      </c>
      <c r="F133" s="46">
        <f>[1]Data2025!F132</f>
        <v>0</v>
      </c>
      <c r="G133" s="45">
        <f>[1]Data2025!H132</f>
        <v>0</v>
      </c>
      <c r="H133" s="45">
        <f t="shared" ref="H133:H196" si="7">G133</f>
        <v>0</v>
      </c>
      <c r="I133" s="47">
        <f>[1]Data2025!J132</f>
        <v>0</v>
      </c>
      <c r="J133" s="48">
        <f>[1]Data2025!L132</f>
        <v>0</v>
      </c>
      <c r="K133" s="48">
        <f>[1]Data2025!M132</f>
        <v>0</v>
      </c>
      <c r="L133" s="49">
        <f>[1]Data2025!N132</f>
        <v>0</v>
      </c>
      <c r="M133" s="49">
        <f>[1]Data2025!O132</f>
        <v>0</v>
      </c>
      <c r="N133" s="50">
        <f>[1]Data2025!P132</f>
        <v>0</v>
      </c>
      <c r="O133" s="51">
        <f>[1]Data2025!Q132</f>
        <v>0</v>
      </c>
      <c r="P133" s="52"/>
      <c r="Q133" s="53" t="e">
        <f>VLOOKUP(K133,[1]Sheet1!$C$1:$D$101,2,)</f>
        <v>#N/A</v>
      </c>
      <c r="R133" s="54">
        <v>55000</v>
      </c>
      <c r="S133" s="55">
        <v>65000</v>
      </c>
      <c r="T133" s="56">
        <f>[1]Data2025!T132</f>
        <v>0</v>
      </c>
      <c r="U133" s="57" t="s">
        <v>35</v>
      </c>
      <c r="V133" s="56" t="e">
        <f>[1]Data2025!V132</f>
        <v>#N/A</v>
      </c>
      <c r="W133" s="56" t="e">
        <f>[1]Data2025!X132</f>
        <v>#N/A</v>
      </c>
      <c r="X133" s="57" t="s">
        <v>36</v>
      </c>
      <c r="Y133" s="57">
        <f t="shared" ref="Y133:Y196" si="8">P133</f>
        <v>0</v>
      </c>
      <c r="Z133" s="58">
        <f t="shared" ref="Z133:Z196" si="9">Y133</f>
        <v>0</v>
      </c>
      <c r="AA133" s="59" t="s">
        <v>37</v>
      </c>
      <c r="AB133" s="60">
        <v>11000</v>
      </c>
      <c r="AC133" s="60">
        <v>55000</v>
      </c>
      <c r="AD133" s="54">
        <v>55000</v>
      </c>
      <c r="AE133" s="61">
        <v>49549.549549549549</v>
      </c>
      <c r="AF133" s="61">
        <v>55000</v>
      </c>
      <c r="AG133" s="62" t="s">
        <v>38</v>
      </c>
      <c r="AH133" s="63" t="e">
        <f>[1]Data2025!W132</f>
        <v>#N/A</v>
      </c>
    </row>
    <row r="134" spans="1:34" ht="26" thickTop="1" thickBot="1">
      <c r="A134" s="41">
        <f>[1]Data2025!G133</f>
        <v>100</v>
      </c>
      <c r="B134" s="42" t="str">
        <f>[1]Data2025!K133</f>
        <v>BNU36</v>
      </c>
      <c r="C134" s="43" t="str">
        <f>[1]Data2025!D133</f>
        <v>05. 02. 03.</v>
      </c>
      <c r="D134" s="44" t="str">
        <f>[1]Data2025!C133</f>
        <v>5.2.05.01.01.0001</v>
      </c>
      <c r="E134" s="45">
        <f>[1]Data2025!E133</f>
        <v>45667</v>
      </c>
      <c r="F134" s="46" t="str">
        <f>[1]Data2025!F133</f>
        <v>11/03/2025</v>
      </c>
      <c r="G134" s="45" t="str">
        <f>[1]Data2025!H133</f>
        <v>12/03/2025</v>
      </c>
      <c r="H134" s="45" t="str">
        <f t="shared" si="7"/>
        <v>12/03/2025</v>
      </c>
      <c r="I134" s="47" t="str">
        <f>[1]Data2025!J133</f>
        <v>14/03/2025</v>
      </c>
      <c r="J134" s="48" t="str">
        <f>[1]Data2025!L133</f>
        <v>PROYEK PENGUATAN PROFIL PELAJAR PANCASILA (P5) KELAS 10 SMA</v>
      </c>
      <c r="K134" s="48" t="str">
        <f>[1]Data2025!M133</f>
        <v>Buku Paket</v>
      </c>
      <c r="L134" s="49">
        <f>[1]Data2025!N133</f>
        <v>320</v>
      </c>
      <c r="M134" s="49" t="str">
        <f>[1]Data2025!O133</f>
        <v>eksemplar</v>
      </c>
      <c r="N134" s="50">
        <f>[1]Data2025!P133</f>
        <v>106500</v>
      </c>
      <c r="O134" s="51">
        <f>[1]Data2025!Q133</f>
        <v>34080000</v>
      </c>
      <c r="P134" s="52" t="s">
        <v>79</v>
      </c>
      <c r="Q134" s="53" t="e">
        <f>VLOOKUP(K134,[1]Sheet1!$C$1:$D$101,2,)</f>
        <v>#N/A</v>
      </c>
      <c r="R134" s="54">
        <v>95000</v>
      </c>
      <c r="S134" s="55">
        <v>97000</v>
      </c>
      <c r="T134" s="56">
        <f>[1]Data2025!T133</f>
        <v>0</v>
      </c>
      <c r="U134" s="57" t="s">
        <v>35</v>
      </c>
      <c r="V134" s="56" t="e">
        <f>[1]Data2025!V133</f>
        <v>#N/A</v>
      </c>
      <c r="W134" s="56" t="e">
        <f>[1]Data2025!X133</f>
        <v>#N/A</v>
      </c>
      <c r="X134" s="57" t="s">
        <v>36</v>
      </c>
      <c r="Y134" s="57" t="str">
        <f t="shared" si="8"/>
        <v>Buku Paket Siswa dan Guru</v>
      </c>
      <c r="Z134" s="58" t="str">
        <f t="shared" si="9"/>
        <v>Buku Paket Siswa dan Guru</v>
      </c>
      <c r="AA134" s="59" t="s">
        <v>40</v>
      </c>
      <c r="AB134" s="60">
        <v>95000</v>
      </c>
      <c r="AC134" s="60">
        <v>95000</v>
      </c>
      <c r="AD134" s="54">
        <v>95000</v>
      </c>
      <c r="AE134" s="61">
        <v>85585.585585585592</v>
      </c>
      <c r="AF134" s="61">
        <v>95000</v>
      </c>
      <c r="AG134" s="62" t="s">
        <v>38</v>
      </c>
      <c r="AH134" s="63" t="e">
        <f>[1]Data2025!W133</f>
        <v>#N/A</v>
      </c>
    </row>
    <row r="135" spans="1:34" ht="26" thickTop="1" thickBot="1">
      <c r="A135" s="41">
        <f>[1]Data2025!G134</f>
        <v>101</v>
      </c>
      <c r="B135" s="42" t="str">
        <f>[1]Data2025!K134</f>
        <v>BNU37</v>
      </c>
      <c r="C135" s="43" t="str">
        <f>[1]Data2025!D134</f>
        <v>05. 02. 03.</v>
      </c>
      <c r="D135" s="44" t="str">
        <f>[1]Data2025!C134</f>
        <v>5.2.05.01.01.0001</v>
      </c>
      <c r="E135" s="45">
        <f>[1]Data2025!E134</f>
        <v>45667</v>
      </c>
      <c r="F135" s="46" t="str">
        <f>[1]Data2025!F134</f>
        <v>11/03/2025</v>
      </c>
      <c r="G135" s="45" t="str">
        <f>[1]Data2025!H134</f>
        <v>12/03/2025</v>
      </c>
      <c r="H135" s="45" t="str">
        <f t="shared" si="7"/>
        <v>12/03/2025</v>
      </c>
      <c r="I135" s="47" t="str">
        <f>[1]Data2025!J134</f>
        <v>14/03/2025</v>
      </c>
      <c r="J135" s="48" t="str">
        <f>[1]Data2025!L134</f>
        <v>PROYEK PENGUATAN PROFIL PELAJAR PANCASILA (P5) KELAS 11 SMA</v>
      </c>
      <c r="K135" s="48" t="str">
        <f>[1]Data2025!M134</f>
        <v>Buku Paket</v>
      </c>
      <c r="L135" s="49">
        <f>[1]Data2025!N134</f>
        <v>180</v>
      </c>
      <c r="M135" s="49" t="str">
        <f>[1]Data2025!O134</f>
        <v>eksemplar</v>
      </c>
      <c r="N135" s="50">
        <f>[1]Data2025!P134</f>
        <v>106500</v>
      </c>
      <c r="O135" s="51">
        <f>[1]Data2025!Q134</f>
        <v>19170000</v>
      </c>
      <c r="P135" s="52" t="s">
        <v>79</v>
      </c>
      <c r="Q135" s="53" t="e">
        <f>VLOOKUP(K135,[1]Sheet1!$C$1:$D$101,2,)</f>
        <v>#N/A</v>
      </c>
      <c r="R135" s="54">
        <v>550000</v>
      </c>
      <c r="S135" s="55">
        <v>750000</v>
      </c>
      <c r="T135" s="56">
        <f>[1]Data2025!T134</f>
        <v>0</v>
      </c>
      <c r="U135" s="57" t="s">
        <v>35</v>
      </c>
      <c r="V135" s="56" t="e">
        <f>[1]Data2025!V134</f>
        <v>#N/A</v>
      </c>
      <c r="W135" s="56" t="e">
        <f>[1]Data2025!X134</f>
        <v>#N/A</v>
      </c>
      <c r="X135" s="57" t="s">
        <v>36</v>
      </c>
      <c r="Y135" s="57" t="str">
        <f t="shared" si="8"/>
        <v>Buku Paket Siswa dan Guru</v>
      </c>
      <c r="Z135" s="58" t="str">
        <f t="shared" si="9"/>
        <v>Buku Paket Siswa dan Guru</v>
      </c>
      <c r="AA135" s="59" t="s">
        <v>42</v>
      </c>
      <c r="AB135" s="60">
        <v>5500</v>
      </c>
      <c r="AC135" s="60">
        <v>550000</v>
      </c>
      <c r="AD135" s="54">
        <v>550000</v>
      </c>
      <c r="AE135" s="61">
        <v>495495.4954954955</v>
      </c>
      <c r="AF135" s="61">
        <v>550000</v>
      </c>
      <c r="AG135" s="62" t="s">
        <v>38</v>
      </c>
      <c r="AH135" s="63" t="e">
        <f>[1]Data2025!W134</f>
        <v>#N/A</v>
      </c>
    </row>
    <row r="136" spans="1:34" ht="16.5" thickTop="1" thickBot="1">
      <c r="A136" s="41">
        <f>[1]Data2025!G135</f>
        <v>102</v>
      </c>
      <c r="B136" s="42" t="str">
        <f>[1]Data2025!K135</f>
        <v>BNU35</v>
      </c>
      <c r="C136" s="43" t="str">
        <f>[1]Data2025!D135</f>
        <v>05. 02. 03.</v>
      </c>
      <c r="D136" s="44" t="str">
        <f>[1]Data2025!C135</f>
        <v>5.2.05.01.01.0001</v>
      </c>
      <c r="E136" s="45">
        <f>[1]Data2025!E135</f>
        <v>45667</v>
      </c>
      <c r="F136" s="46" t="str">
        <f>[1]Data2025!F135</f>
        <v>11/03/2025</v>
      </c>
      <c r="G136" s="45" t="str">
        <f>[1]Data2025!H135</f>
        <v>12/03/2025</v>
      </c>
      <c r="H136" s="45" t="str">
        <f t="shared" si="7"/>
        <v>12/03/2025</v>
      </c>
      <c r="I136" s="47" t="str">
        <f>[1]Data2025!J135</f>
        <v>14/03/2025</v>
      </c>
      <c r="J136" s="48" t="str">
        <f>[1]Data2025!L135</f>
        <v>Buku Perpustakaan-Buku Perpustakaan</v>
      </c>
      <c r="K136" s="48" t="str">
        <f>[1]Data2025!M135</f>
        <v>Buku Paket</v>
      </c>
      <c r="L136" s="49">
        <f>[1]Data2025!N135</f>
        <v>224</v>
      </c>
      <c r="M136" s="49" t="str">
        <f>[1]Data2025!O135</f>
        <v>eksemplar</v>
      </c>
      <c r="N136" s="50">
        <f>[1]Data2025!P135</f>
        <v>106500</v>
      </c>
      <c r="O136" s="51">
        <f>[1]Data2025!Q135</f>
        <v>23856000</v>
      </c>
      <c r="P136" s="52" t="s">
        <v>79</v>
      </c>
      <c r="Q136" s="53" t="e">
        <f>VLOOKUP(K136,[1]Sheet1!$C$1:$D$101,2,)</f>
        <v>#N/A</v>
      </c>
      <c r="R136" s="54">
        <v>120000</v>
      </c>
      <c r="S136" s="55">
        <v>124000</v>
      </c>
      <c r="T136" s="56">
        <f>[1]Data2025!T135</f>
        <v>0</v>
      </c>
      <c r="U136" s="57" t="s">
        <v>35</v>
      </c>
      <c r="V136" s="56" t="e">
        <f>[1]Data2025!V135</f>
        <v>#N/A</v>
      </c>
      <c r="W136" s="56" t="e">
        <f>[1]Data2025!X135</f>
        <v>#N/A</v>
      </c>
      <c r="X136" s="57" t="s">
        <v>36</v>
      </c>
      <c r="Y136" s="57" t="str">
        <f t="shared" si="8"/>
        <v>Buku Paket Siswa dan Guru</v>
      </c>
      <c r="Z136" s="58" t="str">
        <f t="shared" si="9"/>
        <v>Buku Paket Siswa dan Guru</v>
      </c>
      <c r="AA136" s="59" t="s">
        <v>44</v>
      </c>
      <c r="AB136" s="60">
        <v>60000</v>
      </c>
      <c r="AC136" s="60">
        <v>120000</v>
      </c>
      <c r="AD136" s="54">
        <v>120000</v>
      </c>
      <c r="AE136" s="61">
        <v>108108.10810810811</v>
      </c>
      <c r="AF136" s="61">
        <v>120000</v>
      </c>
      <c r="AG136" s="62" t="s">
        <v>38</v>
      </c>
      <c r="AH136" s="63" t="e">
        <f>[1]Data2025!W135</f>
        <v>#N/A</v>
      </c>
    </row>
    <row r="137" spans="1:34" ht="16.5" thickTop="1" thickBot="1">
      <c r="A137" s="41">
        <f>[1]Data2025!G136</f>
        <v>0</v>
      </c>
      <c r="B137" s="42" t="e">
        <f>[1]Data2025!K136</f>
        <v>#N/A</v>
      </c>
      <c r="C137" s="43" t="str">
        <f>[1]Data2025!D136</f>
        <v>05. 02. 05.</v>
      </c>
      <c r="D137" s="44" t="str">
        <f>[1]Data2025!C136</f>
        <v>5.2.05.01.01.0007</v>
      </c>
      <c r="E137" s="45">
        <f>[1]Data2025!E136</f>
        <v>45668</v>
      </c>
      <c r="F137" s="46" t="str">
        <f>[1]Data2025!F136</f>
        <v>12/03/2025</v>
      </c>
      <c r="G137" s="45" t="str">
        <f>[1]Data2025!H136</f>
        <v>15/04/2025</v>
      </c>
      <c r="H137" s="45" t="str">
        <f t="shared" si="7"/>
        <v>15/04/2025</v>
      </c>
      <c r="I137" s="47" t="str">
        <f>[1]Data2025!J136</f>
        <v>16/04/2025</v>
      </c>
      <c r="J137" s="48" t="str">
        <f>[1]Data2025!L136</f>
        <v>Buku Literasi - Buku Bacaan Umum SMA/SMK (Paket)</v>
      </c>
      <c r="K137" s="48" t="str">
        <f>[1]Data2025!M136</f>
        <v>Buku Paket</v>
      </c>
      <c r="L137" s="49">
        <f>[1]Data2025!N136</f>
        <v>36</v>
      </c>
      <c r="M137" s="49" t="str">
        <f>[1]Data2025!O136</f>
        <v>paket</v>
      </c>
      <c r="N137" s="50">
        <f>[1]Data2025!P136</f>
        <v>75000</v>
      </c>
      <c r="O137" s="51">
        <f>[1]Data2025!Q136</f>
        <v>2700000</v>
      </c>
      <c r="P137" s="52" t="s">
        <v>79</v>
      </c>
      <c r="Q137" s="53" t="e">
        <f>VLOOKUP(K137,[1]Sheet1!$C$1:$D$101,2,)</f>
        <v>#N/A</v>
      </c>
      <c r="R137" s="54">
        <v>40000</v>
      </c>
      <c r="S137" s="55">
        <v>44000</v>
      </c>
      <c r="T137" s="56">
        <f>[1]Data2025!T136</f>
        <v>0</v>
      </c>
      <c r="U137" s="57" t="s">
        <v>35</v>
      </c>
      <c r="V137" s="56" t="e">
        <f>[1]Data2025!V136</f>
        <v>#N/A</v>
      </c>
      <c r="W137" s="56" t="e">
        <f>[1]Data2025!X136</f>
        <v>#N/A</v>
      </c>
      <c r="X137" s="57" t="s">
        <v>36</v>
      </c>
      <c r="Y137" s="57" t="str">
        <f t="shared" si="8"/>
        <v>Buku Paket Siswa dan Guru</v>
      </c>
      <c r="Z137" s="58" t="str">
        <f t="shared" si="9"/>
        <v>Buku Paket Siswa dan Guru</v>
      </c>
      <c r="AA137" s="59" t="s">
        <v>42</v>
      </c>
      <c r="AB137" s="60">
        <v>20000</v>
      </c>
      <c r="AC137" s="60">
        <v>40000</v>
      </c>
      <c r="AD137" s="54">
        <v>40000</v>
      </c>
      <c r="AE137" s="61">
        <v>36036.036036036036</v>
      </c>
      <c r="AF137" s="61">
        <v>40000</v>
      </c>
      <c r="AG137" s="62" t="s">
        <v>38</v>
      </c>
      <c r="AH137" s="63" t="e">
        <f>[1]Data2025!W136</f>
        <v>#N/A</v>
      </c>
    </row>
    <row r="138" spans="1:34" ht="16.5" thickTop="1" thickBot="1">
      <c r="A138" s="41">
        <f>[1]Data2025!G137</f>
        <v>0</v>
      </c>
      <c r="B138" s="42" t="e">
        <f>[1]Data2025!K137</f>
        <v>#N/A</v>
      </c>
      <c r="C138" s="43" t="str">
        <f>[1]Data2025!D137</f>
        <v>05. 02. 05.</v>
      </c>
      <c r="D138" s="44" t="str">
        <f>[1]Data2025!C137</f>
        <v>5.2.05.01.01.0007</v>
      </c>
      <c r="E138" s="45">
        <f>[1]Data2025!E137</f>
        <v>45668</v>
      </c>
      <c r="F138" s="46" t="str">
        <f>[1]Data2025!F137</f>
        <v>12/03/2025</v>
      </c>
      <c r="G138" s="45" t="str">
        <f>[1]Data2025!H137</f>
        <v>15/04/2025</v>
      </c>
      <c r="H138" s="45" t="str">
        <f t="shared" si="7"/>
        <v>15/04/2025</v>
      </c>
      <c r="I138" s="47" t="str">
        <f>[1]Data2025!J137</f>
        <v>16/04/2025</v>
      </c>
      <c r="J138" s="48" t="str">
        <f>[1]Data2025!L137</f>
        <v>Buku Literasi - Buku Bacaan Umum SMA/SMK (Paket)</v>
      </c>
      <c r="K138" s="48" t="str">
        <f>[1]Data2025!M137</f>
        <v>Buku Paket</v>
      </c>
      <c r="L138" s="49">
        <f>[1]Data2025!N137</f>
        <v>36</v>
      </c>
      <c r="M138" s="49" t="str">
        <f>[1]Data2025!O137</f>
        <v>paket</v>
      </c>
      <c r="N138" s="50">
        <f>[1]Data2025!P137</f>
        <v>138000</v>
      </c>
      <c r="O138" s="51">
        <f>[1]Data2025!Q137</f>
        <v>4968000</v>
      </c>
      <c r="P138" s="52" t="s">
        <v>79</v>
      </c>
      <c r="Q138" s="53" t="e">
        <f>VLOOKUP(K138,[1]Sheet1!$C$1:$D$101,2,)</f>
        <v>#N/A</v>
      </c>
      <c r="R138" s="54">
        <v>155000</v>
      </c>
      <c r="S138" s="55">
        <v>165000</v>
      </c>
      <c r="T138" s="56">
        <f>[1]Data2025!T137</f>
        <v>0</v>
      </c>
      <c r="U138" s="57" t="s">
        <v>35</v>
      </c>
      <c r="V138" s="56" t="e">
        <f>[1]Data2025!V137</f>
        <v>#N/A</v>
      </c>
      <c r="W138" s="56" t="e">
        <f>[1]Data2025!X137</f>
        <v>#N/A</v>
      </c>
      <c r="X138" s="57" t="s">
        <v>36</v>
      </c>
      <c r="Y138" s="57" t="str">
        <f t="shared" si="8"/>
        <v>Buku Paket Siswa dan Guru</v>
      </c>
      <c r="Z138" s="58" t="str">
        <f t="shared" si="9"/>
        <v>Buku Paket Siswa dan Guru</v>
      </c>
      <c r="AA138" s="59" t="s">
        <v>44</v>
      </c>
      <c r="AB138" s="60">
        <v>31000</v>
      </c>
      <c r="AC138" s="60">
        <v>155000</v>
      </c>
      <c r="AD138" s="54">
        <v>155000</v>
      </c>
      <c r="AE138" s="61">
        <v>139639.63963963964</v>
      </c>
      <c r="AF138" s="61">
        <v>155000</v>
      </c>
      <c r="AG138" s="62" t="s">
        <v>38</v>
      </c>
      <c r="AH138" s="63" t="e">
        <f>[1]Data2025!W137</f>
        <v>#N/A</v>
      </c>
    </row>
    <row r="139" spans="1:34" ht="16.5" thickTop="1" thickBot="1">
      <c r="A139" s="41">
        <f>[1]Data2025!G138</f>
        <v>0</v>
      </c>
      <c r="B139" s="42" t="e">
        <f>[1]Data2025!K138</f>
        <v>#N/A</v>
      </c>
      <c r="C139" s="43" t="str">
        <f>[1]Data2025!D138</f>
        <v>05. 02. 05.</v>
      </c>
      <c r="D139" s="44" t="str">
        <f>[1]Data2025!C138</f>
        <v>5.2.05.01.01.0007</v>
      </c>
      <c r="E139" s="45">
        <f>[1]Data2025!E138</f>
        <v>45668</v>
      </c>
      <c r="F139" s="46" t="str">
        <f>[1]Data2025!F138</f>
        <v>12/03/2025</v>
      </c>
      <c r="G139" s="45" t="str">
        <f>[1]Data2025!H138</f>
        <v>15/04/2025</v>
      </c>
      <c r="H139" s="45" t="str">
        <f t="shared" si="7"/>
        <v>15/04/2025</v>
      </c>
      <c r="I139" s="47" t="str">
        <f>[1]Data2025!J138</f>
        <v>16/04/2025</v>
      </c>
      <c r="J139" s="48" t="str">
        <f>[1]Data2025!L138</f>
        <v>Buku Literasi - Buku Bacaan Umum SMA/SMK (Paket)</v>
      </c>
      <c r="K139" s="48" t="str">
        <f>[1]Data2025!M138</f>
        <v>Buku Paket</v>
      </c>
      <c r="L139" s="49">
        <f>[1]Data2025!N138</f>
        <v>36</v>
      </c>
      <c r="M139" s="49" t="str">
        <f>[1]Data2025!O138</f>
        <v>paket</v>
      </c>
      <c r="N139" s="50">
        <f>[1]Data2025!P138</f>
        <v>85000</v>
      </c>
      <c r="O139" s="51">
        <f>[1]Data2025!Q138</f>
        <v>3060000</v>
      </c>
      <c r="P139" s="52" t="s">
        <v>79</v>
      </c>
      <c r="Q139" s="53" t="e">
        <f>VLOOKUP(K139,[1]Sheet1!$C$1:$D$101,2,)</f>
        <v>#N/A</v>
      </c>
      <c r="R139" s="54">
        <v>40000</v>
      </c>
      <c r="S139" s="55">
        <v>44000</v>
      </c>
      <c r="T139" s="56">
        <f>[1]Data2025!T138</f>
        <v>0</v>
      </c>
      <c r="U139" s="57" t="s">
        <v>35</v>
      </c>
      <c r="V139" s="56" t="e">
        <f>[1]Data2025!V138</f>
        <v>#N/A</v>
      </c>
      <c r="W139" s="56" t="e">
        <f>[1]Data2025!X138</f>
        <v>#N/A</v>
      </c>
      <c r="X139" s="57" t="s">
        <v>36</v>
      </c>
      <c r="Y139" s="57" t="str">
        <f t="shared" si="8"/>
        <v>Buku Paket Siswa dan Guru</v>
      </c>
      <c r="Z139" s="58" t="str">
        <f t="shared" si="9"/>
        <v>Buku Paket Siswa dan Guru</v>
      </c>
      <c r="AA139" s="59" t="s">
        <v>47</v>
      </c>
      <c r="AB139" s="60">
        <v>20000</v>
      </c>
      <c r="AC139" s="60">
        <v>40000</v>
      </c>
      <c r="AD139" s="54">
        <v>40000</v>
      </c>
      <c r="AE139" s="61">
        <v>36036.036036036036</v>
      </c>
      <c r="AF139" s="61">
        <v>40000</v>
      </c>
      <c r="AG139" s="62" t="s">
        <v>38</v>
      </c>
      <c r="AH139" s="63" t="e">
        <f>[1]Data2025!W138</f>
        <v>#N/A</v>
      </c>
    </row>
    <row r="140" spans="1:34" ht="16.5" thickTop="1" thickBot="1">
      <c r="A140" s="41">
        <f>[1]Data2025!G139</f>
        <v>0</v>
      </c>
      <c r="B140" s="42">
        <f>[1]Data2025!K139</f>
        <v>0</v>
      </c>
      <c r="C140" s="43">
        <f>[1]Data2025!D139</f>
        <v>0</v>
      </c>
      <c r="D140" s="44">
        <f>[1]Data2025!C139</f>
        <v>0</v>
      </c>
      <c r="E140" s="45">
        <f>[1]Data2025!E139</f>
        <v>0</v>
      </c>
      <c r="F140" s="46">
        <f>[1]Data2025!F139</f>
        <v>0</v>
      </c>
      <c r="G140" s="45">
        <f>[1]Data2025!H139</f>
        <v>0</v>
      </c>
      <c r="H140" s="45">
        <f t="shared" si="7"/>
        <v>0</v>
      </c>
      <c r="I140" s="47">
        <f>[1]Data2025!J139</f>
        <v>0</v>
      </c>
      <c r="J140" s="48">
        <f>[1]Data2025!L139</f>
        <v>0</v>
      </c>
      <c r="K140" s="48">
        <f>[1]Data2025!M139</f>
        <v>0</v>
      </c>
      <c r="L140" s="49">
        <f>[1]Data2025!N139</f>
        <v>0</v>
      </c>
      <c r="M140" s="49">
        <f>[1]Data2025!O139</f>
        <v>0</v>
      </c>
      <c r="N140" s="50">
        <f>[1]Data2025!P139</f>
        <v>0</v>
      </c>
      <c r="O140" s="51">
        <f>[1]Data2025!Q139</f>
        <v>0</v>
      </c>
      <c r="P140" s="52"/>
      <c r="Q140" s="53" t="e">
        <f>VLOOKUP(K140,[1]Sheet1!$C$1:$D$101,2,)</f>
        <v>#N/A</v>
      </c>
      <c r="R140" s="54">
        <v>396000</v>
      </c>
      <c r="S140" s="55">
        <v>420000</v>
      </c>
      <c r="T140" s="56">
        <f>[1]Data2025!T139</f>
        <v>0</v>
      </c>
      <c r="U140" s="57" t="s">
        <v>35</v>
      </c>
      <c r="V140" s="56" t="e">
        <f>[1]Data2025!V139</f>
        <v>#N/A</v>
      </c>
      <c r="W140" s="56" t="e">
        <f>[1]Data2025!X139</f>
        <v>#N/A</v>
      </c>
      <c r="X140" s="57" t="s">
        <v>36</v>
      </c>
      <c r="Y140" s="57">
        <f t="shared" si="8"/>
        <v>0</v>
      </c>
      <c r="Z140" s="58">
        <f t="shared" si="9"/>
        <v>0</v>
      </c>
      <c r="AA140" s="59" t="s">
        <v>48</v>
      </c>
      <c r="AB140" s="60">
        <v>33000</v>
      </c>
      <c r="AC140" s="60">
        <v>396000</v>
      </c>
      <c r="AD140" s="54">
        <v>396000</v>
      </c>
      <c r="AE140" s="61">
        <v>356756.75675675675</v>
      </c>
      <c r="AF140" s="61">
        <v>396000</v>
      </c>
      <c r="AG140" s="62" t="s">
        <v>38</v>
      </c>
      <c r="AH140" s="63" t="e">
        <f>[1]Data2025!W139</f>
        <v>#N/A</v>
      </c>
    </row>
    <row r="141" spans="1:34" s="40" customFormat="1" ht="26" thickTop="1" thickBot="1">
      <c r="A141" s="17">
        <f>[1]Data2025!G140</f>
        <v>44</v>
      </c>
      <c r="B141" s="18" t="str">
        <f>[1]Data2025!K140</f>
        <v>BPU26</v>
      </c>
      <c r="C141" s="19" t="str">
        <f>[1]Data2025!D140</f>
        <v>05. 05. 02.</v>
      </c>
      <c r="D141" s="20" t="str">
        <f>[1]Data2025!C140</f>
        <v>5.1.02.01.01.0052</v>
      </c>
      <c r="E141" s="21">
        <f>[1]Data2025!E140</f>
        <v>45687</v>
      </c>
      <c r="F141" s="22" t="str">
        <f>[1]Data2025!F140</f>
        <v>01/02/2025</v>
      </c>
      <c r="G141" s="21" t="str">
        <f>[1]Data2025!H140</f>
        <v>03/02/2025</v>
      </c>
      <c r="H141" s="21" t="str">
        <f t="shared" si="7"/>
        <v>03/02/2025</v>
      </c>
      <c r="I141" s="23" t="str">
        <f>[1]Data2025!J140</f>
        <v>03/02/2025</v>
      </c>
      <c r="J141" s="24" t="str">
        <f>[1]Data2025!L140</f>
        <v>Air Mineral pada pelaksanaan kegiatan bulanan Gerakan Bersih Lingkungan Sekolah</v>
      </c>
      <c r="K141" s="24" t="str">
        <f>[1]Data2025!M140</f>
        <v>Aqua Cup</v>
      </c>
      <c r="L141" s="25">
        <f>[1]Data2025!N140</f>
        <v>25</v>
      </c>
      <c r="M141" s="25" t="str">
        <f>[1]Data2025!O140</f>
        <v>dus</v>
      </c>
      <c r="N141" s="26">
        <f>[1]Data2025!P140</f>
        <v>50000</v>
      </c>
      <c r="O141" s="27">
        <f>[1]Data2025!Q140</f>
        <v>1250000</v>
      </c>
      <c r="P141" s="28" t="s">
        <v>34</v>
      </c>
      <c r="Q141" s="29" t="str">
        <f>VLOOKUP(K141,[1]Sheet1!$C$1:$D$101,2,)</f>
        <v>Aqua Cup (Diameter: 6.3cm. Tinggi: 9.5cm)</v>
      </c>
      <c r="R141" s="30">
        <v>75000</v>
      </c>
      <c r="S141" s="31">
        <v>85000</v>
      </c>
      <c r="T141" s="32" t="str">
        <f>[1]Data2025!T140</f>
        <v>Rumah Roti Helena</v>
      </c>
      <c r="U141" s="33" t="s">
        <v>35</v>
      </c>
      <c r="V141" s="32" t="str">
        <f>[1]Data2025!V140</f>
        <v>Fudi Supiyanto</v>
      </c>
      <c r="W141" s="32" t="str">
        <f>[1]Data2025!X140</f>
        <v>Jln Ahmad Yani No.89 Kel. Pasar Telukdalam, Nias Selatan</v>
      </c>
      <c r="X141" s="33" t="s">
        <v>36</v>
      </c>
      <c r="Y141" s="33" t="str">
        <f t="shared" si="8"/>
        <v>Air Mineral</v>
      </c>
      <c r="Z141" s="34" t="str">
        <f t="shared" si="9"/>
        <v>Air Mineral</v>
      </c>
      <c r="AA141" s="35" t="s">
        <v>42</v>
      </c>
      <c r="AB141" s="36">
        <v>15000</v>
      </c>
      <c r="AC141" s="36">
        <v>75000</v>
      </c>
      <c r="AD141" s="30">
        <v>75000</v>
      </c>
      <c r="AE141" s="37">
        <v>67567.567567567574</v>
      </c>
      <c r="AF141" s="37">
        <v>75000</v>
      </c>
      <c r="AG141" s="38" t="s">
        <v>38</v>
      </c>
      <c r="AH141" s="39" t="str">
        <f>[1]Data2025!W140</f>
        <v>082164895397</v>
      </c>
    </row>
    <row r="142" spans="1:34" s="88" customFormat="1" ht="16.5" thickTop="1" thickBot="1">
      <c r="A142" s="64">
        <f>[1]Data2025!G141</f>
        <v>45</v>
      </c>
      <c r="B142" s="65" t="str">
        <f>[1]Data2025!K141</f>
        <v>BPU27</v>
      </c>
      <c r="C142" s="66" t="str">
        <f>[1]Data2025!D141</f>
        <v>06. 05. 08.</v>
      </c>
      <c r="D142" s="67" t="str">
        <f>[1]Data2025!C141</f>
        <v>5.1.02.01.01.0024</v>
      </c>
      <c r="E142" s="68">
        <f>[1]Data2025!E141</f>
        <v>45687</v>
      </c>
      <c r="F142" s="69" t="str">
        <f>[1]Data2025!F141</f>
        <v>01/02/2025</v>
      </c>
      <c r="G142" s="68" t="str">
        <f>[1]Data2025!H141</f>
        <v>01/02/2025</v>
      </c>
      <c r="H142" s="68" t="str">
        <f t="shared" si="7"/>
        <v>01/02/2025</v>
      </c>
      <c r="I142" s="70" t="str">
        <f>[1]Data2025!J141</f>
        <v>04/02/2025</v>
      </c>
      <c r="J142" s="71" t="str">
        <f>[1]Data2025!L141</f>
        <v>Plastik Mika</v>
      </c>
      <c r="K142" s="71" t="str">
        <f>[1]Data2025!M141</f>
        <v>Plastik Mika</v>
      </c>
      <c r="L142" s="72">
        <f>[1]Data2025!N141</f>
        <v>5</v>
      </c>
      <c r="M142" s="72" t="str">
        <f>[1]Data2025!O141</f>
        <v>bungkus</v>
      </c>
      <c r="N142" s="73">
        <f>[1]Data2025!P141</f>
        <v>60000</v>
      </c>
      <c r="O142" s="74">
        <f>[1]Data2025!Q141</f>
        <v>300000</v>
      </c>
      <c r="P142" s="75" t="s">
        <v>43</v>
      </c>
      <c r="Q142" s="76" t="str">
        <f>VLOOKUP(K142,[1]Sheet1!$C$1:$D$101,2,)</f>
        <v>Plastik Mika Jilid F4 (Length 21.0Cm, Width 33.0Cm, Height 7.0Cm, Weight 548Gr)</v>
      </c>
      <c r="R142" s="77">
        <v>300000</v>
      </c>
      <c r="S142" s="78">
        <v>310000</v>
      </c>
      <c r="T142" s="79" t="str">
        <f>[1]Data2025!T141</f>
        <v>UD. JOSUA</v>
      </c>
      <c r="U142" s="80" t="s">
        <v>35</v>
      </c>
      <c r="V142" s="79" t="str">
        <f>[1]Data2025!V141</f>
        <v>Gestiwan Bazikho</v>
      </c>
      <c r="W142" s="79" t="str">
        <f>[1]Data2025!X141</f>
        <v>Jl. Diponegoro Kel. Pasar Telukdalam - Nias Selatan</v>
      </c>
      <c r="X142" s="80" t="s">
        <v>36</v>
      </c>
      <c r="Y142" s="80" t="str">
        <f t="shared" si="8"/>
        <v>Alat Tulis Kantor (ATK)</v>
      </c>
      <c r="Z142" s="81" t="str">
        <f t="shared" si="9"/>
        <v>Alat Tulis Kantor (ATK)</v>
      </c>
      <c r="AA142" s="82" t="s">
        <v>44</v>
      </c>
      <c r="AB142" s="83">
        <v>60000</v>
      </c>
      <c r="AC142" s="83">
        <v>300000</v>
      </c>
      <c r="AD142" s="77">
        <v>300000</v>
      </c>
      <c r="AE142" s="84">
        <v>270270.2702702703</v>
      </c>
      <c r="AF142" s="84">
        <v>300000</v>
      </c>
      <c r="AG142" s="85" t="s">
        <v>38</v>
      </c>
      <c r="AH142" s="86" t="str">
        <f>[1]Data2025!W141</f>
        <v>081375309828</v>
      </c>
    </row>
    <row r="143" spans="1:34" s="88" customFormat="1" ht="26" thickTop="1" thickBot="1">
      <c r="A143" s="64">
        <f>[1]Data2025!G142</f>
        <v>45</v>
      </c>
      <c r="B143" s="65" t="str">
        <f>[1]Data2025!K142</f>
        <v>BPU27</v>
      </c>
      <c r="C143" s="66" t="str">
        <f>[1]Data2025!D142</f>
        <v>06. 05. 08.</v>
      </c>
      <c r="D143" s="67" t="str">
        <f>[1]Data2025!C142</f>
        <v>5.1.02.01.01.0024</v>
      </c>
      <c r="E143" s="68">
        <f>[1]Data2025!E142</f>
        <v>45687</v>
      </c>
      <c r="F143" s="69" t="str">
        <f>[1]Data2025!F142</f>
        <v>01/02/2025</v>
      </c>
      <c r="G143" s="68" t="str">
        <f>[1]Data2025!H142</f>
        <v>01/02/2025</v>
      </c>
      <c r="H143" s="68" t="str">
        <f t="shared" si="7"/>
        <v>01/02/2025</v>
      </c>
      <c r="I143" s="70" t="str">
        <f>[1]Data2025!J142</f>
        <v>04/02/2025</v>
      </c>
      <c r="J143" s="71" t="str">
        <f>[1]Data2025!L142</f>
        <v>Kertas Warna Blank Folio, Ukuran : 8,5 x 14",  70 gram</v>
      </c>
      <c r="K143" s="71" t="str">
        <f>[1]Data2025!M142</f>
        <v>Kertas Warna Blank Folio, Ukuran : 8,5 x 14",  70 gram</v>
      </c>
      <c r="L143" s="72">
        <f>[1]Data2025!N142</f>
        <v>2</v>
      </c>
      <c r="M143" s="72" t="str">
        <f>[1]Data2025!O142</f>
        <v>rim</v>
      </c>
      <c r="N143" s="73">
        <f>[1]Data2025!P142</f>
        <v>90000</v>
      </c>
      <c r="O143" s="74">
        <f>[1]Data2025!Q142</f>
        <v>180000</v>
      </c>
      <c r="P143" s="75" t="s">
        <v>43</v>
      </c>
      <c r="Q143" s="76" t="str">
        <f>VLOOKUP(K143,[1]Sheet1!$C$1:$D$101,2,)</f>
        <v>Kertas Hvs Warna 70 Gsm (Length 21.0Cm, Width 33.0Cm, Height 7.0Cm, Weight 2400Gr)</v>
      </c>
      <c r="R143" s="77">
        <v>37500</v>
      </c>
      <c r="S143" s="78">
        <v>47500</v>
      </c>
      <c r="T143" s="79" t="str">
        <f>[1]Data2025!T142</f>
        <v>UD. JOSUA</v>
      </c>
      <c r="U143" s="80" t="s">
        <v>35</v>
      </c>
      <c r="V143" s="79" t="str">
        <f>[1]Data2025!V142</f>
        <v>Gestiwan Bazikho</v>
      </c>
      <c r="W143" s="79" t="str">
        <f>[1]Data2025!X142</f>
        <v>Jl. Diponegoro Kel. Pasar Telukdalam - Nias Selatan</v>
      </c>
      <c r="X143" s="80" t="s">
        <v>36</v>
      </c>
      <c r="Y143" s="80" t="str">
        <f t="shared" si="8"/>
        <v>Alat Tulis Kantor (ATK)</v>
      </c>
      <c r="Z143" s="81" t="str">
        <f t="shared" si="9"/>
        <v>Alat Tulis Kantor (ATK)</v>
      </c>
      <c r="AA143" s="82" t="s">
        <v>37</v>
      </c>
      <c r="AB143" s="83">
        <v>7500</v>
      </c>
      <c r="AC143" s="83">
        <v>37500</v>
      </c>
      <c r="AD143" s="77">
        <v>37500</v>
      </c>
      <c r="AE143" s="84">
        <v>33783.783783783787</v>
      </c>
      <c r="AF143" s="84">
        <v>37500</v>
      </c>
      <c r="AG143" s="85" t="s">
        <v>38</v>
      </c>
      <c r="AH143" s="86" t="str">
        <f>[1]Data2025!W142</f>
        <v>081375309828</v>
      </c>
    </row>
    <row r="144" spans="1:34" s="88" customFormat="1" ht="16.5" thickTop="1" thickBot="1">
      <c r="A144" s="64">
        <f>[1]Data2025!G143</f>
        <v>45</v>
      </c>
      <c r="B144" s="65" t="str">
        <f>[1]Data2025!K143</f>
        <v>BPU27</v>
      </c>
      <c r="C144" s="66" t="str">
        <f>[1]Data2025!D143</f>
        <v>06. 05. 08.</v>
      </c>
      <c r="D144" s="67" t="str">
        <f>[1]Data2025!C143</f>
        <v>5.1.02.01.01.0024</v>
      </c>
      <c r="E144" s="68">
        <f>[1]Data2025!E143</f>
        <v>45687</v>
      </c>
      <c r="F144" s="69" t="str">
        <f>[1]Data2025!F143</f>
        <v>01/02/2025</v>
      </c>
      <c r="G144" s="68" t="str">
        <f>[1]Data2025!H143</f>
        <v>01/02/2025</v>
      </c>
      <c r="H144" s="68" t="str">
        <f t="shared" si="7"/>
        <v>01/02/2025</v>
      </c>
      <c r="I144" s="70" t="str">
        <f>[1]Data2025!J143</f>
        <v>04/02/2025</v>
      </c>
      <c r="J144" s="71" t="str">
        <f>[1]Data2025!L143</f>
        <v>Kertas Lain-Lain Kertas Buffalo</v>
      </c>
      <c r="K144" s="71" t="str">
        <f>[1]Data2025!M143</f>
        <v>Kertas Lain-Lain Kertas Buffalo</v>
      </c>
      <c r="L144" s="72">
        <f>[1]Data2025!N143</f>
        <v>5</v>
      </c>
      <c r="M144" s="72" t="str">
        <f>[1]Data2025!O143</f>
        <v>bungkus</v>
      </c>
      <c r="N144" s="73">
        <f>[1]Data2025!P143</f>
        <v>31000</v>
      </c>
      <c r="O144" s="74">
        <f>[1]Data2025!Q143</f>
        <v>155000</v>
      </c>
      <c r="P144" s="75" t="s">
        <v>43</v>
      </c>
      <c r="Q144" s="76" t="str">
        <f>VLOOKUP(K144,[1]Sheet1!$C$1:$D$101,2,)</f>
        <v>Kertas Buffalo F4 (Length 21.0Cm, Width 33.0Cm, Height 7.0Cm, Weight 1006Gr)</v>
      </c>
      <c r="R144" s="77">
        <v>69000</v>
      </c>
      <c r="S144" s="78">
        <v>75000</v>
      </c>
      <c r="T144" s="79" t="str">
        <f>[1]Data2025!T143</f>
        <v>UD. JOSUA</v>
      </c>
      <c r="U144" s="80" t="s">
        <v>35</v>
      </c>
      <c r="V144" s="79" t="str">
        <f>[1]Data2025!V143</f>
        <v>Gestiwan Bazikho</v>
      </c>
      <c r="W144" s="79" t="str">
        <f>[1]Data2025!X143</f>
        <v>Jl. Diponegoro Kel. Pasar Telukdalam - Nias Selatan</v>
      </c>
      <c r="X144" s="80" t="s">
        <v>36</v>
      </c>
      <c r="Y144" s="80" t="str">
        <f t="shared" si="8"/>
        <v>Alat Tulis Kantor (ATK)</v>
      </c>
      <c r="Z144" s="81" t="str">
        <f t="shared" si="9"/>
        <v>Alat Tulis Kantor (ATK)</v>
      </c>
      <c r="AA144" s="82" t="s">
        <v>44</v>
      </c>
      <c r="AB144" s="83">
        <v>23000</v>
      </c>
      <c r="AC144" s="83">
        <v>69000</v>
      </c>
      <c r="AD144" s="77">
        <v>69000</v>
      </c>
      <c r="AE144" s="84">
        <v>62162.16216216216</v>
      </c>
      <c r="AF144" s="84">
        <v>69000</v>
      </c>
      <c r="AG144" s="85" t="s">
        <v>38</v>
      </c>
      <c r="AH144" s="86" t="str">
        <f>[1]Data2025!W143</f>
        <v>081375309828</v>
      </c>
    </row>
    <row r="145" spans="1:34" s="88" customFormat="1" ht="26" thickTop="1" thickBot="1">
      <c r="A145" s="64">
        <f>[1]Data2025!G144</f>
        <v>45</v>
      </c>
      <c r="B145" s="65" t="str">
        <f>[1]Data2025!K144</f>
        <v>BPU27</v>
      </c>
      <c r="C145" s="66" t="str">
        <f>[1]Data2025!D144</f>
        <v>06. 05. 08.</v>
      </c>
      <c r="D145" s="67" t="str">
        <f>[1]Data2025!C144</f>
        <v>5.1.02.01.01.0024</v>
      </c>
      <c r="E145" s="68">
        <f>[1]Data2025!E144</f>
        <v>45687</v>
      </c>
      <c r="F145" s="69" t="str">
        <f>[1]Data2025!F144</f>
        <v>01/02/2025</v>
      </c>
      <c r="G145" s="68" t="str">
        <f>[1]Data2025!H144</f>
        <v>01/02/2025</v>
      </c>
      <c r="H145" s="68" t="str">
        <f t="shared" si="7"/>
        <v>01/02/2025</v>
      </c>
      <c r="I145" s="70" t="str">
        <f>[1]Data2025!J144</f>
        <v>04/02/2025</v>
      </c>
      <c r="J145" s="71" t="str">
        <f>[1]Data2025!L144</f>
        <v>Kertas Post-It Warna Warni  Sign Here</v>
      </c>
      <c r="K145" s="71" t="str">
        <f>[1]Data2025!M144</f>
        <v>Kertas Post-It Warna Warni  Sign Here</v>
      </c>
      <c r="L145" s="72">
        <f>[1]Data2025!N144</f>
        <v>5</v>
      </c>
      <c r="M145" s="72" t="str">
        <f>[1]Data2025!O144</f>
        <v>buah</v>
      </c>
      <c r="N145" s="73">
        <f>[1]Data2025!P144</f>
        <v>22800</v>
      </c>
      <c r="O145" s="74">
        <f>[1]Data2025!Q144</f>
        <v>114000</v>
      </c>
      <c r="P145" s="75" t="s">
        <v>43</v>
      </c>
      <c r="Q145" s="76" t="str">
        <f>VLOOKUP(K145,[1]Sheet1!$C$1:$D$101,2,)</f>
        <v>Post It Warna Warni (Length 7.0Cm, Width 7.0Cm, Height 7.0Cm, Weight 44Gr)</v>
      </c>
      <c r="R145" s="77">
        <v>125000</v>
      </c>
      <c r="S145" s="78">
        <v>135000</v>
      </c>
      <c r="T145" s="79" t="str">
        <f>[1]Data2025!T144</f>
        <v>UD. JOSUA</v>
      </c>
      <c r="U145" s="80" t="s">
        <v>35</v>
      </c>
      <c r="V145" s="79" t="str">
        <f>[1]Data2025!V144</f>
        <v>Gestiwan Bazikho</v>
      </c>
      <c r="W145" s="79" t="str">
        <f>[1]Data2025!X144</f>
        <v>Jl. Diponegoro Kel. Pasar Telukdalam - Nias Selatan</v>
      </c>
      <c r="X145" s="80" t="s">
        <v>36</v>
      </c>
      <c r="Y145" s="80" t="str">
        <f t="shared" si="8"/>
        <v>Alat Tulis Kantor (ATK)</v>
      </c>
      <c r="Z145" s="81" t="str">
        <f t="shared" si="9"/>
        <v>Alat Tulis Kantor (ATK)</v>
      </c>
      <c r="AA145" s="82" t="s">
        <v>49</v>
      </c>
      <c r="AB145" s="83">
        <v>25000</v>
      </c>
      <c r="AC145" s="83">
        <v>125000</v>
      </c>
      <c r="AD145" s="77">
        <v>125000</v>
      </c>
      <c r="AE145" s="84">
        <v>112612.61261261262</v>
      </c>
      <c r="AF145" s="84">
        <v>125000</v>
      </c>
      <c r="AG145" s="85" t="s">
        <v>38</v>
      </c>
      <c r="AH145" s="86" t="str">
        <f>[1]Data2025!W144</f>
        <v>081375309828</v>
      </c>
    </row>
    <row r="146" spans="1:34" s="88" customFormat="1" ht="26" thickTop="1" thickBot="1">
      <c r="A146" s="64">
        <f>[1]Data2025!G145</f>
        <v>45</v>
      </c>
      <c r="B146" s="65" t="str">
        <f>[1]Data2025!K145</f>
        <v>BPU27</v>
      </c>
      <c r="C146" s="66" t="str">
        <f>[1]Data2025!D145</f>
        <v>06. 05. 08.</v>
      </c>
      <c r="D146" s="67" t="str">
        <f>[1]Data2025!C145</f>
        <v>5.1.02.01.01.0024</v>
      </c>
      <c r="E146" s="68">
        <f>[1]Data2025!E145</f>
        <v>45687</v>
      </c>
      <c r="F146" s="69" t="str">
        <f>[1]Data2025!F145</f>
        <v>01/02/2025</v>
      </c>
      <c r="G146" s="68" t="str">
        <f>[1]Data2025!H145</f>
        <v>01/02/2025</v>
      </c>
      <c r="H146" s="68" t="str">
        <f t="shared" si="7"/>
        <v>01/02/2025</v>
      </c>
      <c r="I146" s="70" t="str">
        <f>[1]Data2025!J145</f>
        <v>04/02/2025</v>
      </c>
      <c r="J146" s="71" t="str">
        <f>[1]Data2025!L145</f>
        <v>Kertas HVS 60 gram Merk : Paper One HVS F4 uk. 8.27"x11.69"</v>
      </c>
      <c r="K146" s="71" t="str">
        <f>[1]Data2025!M145</f>
        <v>Kertas HVS 60 gram Merk : Paper One HVS F4 uk. 8.27"x11.69"</v>
      </c>
      <c r="L146" s="72">
        <f>[1]Data2025!N145</f>
        <v>10</v>
      </c>
      <c r="M146" s="72" t="str">
        <f>[1]Data2025!O145</f>
        <v>rim</v>
      </c>
      <c r="N146" s="73">
        <f>[1]Data2025!P145</f>
        <v>48500</v>
      </c>
      <c r="O146" s="74">
        <f>[1]Data2025!Q145</f>
        <v>485000</v>
      </c>
      <c r="P146" s="75" t="s">
        <v>43</v>
      </c>
      <c r="Q146" s="76" t="str">
        <f>VLOOKUP(K146,[1]Sheet1!$C$1:$D$101,2,)</f>
        <v>Kertas Hvs 60Gsm Paper One F4 (Length 33.0Cm, Width 21.0Cm, Height 7.0Cm, Weight 1400Gr)</v>
      </c>
      <c r="R146" s="77">
        <v>209000</v>
      </c>
      <c r="S146" s="78">
        <v>229000</v>
      </c>
      <c r="T146" s="79" t="str">
        <f>[1]Data2025!T145</f>
        <v>UD. JOSUA</v>
      </c>
      <c r="U146" s="80" t="s">
        <v>35</v>
      </c>
      <c r="V146" s="79" t="str">
        <f>[1]Data2025!V145</f>
        <v>Gestiwan Bazikho</v>
      </c>
      <c r="W146" s="79" t="str">
        <f>[1]Data2025!X145</f>
        <v>Jl. Diponegoro Kel. Pasar Telukdalam - Nias Selatan</v>
      </c>
      <c r="X146" s="80" t="s">
        <v>36</v>
      </c>
      <c r="Y146" s="80" t="str">
        <f t="shared" si="8"/>
        <v>Alat Tulis Kantor (ATK)</v>
      </c>
      <c r="Z146" s="81" t="str">
        <f t="shared" si="9"/>
        <v>Alat Tulis Kantor (ATK)</v>
      </c>
      <c r="AA146" s="82" t="s">
        <v>42</v>
      </c>
      <c r="AB146" s="83">
        <v>20900</v>
      </c>
      <c r="AC146" s="83">
        <v>209000</v>
      </c>
      <c r="AD146" s="77">
        <v>209000</v>
      </c>
      <c r="AE146" s="84">
        <v>188288.28828828828</v>
      </c>
      <c r="AF146" s="84">
        <v>209000</v>
      </c>
      <c r="AG146" s="85" t="s">
        <v>38</v>
      </c>
      <c r="AH146" s="86" t="str">
        <f>[1]Data2025!W145</f>
        <v>081375309828</v>
      </c>
    </row>
    <row r="147" spans="1:34" s="88" customFormat="1" ht="38.5" thickTop="1" thickBot="1">
      <c r="A147" s="64">
        <f>[1]Data2025!G146</f>
        <v>45</v>
      </c>
      <c r="B147" s="65" t="str">
        <f>[1]Data2025!K146</f>
        <v>BPU27</v>
      </c>
      <c r="C147" s="66" t="str">
        <f>[1]Data2025!D146</f>
        <v>06. 05. 08.</v>
      </c>
      <c r="D147" s="67" t="str">
        <f>[1]Data2025!C146</f>
        <v>5.1.02.01.01.0024</v>
      </c>
      <c r="E147" s="68">
        <f>[1]Data2025!E146</f>
        <v>45687</v>
      </c>
      <c r="F147" s="69" t="str">
        <f>[1]Data2025!F146</f>
        <v>01/02/2025</v>
      </c>
      <c r="G147" s="68" t="str">
        <f>[1]Data2025!H146</f>
        <v>01/02/2025</v>
      </c>
      <c r="H147" s="68" t="str">
        <f t="shared" si="7"/>
        <v>01/02/2025</v>
      </c>
      <c r="I147" s="70" t="str">
        <f>[1]Data2025!J146</f>
        <v>04/02/2025</v>
      </c>
      <c r="J147" s="71" t="str">
        <f>[1]Data2025!L146</f>
        <v>Kertas HVS 80 gram Merk : Paper One A4, Ukuran : 8,27" x 11,69", Isi : 500 lembar</v>
      </c>
      <c r="K147" s="71" t="str">
        <f>[1]Data2025!M146</f>
        <v>Kertas HVS 80 gram Merk : Paper One A4, Ukuran : 8,27" x 11,69", Isi : 500 lembar</v>
      </c>
      <c r="L147" s="72">
        <f>[1]Data2025!N146</f>
        <v>40</v>
      </c>
      <c r="M147" s="72" t="str">
        <f>[1]Data2025!O146</f>
        <v>rim</v>
      </c>
      <c r="N147" s="73">
        <f>[1]Data2025!P146</f>
        <v>50000</v>
      </c>
      <c r="O147" s="74">
        <f>[1]Data2025!Q146</f>
        <v>2000000</v>
      </c>
      <c r="P147" s="75" t="s">
        <v>43</v>
      </c>
      <c r="Q147" s="76" t="str">
        <f>VLOOKUP(K147,[1]Sheet1!$C$1:$D$101,2,)</f>
        <v>Kertas Hvs 80 Gram Merk : Paper One A4, Ukuran : 8,27" X 11,69", Isi : 500 Lembar</v>
      </c>
      <c r="R147" s="77">
        <v>10000</v>
      </c>
      <c r="S147" s="78">
        <v>14000</v>
      </c>
      <c r="T147" s="79" t="str">
        <f>[1]Data2025!T146</f>
        <v>UD. JOSUA</v>
      </c>
      <c r="U147" s="80" t="s">
        <v>35</v>
      </c>
      <c r="V147" s="79" t="str">
        <f>[1]Data2025!V146</f>
        <v>Gestiwan Bazikho</v>
      </c>
      <c r="W147" s="79" t="str">
        <f>[1]Data2025!X146</f>
        <v>Jl. Diponegoro Kel. Pasar Telukdalam - Nias Selatan</v>
      </c>
      <c r="X147" s="80" t="s">
        <v>36</v>
      </c>
      <c r="Y147" s="80" t="str">
        <f t="shared" si="8"/>
        <v>Alat Tulis Kantor (ATK)</v>
      </c>
      <c r="Z147" s="81" t="str">
        <f t="shared" si="9"/>
        <v>Alat Tulis Kantor (ATK)</v>
      </c>
      <c r="AA147" s="82" t="s">
        <v>37</v>
      </c>
      <c r="AB147" s="83">
        <v>5000</v>
      </c>
      <c r="AC147" s="83">
        <v>10000</v>
      </c>
      <c r="AD147" s="77">
        <v>10000</v>
      </c>
      <c r="AE147" s="84">
        <v>9009.0090090090089</v>
      </c>
      <c r="AF147" s="84">
        <v>10000</v>
      </c>
      <c r="AG147" s="85" t="s">
        <v>38</v>
      </c>
      <c r="AH147" s="86" t="str">
        <f>[1]Data2025!W146</f>
        <v>081375309828</v>
      </c>
    </row>
    <row r="148" spans="1:34" s="88" customFormat="1" ht="16.5" thickTop="1" thickBot="1">
      <c r="A148" s="64">
        <f>[1]Data2025!G147</f>
        <v>45</v>
      </c>
      <c r="B148" s="65" t="str">
        <f>[1]Data2025!K147</f>
        <v>BPU27</v>
      </c>
      <c r="C148" s="66" t="str">
        <f>[1]Data2025!D147</f>
        <v>06. 05. 08.</v>
      </c>
      <c r="D148" s="67" t="str">
        <f>[1]Data2025!C147</f>
        <v>5.1.02.01.01.0024</v>
      </c>
      <c r="E148" s="68">
        <f>[1]Data2025!E147</f>
        <v>45687</v>
      </c>
      <c r="F148" s="69" t="str">
        <f>[1]Data2025!F147</f>
        <v>01/02/2025</v>
      </c>
      <c r="G148" s="68" t="str">
        <f>[1]Data2025!H147</f>
        <v>01/02/2025</v>
      </c>
      <c r="H148" s="68" t="str">
        <f t="shared" si="7"/>
        <v>01/02/2025</v>
      </c>
      <c r="I148" s="70" t="str">
        <f>[1]Data2025!J147</f>
        <v>04/02/2025</v>
      </c>
      <c r="J148" s="71" t="str">
        <f>[1]Data2025!L147</f>
        <v>Kertas StensiI</v>
      </c>
      <c r="K148" s="71" t="str">
        <f>[1]Data2025!M147</f>
        <v>Kertas StensiI</v>
      </c>
      <c r="L148" s="72">
        <f>[1]Data2025!N147</f>
        <v>10</v>
      </c>
      <c r="M148" s="72" t="str">
        <f>[1]Data2025!O147</f>
        <v>bungkus</v>
      </c>
      <c r="N148" s="73">
        <f>[1]Data2025!P147</f>
        <v>50000</v>
      </c>
      <c r="O148" s="74">
        <f>[1]Data2025!Q147</f>
        <v>500000</v>
      </c>
      <c r="P148" s="75" t="s">
        <v>43</v>
      </c>
      <c r="Q148" s="76" t="str">
        <f>VLOOKUP(K148,[1]Sheet1!$C$1:$D$101,2,)</f>
        <v>Kertas Stencil Folio (Length 33.0Cm, Width 21.0Cm, Height 5.0Cm, Weight 1400Gr)</v>
      </c>
      <c r="R148" s="77">
        <v>235000</v>
      </c>
      <c r="S148" s="78">
        <v>237000</v>
      </c>
      <c r="T148" s="79" t="str">
        <f>[1]Data2025!T147</f>
        <v>UD. JOSUA</v>
      </c>
      <c r="U148" s="80" t="s">
        <v>35</v>
      </c>
      <c r="V148" s="79" t="str">
        <f>[1]Data2025!V147</f>
        <v>Gestiwan Bazikho</v>
      </c>
      <c r="W148" s="79" t="str">
        <f>[1]Data2025!X147</f>
        <v>Jl. Diponegoro Kel. Pasar Telukdalam - Nias Selatan</v>
      </c>
      <c r="X148" s="80" t="s">
        <v>36</v>
      </c>
      <c r="Y148" s="80" t="str">
        <f t="shared" si="8"/>
        <v>Alat Tulis Kantor (ATK)</v>
      </c>
      <c r="Z148" s="81" t="str">
        <f t="shared" si="9"/>
        <v>Alat Tulis Kantor (ATK)</v>
      </c>
      <c r="AA148" s="82" t="s">
        <v>40</v>
      </c>
      <c r="AB148" s="83">
        <v>235000</v>
      </c>
      <c r="AC148" s="83">
        <v>235000</v>
      </c>
      <c r="AD148" s="77">
        <v>235000</v>
      </c>
      <c r="AE148" s="84">
        <v>211711.71171171172</v>
      </c>
      <c r="AF148" s="84">
        <v>235000</v>
      </c>
      <c r="AG148" s="85" t="s">
        <v>38</v>
      </c>
      <c r="AH148" s="86" t="str">
        <f>[1]Data2025!W147</f>
        <v>081375309828</v>
      </c>
    </row>
    <row r="149" spans="1:34" s="88" customFormat="1" ht="16.5" thickTop="1" thickBot="1">
      <c r="A149" s="64">
        <f>[1]Data2025!G148</f>
        <v>45</v>
      </c>
      <c r="B149" s="65" t="str">
        <f>[1]Data2025!K148</f>
        <v>BPU27</v>
      </c>
      <c r="C149" s="66" t="str">
        <f>[1]Data2025!D148</f>
        <v>06. 05. 08.</v>
      </c>
      <c r="D149" s="67" t="str">
        <f>[1]Data2025!C148</f>
        <v>5.1.02.01.01.0024</v>
      </c>
      <c r="E149" s="68">
        <f>[1]Data2025!E148</f>
        <v>45687</v>
      </c>
      <c r="F149" s="69" t="str">
        <f>[1]Data2025!F148</f>
        <v>01/02/2025</v>
      </c>
      <c r="G149" s="68" t="str">
        <f>[1]Data2025!H148</f>
        <v>01/02/2025</v>
      </c>
      <c r="H149" s="68" t="str">
        <f t="shared" si="7"/>
        <v>01/02/2025</v>
      </c>
      <c r="I149" s="70" t="str">
        <f>[1]Data2025!J148</f>
        <v>04/02/2025</v>
      </c>
      <c r="J149" s="71" t="str">
        <f>[1]Data2025!L148</f>
        <v>Kertas Label</v>
      </c>
      <c r="K149" s="71" t="str">
        <f>[1]Data2025!M148</f>
        <v>Kertas Label</v>
      </c>
      <c r="L149" s="72">
        <f>[1]Data2025!N148</f>
        <v>5</v>
      </c>
      <c r="M149" s="72" t="str">
        <f>[1]Data2025!O148</f>
        <v>lembar</v>
      </c>
      <c r="N149" s="73">
        <f>[1]Data2025!P148</f>
        <v>25000</v>
      </c>
      <c r="O149" s="74">
        <f>[1]Data2025!Q148</f>
        <v>125000</v>
      </c>
      <c r="P149" s="75" t="s">
        <v>43</v>
      </c>
      <c r="Q149" s="76" t="str">
        <f>VLOOKUP(K149,[1]Sheet1!$C$1:$D$101,2,)</f>
        <v>KERTAS LEBEL KOTAK (Length 5.0cm, Width 5.0cm, Height 7.0cm, Weight 5gr)</v>
      </c>
      <c r="R149" s="77">
        <v>440000</v>
      </c>
      <c r="S149" s="78">
        <v>448000</v>
      </c>
      <c r="T149" s="79" t="str">
        <f>[1]Data2025!T148</f>
        <v>UD. JOSUA</v>
      </c>
      <c r="U149" s="80" t="s">
        <v>35</v>
      </c>
      <c r="V149" s="79" t="str">
        <f>[1]Data2025!V148</f>
        <v>Gestiwan Bazikho</v>
      </c>
      <c r="W149" s="79" t="str">
        <f>[1]Data2025!X148</f>
        <v>Jl. Diponegoro Kel. Pasar Telukdalam - Nias Selatan</v>
      </c>
      <c r="X149" s="80" t="s">
        <v>36</v>
      </c>
      <c r="Y149" s="80" t="str">
        <f t="shared" si="8"/>
        <v>Alat Tulis Kantor (ATK)</v>
      </c>
      <c r="Z149" s="81" t="str">
        <f t="shared" si="9"/>
        <v>Alat Tulis Kantor (ATK)</v>
      </c>
      <c r="AA149" s="82" t="s">
        <v>48</v>
      </c>
      <c r="AB149" s="83">
        <v>110000</v>
      </c>
      <c r="AC149" s="83">
        <v>440000</v>
      </c>
      <c r="AD149" s="77">
        <v>440000</v>
      </c>
      <c r="AE149" s="84">
        <v>396396.39639639639</v>
      </c>
      <c r="AF149" s="84">
        <v>440000</v>
      </c>
      <c r="AG149" s="85" t="s">
        <v>38</v>
      </c>
      <c r="AH149" s="86" t="str">
        <f>[1]Data2025!W148</f>
        <v>081375309828</v>
      </c>
    </row>
    <row r="150" spans="1:34" s="88" customFormat="1" ht="26" thickTop="1" thickBot="1">
      <c r="A150" s="64">
        <f>[1]Data2025!G149</f>
        <v>45</v>
      </c>
      <c r="B150" s="65" t="str">
        <f>[1]Data2025!K149</f>
        <v>BPU27</v>
      </c>
      <c r="C150" s="66" t="str">
        <f>[1]Data2025!D149</f>
        <v>06. 05. 08.</v>
      </c>
      <c r="D150" s="67" t="str">
        <f>[1]Data2025!C149</f>
        <v>5.1.02.01.01.0024</v>
      </c>
      <c r="E150" s="68">
        <f>[1]Data2025!E149</f>
        <v>45687</v>
      </c>
      <c r="F150" s="69" t="str">
        <f>[1]Data2025!F149</f>
        <v>01/02/2025</v>
      </c>
      <c r="G150" s="68" t="str">
        <f>[1]Data2025!H149</f>
        <v>01/02/2025</v>
      </c>
      <c r="H150" s="68" t="str">
        <f t="shared" si="7"/>
        <v>01/02/2025</v>
      </c>
      <c r="I150" s="70" t="str">
        <f>[1]Data2025!J149</f>
        <v>04/02/2025</v>
      </c>
      <c r="J150" s="71" t="str">
        <f>[1]Data2025!L149</f>
        <v>Amplop Coklat Merk : GSU Ukuran : 1/2 folio, bergaris</v>
      </c>
      <c r="K150" s="71" t="str">
        <f>[1]Data2025!M149</f>
        <v>Amplop Coklat Merk : GSU Ukuran : 1/2 folio, bergaris</v>
      </c>
      <c r="L150" s="72">
        <f>[1]Data2025!N149</f>
        <v>1</v>
      </c>
      <c r="M150" s="72" t="str">
        <f>[1]Data2025!O149</f>
        <v>bungkus</v>
      </c>
      <c r="N150" s="73">
        <f>[1]Data2025!P149</f>
        <v>45000</v>
      </c>
      <c r="O150" s="74">
        <f>[1]Data2025!Q149</f>
        <v>45000</v>
      </c>
      <c r="P150" s="75" t="s">
        <v>43</v>
      </c>
      <c r="Q150" s="76" t="str">
        <f>VLOOKUP(K150,[1]Sheet1!$C$1:$D$101,2,)</f>
        <v>Amplop Coklat (Merk : GSU Ukuran : 1/2 folio, bergaris)</v>
      </c>
      <c r="R150" s="77">
        <v>426000</v>
      </c>
      <c r="S150" s="78">
        <v>450000</v>
      </c>
      <c r="T150" s="79" t="str">
        <f>[1]Data2025!T149</f>
        <v>UD. JOSUA</v>
      </c>
      <c r="U150" s="80" t="s">
        <v>35</v>
      </c>
      <c r="V150" s="79" t="str">
        <f>[1]Data2025!V149</f>
        <v>Gestiwan Bazikho</v>
      </c>
      <c r="W150" s="79" t="str">
        <f>[1]Data2025!X149</f>
        <v>Jl. Diponegoro Kel. Pasar Telukdalam - Nias Selatan</v>
      </c>
      <c r="X150" s="80" t="s">
        <v>36</v>
      </c>
      <c r="Y150" s="80" t="str">
        <f t="shared" si="8"/>
        <v>Alat Tulis Kantor (ATK)</v>
      </c>
      <c r="Z150" s="81" t="str">
        <f t="shared" si="9"/>
        <v>Alat Tulis Kantor (ATK)</v>
      </c>
      <c r="AA150" s="82" t="s">
        <v>42</v>
      </c>
      <c r="AB150" s="83">
        <v>35500</v>
      </c>
      <c r="AC150" s="83">
        <v>426000</v>
      </c>
      <c r="AD150" s="77">
        <v>426000</v>
      </c>
      <c r="AE150" s="84">
        <v>383783.78378378379</v>
      </c>
      <c r="AF150" s="84">
        <v>426000</v>
      </c>
      <c r="AG150" s="85" t="s">
        <v>38</v>
      </c>
      <c r="AH150" s="86" t="str">
        <f>[1]Data2025!W149</f>
        <v>081375309828</v>
      </c>
    </row>
    <row r="151" spans="1:34" s="88" customFormat="1" ht="26" thickTop="1" thickBot="1">
      <c r="A151" s="64">
        <f>[1]Data2025!G150</f>
        <v>45</v>
      </c>
      <c r="B151" s="65" t="str">
        <f>[1]Data2025!K150</f>
        <v>BPU27</v>
      </c>
      <c r="C151" s="66" t="str">
        <f>[1]Data2025!D150</f>
        <v>06. 05. 08.</v>
      </c>
      <c r="D151" s="67" t="str">
        <f>[1]Data2025!C150</f>
        <v>5.1.02.01.01.0024</v>
      </c>
      <c r="E151" s="68">
        <f>[1]Data2025!E150</f>
        <v>45687</v>
      </c>
      <c r="F151" s="69" t="str">
        <f>[1]Data2025!F150</f>
        <v>01/02/2025</v>
      </c>
      <c r="G151" s="68" t="str">
        <f>[1]Data2025!H150</f>
        <v>01/02/2025</v>
      </c>
      <c r="H151" s="68" t="str">
        <f t="shared" si="7"/>
        <v>01/02/2025</v>
      </c>
      <c r="I151" s="70" t="str">
        <f>[1]Data2025!J150</f>
        <v>04/02/2025</v>
      </c>
      <c r="J151" s="71" t="str">
        <f>[1]Data2025!L150</f>
        <v>Amplop Coklat Merk : Garda Ukuran Cabinet</v>
      </c>
      <c r="K151" s="71" t="str">
        <f>[1]Data2025!M150</f>
        <v>Amplop Coklat Merk : Garda Ukuran Cabinet</v>
      </c>
      <c r="L151" s="72">
        <f>[1]Data2025!N150</f>
        <v>3</v>
      </c>
      <c r="M151" s="72" t="str">
        <f>[1]Data2025!O150</f>
        <v>bungkus</v>
      </c>
      <c r="N151" s="73">
        <f>[1]Data2025!P150</f>
        <v>23000</v>
      </c>
      <c r="O151" s="74">
        <f>[1]Data2025!Q150</f>
        <v>69000</v>
      </c>
      <c r="P151" s="75" t="s">
        <v>43</v>
      </c>
      <c r="Q151" s="76" t="str">
        <f>VLOOKUP(K151,[1]Sheet1!$C$1:$D$101,2,)</f>
        <v>Amplop (Merk : Amplop Garda Ukuran : Super Kabinet Warna : Coklat polos Isi / Pack :100 pcs Ukuran : 14 cm x 27 cm)</v>
      </c>
      <c r="R151" s="77">
        <v>50000</v>
      </c>
      <c r="S151" s="78">
        <v>54000</v>
      </c>
      <c r="T151" s="79" t="str">
        <f>[1]Data2025!T150</f>
        <v>UD. JOSUA</v>
      </c>
      <c r="U151" s="80" t="s">
        <v>35</v>
      </c>
      <c r="V151" s="79" t="str">
        <f>[1]Data2025!V150</f>
        <v>Gestiwan Bazikho</v>
      </c>
      <c r="W151" s="79" t="str">
        <f>[1]Data2025!X150</f>
        <v>Jl. Diponegoro Kel. Pasar Telukdalam - Nias Selatan</v>
      </c>
      <c r="X151" s="80" t="s">
        <v>36</v>
      </c>
      <c r="Y151" s="80" t="str">
        <f t="shared" si="8"/>
        <v>Alat Tulis Kantor (ATK)</v>
      </c>
      <c r="Z151" s="81" t="str">
        <f t="shared" si="9"/>
        <v>Alat Tulis Kantor (ATK)</v>
      </c>
      <c r="AA151" s="82" t="s">
        <v>42</v>
      </c>
      <c r="AB151" s="83">
        <v>25000</v>
      </c>
      <c r="AC151" s="83">
        <v>50000</v>
      </c>
      <c r="AD151" s="77">
        <v>50000</v>
      </c>
      <c r="AE151" s="84">
        <v>45045.045045045044</v>
      </c>
      <c r="AF151" s="84">
        <v>50000</v>
      </c>
      <c r="AG151" s="85" t="s">
        <v>38</v>
      </c>
      <c r="AH151" s="86" t="str">
        <f>[1]Data2025!W150</f>
        <v>081375309828</v>
      </c>
    </row>
    <row r="152" spans="1:34" s="88" customFormat="1" ht="26" thickTop="1" thickBot="1">
      <c r="A152" s="64">
        <f>[1]Data2025!G151</f>
        <v>45</v>
      </c>
      <c r="B152" s="65" t="str">
        <f>[1]Data2025!K151</f>
        <v>BPU27</v>
      </c>
      <c r="C152" s="66" t="str">
        <f>[1]Data2025!D151</f>
        <v>06. 05. 08.</v>
      </c>
      <c r="D152" s="67" t="str">
        <f>[1]Data2025!C151</f>
        <v>5.1.02.01.01.0024</v>
      </c>
      <c r="E152" s="68">
        <f>[1]Data2025!E151</f>
        <v>45687</v>
      </c>
      <c r="F152" s="69" t="str">
        <f>[1]Data2025!F151</f>
        <v>01/02/2025</v>
      </c>
      <c r="G152" s="68" t="str">
        <f>[1]Data2025!H151</f>
        <v>01/02/2025</v>
      </c>
      <c r="H152" s="68" t="str">
        <f t="shared" si="7"/>
        <v>01/02/2025</v>
      </c>
      <c r="I152" s="70" t="str">
        <f>[1]Data2025!J151</f>
        <v>04/02/2025</v>
      </c>
      <c r="J152" s="71" t="str">
        <f>[1]Data2025!L151</f>
        <v>Amplop Coklat Merk : GSU Ukuran Folio polos</v>
      </c>
      <c r="K152" s="71" t="str">
        <f>[1]Data2025!M151</f>
        <v>Amplop Coklat Merk : GSU Ukuran Folio polos</v>
      </c>
      <c r="L152" s="72">
        <f>[1]Data2025!N151</f>
        <v>2</v>
      </c>
      <c r="M152" s="72" t="str">
        <f>[1]Data2025!O151</f>
        <v>bungkus</v>
      </c>
      <c r="N152" s="73">
        <f>[1]Data2025!P151</f>
        <v>60000</v>
      </c>
      <c r="O152" s="74">
        <f>[1]Data2025!Q151</f>
        <v>120000</v>
      </c>
      <c r="P152" s="75" t="s">
        <v>43</v>
      </c>
      <c r="Q152" s="76" t="str">
        <f>VLOOKUP(K152,[1]Sheet1!$C$1:$D$101,2,)</f>
        <v>Amplop Coklat Folio (Berat: 1000 gram. Panjang: 25 cm. Lebar: 5 cm. Tinggi: 35 cm)</v>
      </c>
      <c r="R152" s="77">
        <v>45000</v>
      </c>
      <c r="S152" s="78">
        <v>47000</v>
      </c>
      <c r="T152" s="79" t="str">
        <f>[1]Data2025!T151</f>
        <v>UD. JOSUA</v>
      </c>
      <c r="U152" s="80" t="s">
        <v>35</v>
      </c>
      <c r="V152" s="79" t="str">
        <f>[1]Data2025!V151</f>
        <v>Gestiwan Bazikho</v>
      </c>
      <c r="W152" s="79" t="str">
        <f>[1]Data2025!X151</f>
        <v>Jl. Diponegoro Kel. Pasar Telukdalam - Nias Selatan</v>
      </c>
      <c r="X152" s="80" t="s">
        <v>36</v>
      </c>
      <c r="Y152" s="80" t="str">
        <f t="shared" si="8"/>
        <v>Alat Tulis Kantor (ATK)</v>
      </c>
      <c r="Z152" s="81" t="str">
        <f t="shared" si="9"/>
        <v>Alat Tulis Kantor (ATK)</v>
      </c>
      <c r="AA152" s="82" t="s">
        <v>44</v>
      </c>
      <c r="AB152" s="83">
        <v>45000</v>
      </c>
      <c r="AC152" s="83">
        <v>45000</v>
      </c>
      <c r="AD152" s="77">
        <v>45000</v>
      </c>
      <c r="AE152" s="84">
        <v>40540.54054054054</v>
      </c>
      <c r="AF152" s="84">
        <v>45000</v>
      </c>
      <c r="AG152" s="85" t="s">
        <v>38</v>
      </c>
      <c r="AH152" s="86" t="str">
        <f>[1]Data2025!W151</f>
        <v>081375309828</v>
      </c>
    </row>
    <row r="153" spans="1:34" s="88" customFormat="1" ht="26" thickTop="1" thickBot="1">
      <c r="A153" s="64">
        <f>[1]Data2025!G152</f>
        <v>45</v>
      </c>
      <c r="B153" s="65" t="str">
        <f>[1]Data2025!K152</f>
        <v>BPU27</v>
      </c>
      <c r="C153" s="66" t="str">
        <f>[1]Data2025!D152</f>
        <v>06. 05. 08.</v>
      </c>
      <c r="D153" s="67" t="str">
        <f>[1]Data2025!C152</f>
        <v>5.1.02.01.01.0024</v>
      </c>
      <c r="E153" s="68">
        <f>[1]Data2025!E152</f>
        <v>45687</v>
      </c>
      <c r="F153" s="69" t="str">
        <f>[1]Data2025!F152</f>
        <v>01/02/2025</v>
      </c>
      <c r="G153" s="68" t="str">
        <f>[1]Data2025!H152</f>
        <v>01/02/2025</v>
      </c>
      <c r="H153" s="68" t="str">
        <f t="shared" si="7"/>
        <v>01/02/2025</v>
      </c>
      <c r="I153" s="70" t="str">
        <f>[1]Data2025!J152</f>
        <v>04/02/2025</v>
      </c>
      <c r="J153" s="71" t="str">
        <f>[1]Data2025!L152</f>
        <v>Amplop Panjang Putih Polos Merk : Jaya Ukuran : 11 x 23 cm</v>
      </c>
      <c r="K153" s="71" t="str">
        <f>[1]Data2025!M152</f>
        <v>Amplop Panjang Putih Polos Merk : Jaya Ukuran : 11 x 23 cm</v>
      </c>
      <c r="L153" s="72">
        <f>[1]Data2025!N152</f>
        <v>1</v>
      </c>
      <c r="M153" s="72" t="str">
        <f>[1]Data2025!O152</f>
        <v>kotak</v>
      </c>
      <c r="N153" s="73">
        <f>[1]Data2025!P152</f>
        <v>48000</v>
      </c>
      <c r="O153" s="74">
        <f>[1]Data2025!Q152</f>
        <v>48000</v>
      </c>
      <c r="P153" s="75" t="s">
        <v>43</v>
      </c>
      <c r="Q153" s="76" t="str">
        <f>VLOOKUP(K153,[1]Sheet1!$C$1:$D$101,2,)</f>
        <v xml:space="preserve"> Amplop Panjang Putih Polos (Merk : Jaya Ukuran : 11 x 23 cm)</v>
      </c>
      <c r="R153" s="77">
        <v>77500</v>
      </c>
      <c r="S153" s="78">
        <v>87500</v>
      </c>
      <c r="T153" s="79" t="str">
        <f>[1]Data2025!T152</f>
        <v>UD. JOSUA</v>
      </c>
      <c r="U153" s="80" t="s">
        <v>35</v>
      </c>
      <c r="V153" s="79" t="str">
        <f>[1]Data2025!V152</f>
        <v>Gestiwan Bazikho</v>
      </c>
      <c r="W153" s="79" t="str">
        <f>[1]Data2025!X152</f>
        <v>Jl. Diponegoro Kel. Pasar Telukdalam - Nias Selatan</v>
      </c>
      <c r="X153" s="80" t="s">
        <v>36</v>
      </c>
      <c r="Y153" s="80" t="str">
        <f t="shared" si="8"/>
        <v>Alat Tulis Kantor (ATK)</v>
      </c>
      <c r="Z153" s="81" t="str">
        <f t="shared" si="9"/>
        <v>Alat Tulis Kantor (ATK)</v>
      </c>
      <c r="AA153" s="82" t="s">
        <v>42</v>
      </c>
      <c r="AB153" s="83">
        <v>15500</v>
      </c>
      <c r="AC153" s="83">
        <v>77500</v>
      </c>
      <c r="AD153" s="77">
        <v>77500</v>
      </c>
      <c r="AE153" s="84">
        <v>69819.819819819822</v>
      </c>
      <c r="AF153" s="84">
        <v>77500</v>
      </c>
      <c r="AG153" s="85" t="s">
        <v>38</v>
      </c>
      <c r="AH153" s="86" t="str">
        <f>[1]Data2025!W152</f>
        <v>081375309828</v>
      </c>
    </row>
    <row r="154" spans="1:34" s="88" customFormat="1" ht="16.5" thickTop="1" thickBot="1">
      <c r="A154" s="64">
        <f>[1]Data2025!G153</f>
        <v>45</v>
      </c>
      <c r="B154" s="65" t="str">
        <f>[1]Data2025!K153</f>
        <v>BPU27</v>
      </c>
      <c r="C154" s="66" t="str">
        <f>[1]Data2025!D153</f>
        <v>06. 05. 08.</v>
      </c>
      <c r="D154" s="67" t="str">
        <f>[1]Data2025!C153</f>
        <v>5.1.02.01.01.0024</v>
      </c>
      <c r="E154" s="68">
        <f>[1]Data2025!E153</f>
        <v>45687</v>
      </c>
      <c r="F154" s="69" t="str">
        <f>[1]Data2025!F153</f>
        <v>01/02/2025</v>
      </c>
      <c r="G154" s="68" t="str">
        <f>[1]Data2025!H153</f>
        <v>01/02/2025</v>
      </c>
      <c r="H154" s="68" t="str">
        <f t="shared" si="7"/>
        <v>01/02/2025</v>
      </c>
      <c r="I154" s="70" t="str">
        <f>[1]Data2025!J153</f>
        <v>04/02/2025</v>
      </c>
      <c r="J154" s="71" t="str">
        <f>[1]Data2025!L153</f>
        <v>Ballpoint Drawing Pen 0,1 Snowman</v>
      </c>
      <c r="K154" s="71" t="str">
        <f>[1]Data2025!M153</f>
        <v>Ballpoint Drawing Pen 0,1 Snowman</v>
      </c>
      <c r="L154" s="72">
        <f>[1]Data2025!N153</f>
        <v>1</v>
      </c>
      <c r="M154" s="72" t="str">
        <f>[1]Data2025!O153</f>
        <v>lusin</v>
      </c>
      <c r="N154" s="73">
        <f>[1]Data2025!P153</f>
        <v>95000</v>
      </c>
      <c r="O154" s="74">
        <f>[1]Data2025!Q153</f>
        <v>95000</v>
      </c>
      <c r="P154" s="75" t="s">
        <v>43</v>
      </c>
      <c r="Q154" s="76" t="str">
        <f>VLOOKUP(K154,[1]Sheet1!$C$1:$D$101,2,)</f>
        <v>Ballpoint Drawing Pen 0,5 Snowman (Length 5.0Cm, Width 5.0Cm, Height 5.0Cm, Weight 5Gr)</v>
      </c>
      <c r="R154" s="77">
        <v>30000</v>
      </c>
      <c r="S154" s="78">
        <v>40000</v>
      </c>
      <c r="T154" s="79" t="str">
        <f>[1]Data2025!T153</f>
        <v>UD. JOSUA</v>
      </c>
      <c r="U154" s="80" t="s">
        <v>35</v>
      </c>
      <c r="V154" s="79" t="str">
        <f>[1]Data2025!V153</f>
        <v>Gestiwan Bazikho</v>
      </c>
      <c r="W154" s="79" t="str">
        <f>[1]Data2025!X153</f>
        <v>Jl. Diponegoro Kel. Pasar Telukdalam - Nias Selatan</v>
      </c>
      <c r="X154" s="80" t="s">
        <v>36</v>
      </c>
      <c r="Y154" s="80" t="str">
        <f t="shared" si="8"/>
        <v>Alat Tulis Kantor (ATK)</v>
      </c>
      <c r="Z154" s="81" t="str">
        <f t="shared" si="9"/>
        <v>Alat Tulis Kantor (ATK)</v>
      </c>
      <c r="AA154" s="82" t="s">
        <v>37</v>
      </c>
      <c r="AB154" s="83">
        <v>6000</v>
      </c>
      <c r="AC154" s="83">
        <v>30000</v>
      </c>
      <c r="AD154" s="77">
        <v>30000</v>
      </c>
      <c r="AE154" s="84">
        <v>27027.027027027027</v>
      </c>
      <c r="AF154" s="84">
        <v>30000</v>
      </c>
      <c r="AG154" s="85" t="s">
        <v>38</v>
      </c>
      <c r="AH154" s="86" t="str">
        <f>[1]Data2025!W153</f>
        <v>081375309828</v>
      </c>
    </row>
    <row r="155" spans="1:34" s="88" customFormat="1" ht="16.5" thickTop="1" thickBot="1">
      <c r="A155" s="64">
        <f>[1]Data2025!G154</f>
        <v>45</v>
      </c>
      <c r="B155" s="65" t="str">
        <f>[1]Data2025!K154</f>
        <v>BPU27</v>
      </c>
      <c r="C155" s="66" t="str">
        <f>[1]Data2025!D154</f>
        <v>06. 05. 08.</v>
      </c>
      <c r="D155" s="67" t="str">
        <f>[1]Data2025!C154</f>
        <v>5.1.02.01.01.0024</v>
      </c>
      <c r="E155" s="68">
        <f>[1]Data2025!E154</f>
        <v>45687</v>
      </c>
      <c r="F155" s="69" t="str">
        <f>[1]Data2025!F154</f>
        <v>01/02/2025</v>
      </c>
      <c r="G155" s="68" t="str">
        <f>[1]Data2025!H154</f>
        <v>01/02/2025</v>
      </c>
      <c r="H155" s="68" t="str">
        <f t="shared" si="7"/>
        <v>01/02/2025</v>
      </c>
      <c r="I155" s="70" t="str">
        <f>[1]Data2025!J154</f>
        <v>04/02/2025</v>
      </c>
      <c r="J155" s="71" t="str">
        <f>[1]Data2025!L154</f>
        <v>Ballpoint Standard AE7</v>
      </c>
      <c r="K155" s="71" t="str">
        <f>[1]Data2025!M154</f>
        <v>Ballpoint Standard AE7</v>
      </c>
      <c r="L155" s="72">
        <f>[1]Data2025!N154</f>
        <v>2</v>
      </c>
      <c r="M155" s="72" t="str">
        <f>[1]Data2025!O154</f>
        <v>lusin</v>
      </c>
      <c r="N155" s="73">
        <f>[1]Data2025!P154</f>
        <v>20000</v>
      </c>
      <c r="O155" s="74">
        <f>[1]Data2025!Q154</f>
        <v>40000</v>
      </c>
      <c r="P155" s="75" t="s">
        <v>43</v>
      </c>
      <c r="Q155" s="76" t="str">
        <f>VLOOKUP(K155,[1]Sheet1!$C$1:$D$101,2,)</f>
        <v>Ballpoint Standard AE7 (Jenis Barang: Pulpen Merk: Standard Tipe: AE-7 Ukuran: 0.5 mm; Warna Tinta, hitam)</v>
      </c>
      <c r="R155" s="77">
        <v>125000</v>
      </c>
      <c r="S155" s="78">
        <v>135000</v>
      </c>
      <c r="T155" s="79" t="str">
        <f>[1]Data2025!T154</f>
        <v>UD. JOSUA</v>
      </c>
      <c r="U155" s="80" t="s">
        <v>35</v>
      </c>
      <c r="V155" s="79" t="str">
        <f>[1]Data2025!V154</f>
        <v>Gestiwan Bazikho</v>
      </c>
      <c r="W155" s="79" t="str">
        <f>[1]Data2025!X154</f>
        <v>Jl. Diponegoro Kel. Pasar Telukdalam - Nias Selatan</v>
      </c>
      <c r="X155" s="80" t="s">
        <v>36</v>
      </c>
      <c r="Y155" s="80" t="str">
        <f t="shared" si="8"/>
        <v>Alat Tulis Kantor (ATK)</v>
      </c>
      <c r="Z155" s="81" t="str">
        <f t="shared" si="9"/>
        <v>Alat Tulis Kantor (ATK)</v>
      </c>
      <c r="AA155" s="82" t="s">
        <v>42</v>
      </c>
      <c r="AB155" s="83">
        <v>25000</v>
      </c>
      <c r="AC155" s="83">
        <v>125000</v>
      </c>
      <c r="AD155" s="77">
        <v>125000</v>
      </c>
      <c r="AE155" s="84">
        <v>112612.61261261262</v>
      </c>
      <c r="AF155" s="84">
        <v>125000</v>
      </c>
      <c r="AG155" s="85" t="s">
        <v>38</v>
      </c>
      <c r="AH155" s="86" t="str">
        <f>[1]Data2025!W154</f>
        <v>081375309828</v>
      </c>
    </row>
    <row r="156" spans="1:34" s="88" customFormat="1" ht="16.5" thickTop="1" thickBot="1">
      <c r="A156" s="64">
        <f>[1]Data2025!G155</f>
        <v>45</v>
      </c>
      <c r="B156" s="65" t="str">
        <f>[1]Data2025!K155</f>
        <v>BPU27</v>
      </c>
      <c r="C156" s="66" t="str">
        <f>[1]Data2025!D155</f>
        <v>06. 05. 08.</v>
      </c>
      <c r="D156" s="67" t="str">
        <f>[1]Data2025!C155</f>
        <v>5.1.02.01.01.0024</v>
      </c>
      <c r="E156" s="68">
        <f>[1]Data2025!E155</f>
        <v>45687</v>
      </c>
      <c r="F156" s="69" t="str">
        <f>[1]Data2025!F155</f>
        <v>01/02/2025</v>
      </c>
      <c r="G156" s="68" t="str">
        <f>[1]Data2025!H155</f>
        <v>01/02/2025</v>
      </c>
      <c r="H156" s="68" t="str">
        <f t="shared" si="7"/>
        <v>01/02/2025</v>
      </c>
      <c r="I156" s="70" t="str">
        <f>[1]Data2025!J155</f>
        <v>04/02/2025</v>
      </c>
      <c r="J156" s="71" t="str">
        <f>[1]Data2025!L155</f>
        <v>Ballpoint Pilot G2</v>
      </c>
      <c r="K156" s="71" t="str">
        <f>[1]Data2025!M155</f>
        <v>Ballpoint Pilot G2</v>
      </c>
      <c r="L156" s="72">
        <f>[1]Data2025!N155</f>
        <v>1</v>
      </c>
      <c r="M156" s="72" t="str">
        <f>[1]Data2025!O155</f>
        <v>lusin</v>
      </c>
      <c r="N156" s="73">
        <f>[1]Data2025!P155</f>
        <v>235000</v>
      </c>
      <c r="O156" s="74">
        <f>[1]Data2025!Q155</f>
        <v>235000</v>
      </c>
      <c r="P156" s="75" t="s">
        <v>43</v>
      </c>
      <c r="Q156" s="76" t="str">
        <f>VLOOKUP(K156,[1]Sheet1!$C$1:$D$101,2,)</f>
        <v>Ballpoint Pilot G2 (Length 5.0Cm, Width 5.0Cm, Height 5.0Cm, Weight 5Gr)</v>
      </c>
      <c r="R156" s="77">
        <v>500000</v>
      </c>
      <c r="S156" s="78">
        <v>520000</v>
      </c>
      <c r="T156" s="79" t="str">
        <f>[1]Data2025!T155</f>
        <v>UD. JOSUA</v>
      </c>
      <c r="U156" s="80" t="s">
        <v>35</v>
      </c>
      <c r="V156" s="79" t="str">
        <f>[1]Data2025!V155</f>
        <v>Gestiwan Bazikho</v>
      </c>
      <c r="W156" s="79" t="str">
        <f>[1]Data2025!X155</f>
        <v>Jl. Diponegoro Kel. Pasar Telukdalam - Nias Selatan</v>
      </c>
      <c r="X156" s="80" t="s">
        <v>36</v>
      </c>
      <c r="Y156" s="80" t="str">
        <f t="shared" si="8"/>
        <v>Alat Tulis Kantor (ATK)</v>
      </c>
      <c r="Z156" s="81" t="str">
        <f t="shared" si="9"/>
        <v>Alat Tulis Kantor (ATK)</v>
      </c>
      <c r="AA156" s="82" t="s">
        <v>44</v>
      </c>
      <c r="AB156" s="83">
        <v>50000</v>
      </c>
      <c r="AC156" s="83">
        <v>500000</v>
      </c>
      <c r="AD156" s="77">
        <v>500000</v>
      </c>
      <c r="AE156" s="84">
        <v>450450.45045045047</v>
      </c>
      <c r="AF156" s="84">
        <v>500000</v>
      </c>
      <c r="AG156" s="85" t="s">
        <v>38</v>
      </c>
      <c r="AH156" s="86" t="str">
        <f>[1]Data2025!W155</f>
        <v>081375309828</v>
      </c>
    </row>
    <row r="157" spans="1:34" s="88" customFormat="1" ht="16.5" thickTop="1" thickBot="1">
      <c r="A157" s="64">
        <f>[1]Data2025!G156</f>
        <v>45</v>
      </c>
      <c r="B157" s="65" t="str">
        <f>[1]Data2025!K156</f>
        <v>BPU27</v>
      </c>
      <c r="C157" s="66" t="str">
        <f>[1]Data2025!D156</f>
        <v>06. 05. 08.</v>
      </c>
      <c r="D157" s="67" t="str">
        <f>[1]Data2025!C156</f>
        <v>5.1.02.01.01.0024</v>
      </c>
      <c r="E157" s="68">
        <f>[1]Data2025!E156</f>
        <v>45687</v>
      </c>
      <c r="F157" s="69" t="str">
        <f>[1]Data2025!F156</f>
        <v>01/02/2025</v>
      </c>
      <c r="G157" s="68" t="str">
        <f>[1]Data2025!H156</f>
        <v>01/02/2025</v>
      </c>
      <c r="H157" s="68" t="str">
        <f t="shared" si="7"/>
        <v>01/02/2025</v>
      </c>
      <c r="I157" s="70" t="str">
        <f>[1]Data2025!J156</f>
        <v>04/02/2025</v>
      </c>
      <c r="J157" s="71" t="str">
        <f>[1]Data2025!L156</f>
        <v>Binder Klip  nomor 107</v>
      </c>
      <c r="K157" s="71" t="str">
        <f>[1]Data2025!M156</f>
        <v>Binder Klip  nomor 107</v>
      </c>
      <c r="L157" s="72">
        <f>[1]Data2025!N156</f>
        <v>5</v>
      </c>
      <c r="M157" s="72" t="str">
        <f>[1]Data2025!O156</f>
        <v>kotak</v>
      </c>
      <c r="N157" s="73">
        <f>[1]Data2025!P156</f>
        <v>7800</v>
      </c>
      <c r="O157" s="74">
        <f>[1]Data2025!Q156</f>
        <v>39000</v>
      </c>
      <c r="P157" s="75" t="s">
        <v>43</v>
      </c>
      <c r="Q157" s="76" t="str">
        <f>VLOOKUP(K157,[1]Sheet1!$C$1:$D$101,2,)</f>
        <v>Binder Clip N0 107 (Length 5.0Cm, Width 5.0Cm, Height 5.0Cm, Weight 5Gr)</v>
      </c>
      <c r="R157" s="77">
        <v>240000</v>
      </c>
      <c r="S157" s="78">
        <v>244000</v>
      </c>
      <c r="T157" s="79" t="str">
        <f>[1]Data2025!T156</f>
        <v>UD. JOSUA</v>
      </c>
      <c r="U157" s="80" t="s">
        <v>35</v>
      </c>
      <c r="V157" s="79" t="str">
        <f>[1]Data2025!V156</f>
        <v>Gestiwan Bazikho</v>
      </c>
      <c r="W157" s="79" t="str">
        <f>[1]Data2025!X156</f>
        <v>Jl. Diponegoro Kel. Pasar Telukdalam - Nias Selatan</v>
      </c>
      <c r="X157" s="80" t="s">
        <v>36</v>
      </c>
      <c r="Y157" s="80" t="str">
        <f t="shared" si="8"/>
        <v>Alat Tulis Kantor (ATK)</v>
      </c>
      <c r="Z157" s="81" t="str">
        <f t="shared" si="9"/>
        <v>Alat Tulis Kantor (ATK)</v>
      </c>
      <c r="AA157" s="82" t="s">
        <v>40</v>
      </c>
      <c r="AB157" s="83">
        <v>120000</v>
      </c>
      <c r="AC157" s="83">
        <v>240000</v>
      </c>
      <c r="AD157" s="77">
        <v>240000</v>
      </c>
      <c r="AE157" s="84">
        <v>216216.21621621621</v>
      </c>
      <c r="AF157" s="84">
        <v>240000</v>
      </c>
      <c r="AG157" s="85" t="s">
        <v>38</v>
      </c>
      <c r="AH157" s="86" t="str">
        <f>[1]Data2025!W156</f>
        <v>081375309828</v>
      </c>
    </row>
    <row r="158" spans="1:34" s="88" customFormat="1" ht="16.5" thickTop="1" thickBot="1">
      <c r="A158" s="64">
        <f>[1]Data2025!G157</f>
        <v>45</v>
      </c>
      <c r="B158" s="65" t="str">
        <f>[1]Data2025!K157</f>
        <v>BPU27</v>
      </c>
      <c r="C158" s="66" t="str">
        <f>[1]Data2025!D157</f>
        <v>06. 05. 08.</v>
      </c>
      <c r="D158" s="67" t="str">
        <f>[1]Data2025!C157</f>
        <v>5.1.02.01.01.0024</v>
      </c>
      <c r="E158" s="68">
        <f>[1]Data2025!E157</f>
        <v>45687</v>
      </c>
      <c r="F158" s="69" t="str">
        <f>[1]Data2025!F157</f>
        <v>01/02/2025</v>
      </c>
      <c r="G158" s="68" t="str">
        <f>[1]Data2025!H157</f>
        <v>01/02/2025</v>
      </c>
      <c r="H158" s="68" t="str">
        <f t="shared" si="7"/>
        <v>01/02/2025</v>
      </c>
      <c r="I158" s="70" t="str">
        <f>[1]Data2025!J157</f>
        <v>04/02/2025</v>
      </c>
      <c r="J158" s="71" t="str">
        <f>[1]Data2025!L157</f>
        <v>Binder Klip  nomor 111</v>
      </c>
      <c r="K158" s="71" t="str">
        <f>[1]Data2025!M157</f>
        <v>Binder Klip  nomor 111</v>
      </c>
      <c r="L158" s="72">
        <f>[1]Data2025!N157</f>
        <v>5</v>
      </c>
      <c r="M158" s="72" t="str">
        <f>[1]Data2025!O157</f>
        <v>kotak</v>
      </c>
      <c r="N158" s="73">
        <f>[1]Data2025!P157</f>
        <v>11000</v>
      </c>
      <c r="O158" s="74">
        <f>[1]Data2025!Q157</f>
        <v>55000</v>
      </c>
      <c r="P158" s="75" t="s">
        <v>43</v>
      </c>
      <c r="Q158" s="76" t="str">
        <f>VLOOKUP(K158,[1]Sheet1!$C$1:$D$101,2,)</f>
        <v>Binder Clip No 111 (Length 5.0Cm, Width 5.0Cm, Height 5.0Cm, Weight 5Gr)</v>
      </c>
      <c r="R158" s="77">
        <v>30000</v>
      </c>
      <c r="S158" s="78">
        <v>34000</v>
      </c>
      <c r="T158" s="79" t="str">
        <f>[1]Data2025!T157</f>
        <v>UD. JOSUA</v>
      </c>
      <c r="U158" s="80" t="s">
        <v>35</v>
      </c>
      <c r="V158" s="79" t="str">
        <f>[1]Data2025!V157</f>
        <v>Gestiwan Bazikho</v>
      </c>
      <c r="W158" s="79" t="str">
        <f>[1]Data2025!X157</f>
        <v>Jl. Diponegoro Kel. Pasar Telukdalam - Nias Selatan</v>
      </c>
      <c r="X158" s="80" t="s">
        <v>36</v>
      </c>
      <c r="Y158" s="80" t="str">
        <f t="shared" si="8"/>
        <v>Alat Tulis Kantor (ATK)</v>
      </c>
      <c r="Z158" s="81" t="str">
        <f t="shared" si="9"/>
        <v>Alat Tulis Kantor (ATK)</v>
      </c>
      <c r="AA158" s="82" t="s">
        <v>42</v>
      </c>
      <c r="AB158" s="83">
        <v>15000</v>
      </c>
      <c r="AC158" s="83">
        <v>30000</v>
      </c>
      <c r="AD158" s="77">
        <v>30000</v>
      </c>
      <c r="AE158" s="84">
        <v>27027.027027027027</v>
      </c>
      <c r="AF158" s="84">
        <v>30000</v>
      </c>
      <c r="AG158" s="85" t="s">
        <v>38</v>
      </c>
      <c r="AH158" s="86" t="str">
        <f>[1]Data2025!W157</f>
        <v>081375309828</v>
      </c>
    </row>
    <row r="159" spans="1:34" s="88" customFormat="1" ht="16.5" thickTop="1" thickBot="1">
      <c r="A159" s="64">
        <f>[1]Data2025!G158</f>
        <v>45</v>
      </c>
      <c r="B159" s="65" t="str">
        <f>[1]Data2025!K158</f>
        <v>BPU27</v>
      </c>
      <c r="C159" s="66" t="str">
        <f>[1]Data2025!D158</f>
        <v>06. 05. 08.</v>
      </c>
      <c r="D159" s="67" t="str">
        <f>[1]Data2025!C158</f>
        <v>5.1.02.01.01.0024</v>
      </c>
      <c r="E159" s="68">
        <f>[1]Data2025!E158</f>
        <v>45687</v>
      </c>
      <c r="F159" s="69" t="str">
        <f>[1]Data2025!F158</f>
        <v>01/02/2025</v>
      </c>
      <c r="G159" s="68" t="str">
        <f>[1]Data2025!H158</f>
        <v>01/02/2025</v>
      </c>
      <c r="H159" s="68" t="str">
        <f t="shared" si="7"/>
        <v>01/02/2025</v>
      </c>
      <c r="I159" s="70" t="str">
        <f>[1]Data2025!J158</f>
        <v>04/02/2025</v>
      </c>
      <c r="J159" s="71" t="str">
        <f>[1]Data2025!L158</f>
        <v>Binder Klip  nomor 200</v>
      </c>
      <c r="K159" s="71" t="str">
        <f>[1]Data2025!M158</f>
        <v>Binder Klip  nomor 200</v>
      </c>
      <c r="L159" s="72">
        <f>[1]Data2025!N158</f>
        <v>10</v>
      </c>
      <c r="M159" s="72" t="str">
        <f>[1]Data2025!O158</f>
        <v>kotak</v>
      </c>
      <c r="N159" s="73">
        <f>[1]Data2025!P158</f>
        <v>16500</v>
      </c>
      <c r="O159" s="74">
        <f>[1]Data2025!Q158</f>
        <v>165000</v>
      </c>
      <c r="P159" s="75" t="s">
        <v>43</v>
      </c>
      <c r="Q159" s="76" t="str">
        <f>VLOOKUP(K159,[1]Sheet1!$C$1:$D$101,2,)</f>
        <v>Binder Clip Nomor 200 (Length 5.0Cm, Width 5.0Cm, Height 5.0Cm, Weight 5Gr)</v>
      </c>
      <c r="R159" s="77">
        <v>200000</v>
      </c>
      <c r="S159" s="78">
        <v>220000</v>
      </c>
      <c r="T159" s="79" t="str">
        <f>[1]Data2025!T158</f>
        <v>UD. JOSUA</v>
      </c>
      <c r="U159" s="80" t="s">
        <v>35</v>
      </c>
      <c r="V159" s="79" t="str">
        <f>[1]Data2025!V158</f>
        <v>Gestiwan Bazikho</v>
      </c>
      <c r="W159" s="79" t="str">
        <f>[1]Data2025!X158</f>
        <v>Jl. Diponegoro Kel. Pasar Telukdalam - Nias Selatan</v>
      </c>
      <c r="X159" s="80" t="s">
        <v>36</v>
      </c>
      <c r="Y159" s="80" t="str">
        <f t="shared" si="8"/>
        <v>Alat Tulis Kantor (ATK)</v>
      </c>
      <c r="Z159" s="81" t="str">
        <f t="shared" si="9"/>
        <v>Alat Tulis Kantor (ATK)</v>
      </c>
      <c r="AA159" s="82" t="s">
        <v>37</v>
      </c>
      <c r="AB159" s="83">
        <v>20000</v>
      </c>
      <c r="AC159" s="83">
        <v>200000</v>
      </c>
      <c r="AD159" s="77">
        <v>200000</v>
      </c>
      <c r="AE159" s="84">
        <v>180180.18018018018</v>
      </c>
      <c r="AF159" s="84">
        <v>200000</v>
      </c>
      <c r="AG159" s="85" t="s">
        <v>38</v>
      </c>
      <c r="AH159" s="86" t="str">
        <f>[1]Data2025!W158</f>
        <v>081375309828</v>
      </c>
    </row>
    <row r="160" spans="1:34" s="88" customFormat="1" ht="16.5" thickTop="1" thickBot="1">
      <c r="A160" s="64">
        <f>[1]Data2025!G159</f>
        <v>45</v>
      </c>
      <c r="B160" s="65" t="str">
        <f>[1]Data2025!K159</f>
        <v>BPU27</v>
      </c>
      <c r="C160" s="66" t="str">
        <f>[1]Data2025!D159</f>
        <v>06. 05. 08.</v>
      </c>
      <c r="D160" s="67" t="str">
        <f>[1]Data2025!C159</f>
        <v>5.1.02.01.01.0024</v>
      </c>
      <c r="E160" s="68">
        <f>[1]Data2025!E159</f>
        <v>45687</v>
      </c>
      <c r="F160" s="69" t="str">
        <f>[1]Data2025!F159</f>
        <v>01/02/2025</v>
      </c>
      <c r="G160" s="68" t="str">
        <f>[1]Data2025!H159</f>
        <v>01/02/2025</v>
      </c>
      <c r="H160" s="68" t="str">
        <f t="shared" si="7"/>
        <v>01/02/2025</v>
      </c>
      <c r="I160" s="70" t="str">
        <f>[1]Data2025!J159</f>
        <v>04/02/2025</v>
      </c>
      <c r="J160" s="71" t="str">
        <f>[1]Data2025!L159</f>
        <v>Binder Klip  nomor 260</v>
      </c>
      <c r="K160" s="71" t="str">
        <f>[1]Data2025!M159</f>
        <v>Binder Klip  nomor 260</v>
      </c>
      <c r="L160" s="72">
        <f>[1]Data2025!N159</f>
        <v>10</v>
      </c>
      <c r="M160" s="72" t="str">
        <f>[1]Data2025!O159</f>
        <v>kotak</v>
      </c>
      <c r="N160" s="73">
        <f>[1]Data2025!P159</f>
        <v>20000</v>
      </c>
      <c r="O160" s="74">
        <f>[1]Data2025!Q159</f>
        <v>200000</v>
      </c>
      <c r="P160" s="75" t="s">
        <v>43</v>
      </c>
      <c r="Q160" s="76" t="str">
        <f>VLOOKUP(K160,[1]Sheet1!$C$1:$D$101,2,)</f>
        <v>Binder Clip No 260 (Length 5.0Cm, Width 5.0Cm, Height 5.0Cm, Weight 5Gr)</v>
      </c>
      <c r="R160" s="77">
        <v>440000</v>
      </c>
      <c r="S160" s="78">
        <v>448000</v>
      </c>
      <c r="T160" s="79" t="str">
        <f>[1]Data2025!T159</f>
        <v>UD. JOSUA</v>
      </c>
      <c r="U160" s="80" t="s">
        <v>35</v>
      </c>
      <c r="V160" s="79" t="str">
        <f>[1]Data2025!V159</f>
        <v>Gestiwan Bazikho</v>
      </c>
      <c r="W160" s="79" t="str">
        <f>[1]Data2025!X159</f>
        <v>Jl. Diponegoro Kel. Pasar Telukdalam - Nias Selatan</v>
      </c>
      <c r="X160" s="80" t="s">
        <v>36</v>
      </c>
      <c r="Y160" s="80" t="str">
        <f t="shared" si="8"/>
        <v>Alat Tulis Kantor (ATK)</v>
      </c>
      <c r="Z160" s="81" t="str">
        <f t="shared" si="9"/>
        <v>Alat Tulis Kantor (ATK)</v>
      </c>
      <c r="AA160" s="82" t="s">
        <v>48</v>
      </c>
      <c r="AB160" s="83">
        <v>110000</v>
      </c>
      <c r="AC160" s="83">
        <v>440000</v>
      </c>
      <c r="AD160" s="77">
        <v>440000</v>
      </c>
      <c r="AE160" s="84">
        <v>396396.39639639639</v>
      </c>
      <c r="AF160" s="84">
        <v>440000</v>
      </c>
      <c r="AG160" s="85" t="s">
        <v>38</v>
      </c>
      <c r="AH160" s="86" t="str">
        <f>[1]Data2025!W159</f>
        <v>081375309828</v>
      </c>
    </row>
    <row r="161" spans="1:34" s="88" customFormat="1" ht="26" thickTop="1" thickBot="1">
      <c r="A161" s="64">
        <f>[1]Data2025!G160</f>
        <v>45</v>
      </c>
      <c r="B161" s="65" t="str">
        <f>[1]Data2025!K160</f>
        <v>BPU27</v>
      </c>
      <c r="C161" s="66" t="str">
        <f>[1]Data2025!D160</f>
        <v>06. 05. 08.</v>
      </c>
      <c r="D161" s="67" t="str">
        <f>[1]Data2025!C160</f>
        <v>5.1.02.01.01.0024</v>
      </c>
      <c r="E161" s="68">
        <f>[1]Data2025!E160</f>
        <v>45687</v>
      </c>
      <c r="F161" s="69" t="str">
        <f>[1]Data2025!F160</f>
        <v>01/02/2025</v>
      </c>
      <c r="G161" s="68" t="str">
        <f>[1]Data2025!H160</f>
        <v>01/02/2025</v>
      </c>
      <c r="H161" s="68" t="str">
        <f t="shared" si="7"/>
        <v>01/02/2025</v>
      </c>
      <c r="I161" s="70" t="str">
        <f>[1]Data2025!J160</f>
        <v>04/02/2025</v>
      </c>
      <c r="J161" s="71" t="str">
        <f>[1]Data2025!L160</f>
        <v>Binder Klip Merk : KENKO nomor 105</v>
      </c>
      <c r="K161" s="71" t="str">
        <f>[1]Data2025!M160</f>
        <v>Binder Klip Merk : KENKO nomor 105</v>
      </c>
      <c r="L161" s="72">
        <f>[1]Data2025!N160</f>
        <v>2</v>
      </c>
      <c r="M161" s="72" t="str">
        <f>[1]Data2025!O160</f>
        <v>kotak</v>
      </c>
      <c r="N161" s="73">
        <f>[1]Data2025!P160</f>
        <v>5000</v>
      </c>
      <c r="O161" s="74">
        <f>[1]Data2025!Q160</f>
        <v>10000</v>
      </c>
      <c r="P161" s="75" t="s">
        <v>43</v>
      </c>
      <c r="Q161" s="76" t="str">
        <f>VLOOKUP(K161,[1]Sheet1!$C$1:$D$101,2,)</f>
        <v xml:space="preserve">Binder Clip merk kenko NO 105 (Length 5.0cm, Width 5.0cm, Height 5.0cm, Weight 5gr)  </v>
      </c>
      <c r="R161" s="77">
        <v>25000</v>
      </c>
      <c r="S161" s="78">
        <v>35000</v>
      </c>
      <c r="T161" s="79" t="str">
        <f>[1]Data2025!T160</f>
        <v>UD. JOSUA</v>
      </c>
      <c r="U161" s="80" t="s">
        <v>35</v>
      </c>
      <c r="V161" s="79" t="str">
        <f>[1]Data2025!V160</f>
        <v>Gestiwan Bazikho</v>
      </c>
      <c r="W161" s="79" t="str">
        <f>[1]Data2025!X160</f>
        <v>Jl. Diponegoro Kel. Pasar Telukdalam - Nias Selatan</v>
      </c>
      <c r="X161" s="80" t="s">
        <v>36</v>
      </c>
      <c r="Y161" s="80" t="str">
        <f t="shared" si="8"/>
        <v>Alat Tulis Kantor (ATK)</v>
      </c>
      <c r="Z161" s="81" t="str">
        <f t="shared" si="9"/>
        <v>Alat Tulis Kantor (ATK)</v>
      </c>
      <c r="AA161" s="82" t="s">
        <v>37</v>
      </c>
      <c r="AB161" s="83">
        <v>5000</v>
      </c>
      <c r="AC161" s="83">
        <v>25000</v>
      </c>
      <c r="AD161" s="77">
        <v>25000</v>
      </c>
      <c r="AE161" s="84">
        <v>22522.522522522522</v>
      </c>
      <c r="AF161" s="84">
        <v>25000</v>
      </c>
      <c r="AG161" s="85" t="s">
        <v>38</v>
      </c>
      <c r="AH161" s="86" t="str">
        <f>[1]Data2025!W160</f>
        <v>081375309828</v>
      </c>
    </row>
    <row r="162" spans="1:34" s="88" customFormat="1" ht="16.5" thickTop="1" thickBot="1">
      <c r="A162" s="64">
        <f>[1]Data2025!G161</f>
        <v>45</v>
      </c>
      <c r="B162" s="65" t="str">
        <f>[1]Data2025!K161</f>
        <v>BPU27</v>
      </c>
      <c r="C162" s="66" t="str">
        <f>[1]Data2025!D161</f>
        <v>06. 05. 08.</v>
      </c>
      <c r="D162" s="67" t="str">
        <f>[1]Data2025!C161</f>
        <v>5.1.02.01.01.0024</v>
      </c>
      <c r="E162" s="68">
        <f>[1]Data2025!E161</f>
        <v>45687</v>
      </c>
      <c r="F162" s="69" t="str">
        <f>[1]Data2025!F161</f>
        <v>01/02/2025</v>
      </c>
      <c r="G162" s="68" t="str">
        <f>[1]Data2025!H161</f>
        <v>01/02/2025</v>
      </c>
      <c r="H162" s="68" t="str">
        <f t="shared" si="7"/>
        <v>01/02/2025</v>
      </c>
      <c r="I162" s="70" t="str">
        <f>[1]Data2025!J161</f>
        <v>04/02/2025</v>
      </c>
      <c r="J162" s="71" t="str">
        <f>[1]Data2025!L161</f>
        <v>Map Binder</v>
      </c>
      <c r="K162" s="71" t="str">
        <f>[1]Data2025!M161</f>
        <v>Map Binder</v>
      </c>
      <c r="L162" s="72">
        <f>[1]Data2025!N161</f>
        <v>12</v>
      </c>
      <c r="M162" s="72" t="str">
        <f>[1]Data2025!O161</f>
        <v>buah</v>
      </c>
      <c r="N162" s="73">
        <f>[1]Data2025!P161</f>
        <v>35500</v>
      </c>
      <c r="O162" s="74">
        <f>[1]Data2025!Q161</f>
        <v>426000</v>
      </c>
      <c r="P162" s="75" t="s">
        <v>43</v>
      </c>
      <c r="Q162" s="76" t="str">
        <f>VLOOKUP(K162,[1]Sheet1!$C$1:$D$101,2,)</f>
        <v>Map Binder (Length 5.0Cm, Width 5.0Cm, Height 5.0Cm, Weight 5Gr)</v>
      </c>
      <c r="R162" s="77">
        <v>2000000</v>
      </c>
      <c r="S162" s="78">
        <v>2080000</v>
      </c>
      <c r="T162" s="79" t="str">
        <f>[1]Data2025!T161</f>
        <v>UD. JOSUA</v>
      </c>
      <c r="U162" s="80" t="s">
        <v>35</v>
      </c>
      <c r="V162" s="79" t="str">
        <f>[1]Data2025!V161</f>
        <v>Gestiwan Bazikho</v>
      </c>
      <c r="W162" s="79" t="str">
        <f>[1]Data2025!X161</f>
        <v>Jl. Diponegoro Kel. Pasar Telukdalam - Nias Selatan</v>
      </c>
      <c r="X162" s="80" t="s">
        <v>36</v>
      </c>
      <c r="Y162" s="80" t="str">
        <f t="shared" si="8"/>
        <v>Alat Tulis Kantor (ATK)</v>
      </c>
      <c r="Z162" s="81" t="str">
        <f t="shared" si="9"/>
        <v>Alat Tulis Kantor (ATK)</v>
      </c>
      <c r="AA162" s="82" t="s">
        <v>50</v>
      </c>
      <c r="AB162" s="83">
        <v>50000</v>
      </c>
      <c r="AC162" s="83">
        <v>2000000</v>
      </c>
      <c r="AD162" s="77">
        <v>2000000</v>
      </c>
      <c r="AE162" s="84">
        <v>1801801.8018018019</v>
      </c>
      <c r="AF162" s="84">
        <v>2000000</v>
      </c>
      <c r="AG162" s="85" t="s">
        <v>38</v>
      </c>
      <c r="AH162" s="86" t="str">
        <f>[1]Data2025!W161</f>
        <v>081375309828</v>
      </c>
    </row>
    <row r="163" spans="1:34" s="88" customFormat="1" ht="16.5" thickTop="1" thickBot="1">
      <c r="A163" s="64">
        <f>[1]Data2025!G162</f>
        <v>45</v>
      </c>
      <c r="B163" s="65" t="str">
        <f>[1]Data2025!K162</f>
        <v>BPU27</v>
      </c>
      <c r="C163" s="66" t="str">
        <f>[1]Data2025!D162</f>
        <v>06. 05. 08.</v>
      </c>
      <c r="D163" s="67" t="str">
        <f>[1]Data2025!C162</f>
        <v>5.1.02.01.01.0024</v>
      </c>
      <c r="E163" s="68">
        <f>[1]Data2025!E162</f>
        <v>45687</v>
      </c>
      <c r="F163" s="69" t="str">
        <f>[1]Data2025!F162</f>
        <v>01/02/2025</v>
      </c>
      <c r="G163" s="68" t="str">
        <f>[1]Data2025!H162</f>
        <v>01/02/2025</v>
      </c>
      <c r="H163" s="68" t="str">
        <f t="shared" si="7"/>
        <v>01/02/2025</v>
      </c>
      <c r="I163" s="70" t="str">
        <f>[1]Data2025!J162</f>
        <v>04/02/2025</v>
      </c>
      <c r="J163" s="71" t="str">
        <f>[1]Data2025!L162</f>
        <v>Stofmap Kertas</v>
      </c>
      <c r="K163" s="71" t="str">
        <f>[1]Data2025!M162</f>
        <v>Stofmap Kertas</v>
      </c>
      <c r="L163" s="72">
        <f>[1]Data2025!N162</f>
        <v>1</v>
      </c>
      <c r="M163" s="72" t="str">
        <f>[1]Data2025!O162</f>
        <v>pak</v>
      </c>
      <c r="N163" s="73">
        <f>[1]Data2025!P162</f>
        <v>88000</v>
      </c>
      <c r="O163" s="74">
        <f>[1]Data2025!Q162</f>
        <v>88000</v>
      </c>
      <c r="P163" s="75" t="s">
        <v>43</v>
      </c>
      <c r="Q163" s="76" t="str">
        <f>VLOOKUP(K163,[1]Sheet1!$C$1:$D$101,2,)</f>
        <v>Stofmap Kertas (Length 5.0Cm, Width 5.0Cm, Height 5.0Cm, Weight 5Gr)</v>
      </c>
      <c r="R163" s="77">
        <v>550000</v>
      </c>
      <c r="S163" s="78">
        <v>750000</v>
      </c>
      <c r="T163" s="79" t="str">
        <f>[1]Data2025!T162</f>
        <v>UD. JOSUA</v>
      </c>
      <c r="U163" s="80" t="s">
        <v>35</v>
      </c>
      <c r="V163" s="79" t="str">
        <f>[1]Data2025!V162</f>
        <v>Gestiwan Bazikho</v>
      </c>
      <c r="W163" s="79" t="str">
        <f>[1]Data2025!X162</f>
        <v>Jl. Diponegoro Kel. Pasar Telukdalam - Nias Selatan</v>
      </c>
      <c r="X163" s="80" t="s">
        <v>36</v>
      </c>
      <c r="Y163" s="80" t="str">
        <f t="shared" si="8"/>
        <v>Alat Tulis Kantor (ATK)</v>
      </c>
      <c r="Z163" s="81" t="str">
        <f t="shared" si="9"/>
        <v>Alat Tulis Kantor (ATK)</v>
      </c>
      <c r="AA163" s="82" t="s">
        <v>42</v>
      </c>
      <c r="AB163" s="83">
        <v>5500</v>
      </c>
      <c r="AC163" s="83">
        <v>550000</v>
      </c>
      <c r="AD163" s="77">
        <v>550000</v>
      </c>
      <c r="AE163" s="84">
        <v>495495.4954954955</v>
      </c>
      <c r="AF163" s="84">
        <v>550000</v>
      </c>
      <c r="AG163" s="85" t="s">
        <v>38</v>
      </c>
      <c r="AH163" s="86" t="str">
        <f>[1]Data2025!W162</f>
        <v>081375309828</v>
      </c>
    </row>
    <row r="164" spans="1:34" s="88" customFormat="1" ht="16.5" thickTop="1" thickBot="1">
      <c r="A164" s="64">
        <f>[1]Data2025!G163</f>
        <v>45</v>
      </c>
      <c r="B164" s="65" t="str">
        <f>[1]Data2025!K163</f>
        <v>BPU27</v>
      </c>
      <c r="C164" s="66" t="str">
        <f>[1]Data2025!D163</f>
        <v>06. 05. 08.</v>
      </c>
      <c r="D164" s="67" t="str">
        <f>[1]Data2025!C163</f>
        <v>5.1.02.01.01.0024</v>
      </c>
      <c r="E164" s="68">
        <f>[1]Data2025!E163</f>
        <v>45687</v>
      </c>
      <c r="F164" s="69" t="str">
        <f>[1]Data2025!F163</f>
        <v>01/02/2025</v>
      </c>
      <c r="G164" s="68" t="str">
        <f>[1]Data2025!H163</f>
        <v>01/02/2025</v>
      </c>
      <c r="H164" s="68" t="str">
        <f t="shared" si="7"/>
        <v>01/02/2025</v>
      </c>
      <c r="I164" s="70" t="str">
        <f>[1]Data2025!J163</f>
        <v>04/02/2025</v>
      </c>
      <c r="J164" s="71" t="str">
        <f>[1]Data2025!L163</f>
        <v>Stofmap Transparan tali</v>
      </c>
      <c r="K164" s="71" t="str">
        <f>[1]Data2025!M163</f>
        <v>Stofmap Transparan tali</v>
      </c>
      <c r="L164" s="72">
        <f>[1]Data2025!N163</f>
        <v>100</v>
      </c>
      <c r="M164" s="72" t="str">
        <f>[1]Data2025!O163</f>
        <v>buah</v>
      </c>
      <c r="N164" s="73">
        <f>[1]Data2025!P163</f>
        <v>5500</v>
      </c>
      <c r="O164" s="74">
        <f>[1]Data2025!Q163</f>
        <v>550000</v>
      </c>
      <c r="P164" s="75" t="s">
        <v>43</v>
      </c>
      <c r="Q164" s="76" t="str">
        <f>VLOOKUP(K164,[1]Sheet1!$C$1:$D$101,2,)</f>
        <v>Stofmap Transparan tali (Merk : Jenia Tipe : 2 Kancing + Tali Ukuran : 255 x 375 mm Bahan : Plastik PP 0,14 Micron)</v>
      </c>
      <c r="R164" s="77">
        <v>48000</v>
      </c>
      <c r="S164" s="78">
        <v>50000</v>
      </c>
      <c r="T164" s="79" t="str">
        <f>[1]Data2025!T163</f>
        <v>UD. JOSUA</v>
      </c>
      <c r="U164" s="80" t="s">
        <v>35</v>
      </c>
      <c r="V164" s="79" t="str">
        <f>[1]Data2025!V163</f>
        <v>Gestiwan Bazikho</v>
      </c>
      <c r="W164" s="79" t="str">
        <f>[1]Data2025!X163</f>
        <v>Jl. Diponegoro Kel. Pasar Telukdalam - Nias Selatan</v>
      </c>
      <c r="X164" s="80" t="s">
        <v>36</v>
      </c>
      <c r="Y164" s="80" t="str">
        <f t="shared" si="8"/>
        <v>Alat Tulis Kantor (ATK)</v>
      </c>
      <c r="Z164" s="81" t="str">
        <f t="shared" si="9"/>
        <v>Alat Tulis Kantor (ATK)</v>
      </c>
      <c r="AA164" s="82" t="s">
        <v>37</v>
      </c>
      <c r="AB164" s="83">
        <v>48000</v>
      </c>
      <c r="AC164" s="83">
        <v>48000</v>
      </c>
      <c r="AD164" s="77">
        <v>48000</v>
      </c>
      <c r="AE164" s="84">
        <v>43243.243243243247</v>
      </c>
      <c r="AF164" s="84">
        <v>48000</v>
      </c>
      <c r="AG164" s="85" t="s">
        <v>38</v>
      </c>
      <c r="AH164" s="86" t="str">
        <f>[1]Data2025!W163</f>
        <v>081375309828</v>
      </c>
    </row>
    <row r="165" spans="1:34" s="88" customFormat="1" ht="16.5" thickTop="1" thickBot="1">
      <c r="A165" s="64">
        <f>[1]Data2025!G164</f>
        <v>45</v>
      </c>
      <c r="B165" s="65" t="str">
        <f>[1]Data2025!K164</f>
        <v>BPU27</v>
      </c>
      <c r="C165" s="66" t="str">
        <f>[1]Data2025!D164</f>
        <v>06. 05. 08.</v>
      </c>
      <c r="D165" s="67" t="str">
        <f>[1]Data2025!C164</f>
        <v>5.1.02.01.01.0024</v>
      </c>
      <c r="E165" s="68">
        <f>[1]Data2025!E164</f>
        <v>45687</v>
      </c>
      <c r="F165" s="69" t="str">
        <f>[1]Data2025!F164</f>
        <v>01/02/2025</v>
      </c>
      <c r="G165" s="68" t="str">
        <f>[1]Data2025!H164</f>
        <v>01/02/2025</v>
      </c>
      <c r="H165" s="68" t="str">
        <f t="shared" si="7"/>
        <v>01/02/2025</v>
      </c>
      <c r="I165" s="70" t="str">
        <f>[1]Data2025!J164</f>
        <v>04/02/2025</v>
      </c>
      <c r="J165" s="71" t="str">
        <f>[1]Data2025!L164</f>
        <v>Stofmap Transparan</v>
      </c>
      <c r="K165" s="71" t="str">
        <f>[1]Data2025!M164</f>
        <v>Stofmap Transparan</v>
      </c>
      <c r="L165" s="72">
        <f>[1]Data2025!N164</f>
        <v>100</v>
      </c>
      <c r="M165" s="72" t="str">
        <f>[1]Data2025!O164</f>
        <v>buah</v>
      </c>
      <c r="N165" s="73">
        <f>[1]Data2025!P164</f>
        <v>5500</v>
      </c>
      <c r="O165" s="74">
        <f>[1]Data2025!Q164</f>
        <v>550000</v>
      </c>
      <c r="P165" s="75" t="s">
        <v>43</v>
      </c>
      <c r="Q165" s="76" t="str">
        <f>VLOOKUP(K165,[1]Sheet1!$C$1:$D$101,2,)</f>
        <v>Stofmap Transparan (Length 5.0Cm, Width 5.0Cm, Height 5.0Cm, Weight 5Gr)</v>
      </c>
      <c r="R165" s="77">
        <v>114000</v>
      </c>
      <c r="S165" s="78">
        <v>124000</v>
      </c>
      <c r="T165" s="79" t="str">
        <f>[1]Data2025!T164</f>
        <v>UD. JOSUA</v>
      </c>
      <c r="U165" s="80" t="s">
        <v>35</v>
      </c>
      <c r="V165" s="79" t="str">
        <f>[1]Data2025!V164</f>
        <v>Gestiwan Bazikho</v>
      </c>
      <c r="W165" s="79" t="str">
        <f>[1]Data2025!X164</f>
        <v>Jl. Diponegoro Kel. Pasar Telukdalam - Nias Selatan</v>
      </c>
      <c r="X165" s="80" t="s">
        <v>36</v>
      </c>
      <c r="Y165" s="80" t="str">
        <f t="shared" si="8"/>
        <v>Alat Tulis Kantor (ATK)</v>
      </c>
      <c r="Z165" s="81" t="str">
        <f t="shared" si="9"/>
        <v>Alat Tulis Kantor (ATK)</v>
      </c>
      <c r="AA165" s="82" t="s">
        <v>42</v>
      </c>
      <c r="AB165" s="83">
        <v>22800</v>
      </c>
      <c r="AC165" s="83">
        <v>114000</v>
      </c>
      <c r="AD165" s="77">
        <v>114000</v>
      </c>
      <c r="AE165" s="84">
        <v>102702.70270270271</v>
      </c>
      <c r="AF165" s="84">
        <v>114000</v>
      </c>
      <c r="AG165" s="85" t="s">
        <v>38</v>
      </c>
      <c r="AH165" s="86" t="str">
        <f>[1]Data2025!W164</f>
        <v>081375309828</v>
      </c>
    </row>
    <row r="166" spans="1:34" s="88" customFormat="1" ht="16.5" thickTop="1" thickBot="1">
      <c r="A166" s="64">
        <f>[1]Data2025!G165</f>
        <v>45</v>
      </c>
      <c r="B166" s="65" t="str">
        <f>[1]Data2025!K165</f>
        <v>BPU27</v>
      </c>
      <c r="C166" s="66" t="str">
        <f>[1]Data2025!D165</f>
        <v>06. 05. 08.</v>
      </c>
      <c r="D166" s="67" t="str">
        <f>[1]Data2025!C165</f>
        <v>5.1.02.01.01.0024</v>
      </c>
      <c r="E166" s="68">
        <f>[1]Data2025!E165</f>
        <v>45687</v>
      </c>
      <c r="F166" s="69" t="str">
        <f>[1]Data2025!F165</f>
        <v>01/02/2025</v>
      </c>
      <c r="G166" s="68" t="str">
        <f>[1]Data2025!H165</f>
        <v>01/02/2025</v>
      </c>
      <c r="H166" s="68" t="str">
        <f t="shared" si="7"/>
        <v>01/02/2025</v>
      </c>
      <c r="I166" s="70" t="str">
        <f>[1]Data2025!J165</f>
        <v>04/02/2025</v>
      </c>
      <c r="J166" s="71" t="str">
        <f>[1]Data2025!L165</f>
        <v>Binder Klip Ordner</v>
      </c>
      <c r="K166" s="71" t="str">
        <f>[1]Data2025!M165</f>
        <v>Binder Klip Ordner</v>
      </c>
      <c r="L166" s="72">
        <f>[1]Data2025!N165</f>
        <v>6</v>
      </c>
      <c r="M166" s="72" t="str">
        <f>[1]Data2025!O165</f>
        <v>buah</v>
      </c>
      <c r="N166" s="73">
        <f>[1]Data2025!P165</f>
        <v>49500</v>
      </c>
      <c r="O166" s="74">
        <f>[1]Data2025!Q165</f>
        <v>297000</v>
      </c>
      <c r="P166" s="75" t="s">
        <v>43</v>
      </c>
      <c r="Q166" s="76" t="str">
        <f>VLOOKUP(K166,[1]Sheet1!$C$1:$D$101,2,)</f>
        <v>Binder Klip Ordner (Length 5.0Cm, Width 5.0Cm, Height 5.0Cm, Weight 5Gr)</v>
      </c>
      <c r="R166" s="77">
        <v>50000</v>
      </c>
      <c r="S166" s="78">
        <v>60000</v>
      </c>
      <c r="T166" s="79" t="str">
        <f>[1]Data2025!T165</f>
        <v>UD. JOSUA</v>
      </c>
      <c r="U166" s="80" t="s">
        <v>35</v>
      </c>
      <c r="V166" s="79" t="str">
        <f>[1]Data2025!V165</f>
        <v>Gestiwan Bazikho</v>
      </c>
      <c r="W166" s="79" t="str">
        <f>[1]Data2025!X165</f>
        <v>Jl. Diponegoro Kel. Pasar Telukdalam - Nias Selatan</v>
      </c>
      <c r="X166" s="80" t="s">
        <v>36</v>
      </c>
      <c r="Y166" s="80" t="str">
        <f t="shared" si="8"/>
        <v>Alat Tulis Kantor (ATK)</v>
      </c>
      <c r="Z166" s="81" t="str">
        <f t="shared" si="9"/>
        <v>Alat Tulis Kantor (ATK)</v>
      </c>
      <c r="AA166" s="82" t="s">
        <v>42</v>
      </c>
      <c r="AB166" s="83">
        <v>10000</v>
      </c>
      <c r="AC166" s="83">
        <v>50000</v>
      </c>
      <c r="AD166" s="77">
        <v>50000</v>
      </c>
      <c r="AE166" s="84">
        <v>45045.045045045044</v>
      </c>
      <c r="AF166" s="84">
        <v>50000</v>
      </c>
      <c r="AG166" s="85" t="s">
        <v>38</v>
      </c>
      <c r="AH166" s="86" t="str">
        <f>[1]Data2025!W165</f>
        <v>081375309828</v>
      </c>
    </row>
    <row r="167" spans="1:34" s="88" customFormat="1" ht="26" thickTop="1" thickBot="1">
      <c r="A167" s="64">
        <f>[1]Data2025!G166</f>
        <v>45</v>
      </c>
      <c r="B167" s="65" t="str">
        <f>[1]Data2025!K166</f>
        <v>BPU27</v>
      </c>
      <c r="C167" s="66" t="str">
        <f>[1]Data2025!D166</f>
        <v>06. 05. 08.</v>
      </c>
      <c r="D167" s="67" t="str">
        <f>[1]Data2025!C166</f>
        <v>5.1.02.01.01.0024</v>
      </c>
      <c r="E167" s="68">
        <f>[1]Data2025!E166</f>
        <v>45687</v>
      </c>
      <c r="F167" s="69" t="str">
        <f>[1]Data2025!F166</f>
        <v>01/02/2025</v>
      </c>
      <c r="G167" s="68" t="str">
        <f>[1]Data2025!H166</f>
        <v>01/02/2025</v>
      </c>
      <c r="H167" s="68" t="str">
        <f t="shared" si="7"/>
        <v>01/02/2025</v>
      </c>
      <c r="I167" s="70" t="str">
        <f>[1]Data2025!J166</f>
        <v>04/02/2025</v>
      </c>
      <c r="J167" s="71" t="str">
        <f>[1]Data2025!L166</f>
        <v>Box File Merk : Bantex Ukuran : 115x270x325 mm</v>
      </c>
      <c r="K167" s="71" t="str">
        <f>[1]Data2025!M166</f>
        <v>Box File Merk : Bantex Ukuran : 115x270x325 mm</v>
      </c>
      <c r="L167" s="72">
        <f>[1]Data2025!N166</f>
        <v>4</v>
      </c>
      <c r="M167" s="72" t="str">
        <f>[1]Data2025!O166</f>
        <v>buah</v>
      </c>
      <c r="N167" s="73">
        <f>[1]Data2025!P166</f>
        <v>59000</v>
      </c>
      <c r="O167" s="74">
        <f>[1]Data2025!Q166</f>
        <v>236000</v>
      </c>
      <c r="P167" s="75" t="s">
        <v>43</v>
      </c>
      <c r="Q167" s="76" t="str">
        <f>VLOOKUP(K167,[1]Sheet1!$C$1:$D$101,2,)</f>
        <v>Box File (Length 5.0Cm, Width 5.0Cm, Height 5.0Cm, Weight 5Gr)</v>
      </c>
      <c r="R167" s="77">
        <v>165000</v>
      </c>
      <c r="S167" s="78">
        <v>185000</v>
      </c>
      <c r="T167" s="79" t="str">
        <f>[1]Data2025!T166</f>
        <v>UD. JOSUA</v>
      </c>
      <c r="U167" s="80" t="s">
        <v>35</v>
      </c>
      <c r="V167" s="79" t="str">
        <f>[1]Data2025!V166</f>
        <v>Gestiwan Bazikho</v>
      </c>
      <c r="W167" s="79" t="str">
        <f>[1]Data2025!X166</f>
        <v>Jl. Diponegoro Kel. Pasar Telukdalam - Nias Selatan</v>
      </c>
      <c r="X167" s="80" t="s">
        <v>36</v>
      </c>
      <c r="Y167" s="80" t="str">
        <f t="shared" si="8"/>
        <v>Alat Tulis Kantor (ATK)</v>
      </c>
      <c r="Z167" s="81" t="str">
        <f t="shared" si="9"/>
        <v>Alat Tulis Kantor (ATK)</v>
      </c>
      <c r="AA167" s="82" t="s">
        <v>37</v>
      </c>
      <c r="AB167" s="83">
        <v>16500</v>
      </c>
      <c r="AC167" s="83">
        <v>165000</v>
      </c>
      <c r="AD167" s="77">
        <v>165000</v>
      </c>
      <c r="AE167" s="84">
        <v>148648.64864864864</v>
      </c>
      <c r="AF167" s="84">
        <v>165000</v>
      </c>
      <c r="AG167" s="85" t="s">
        <v>38</v>
      </c>
      <c r="AH167" s="86" t="str">
        <f>[1]Data2025!W166</f>
        <v>081375309828</v>
      </c>
    </row>
    <row r="168" spans="1:34" s="88" customFormat="1" ht="16.5" thickTop="1" thickBot="1">
      <c r="A168" s="64">
        <f>[1]Data2025!G167</f>
        <v>45</v>
      </c>
      <c r="B168" s="65" t="str">
        <f>[1]Data2025!K167</f>
        <v>BPU27</v>
      </c>
      <c r="C168" s="66" t="str">
        <f>[1]Data2025!D167</f>
        <v>06. 05. 08.</v>
      </c>
      <c r="D168" s="67" t="str">
        <f>[1]Data2025!C167</f>
        <v>5.1.02.01.01.0024</v>
      </c>
      <c r="E168" s="68">
        <f>[1]Data2025!E167</f>
        <v>45687</v>
      </c>
      <c r="F168" s="69" t="str">
        <f>[1]Data2025!F167</f>
        <v>01/02/2025</v>
      </c>
      <c r="G168" s="68" t="str">
        <f>[1]Data2025!H167</f>
        <v>01/02/2025</v>
      </c>
      <c r="H168" s="68" t="str">
        <f t="shared" si="7"/>
        <v>01/02/2025</v>
      </c>
      <c r="I168" s="70" t="str">
        <f>[1]Data2025!J167</f>
        <v>04/02/2025</v>
      </c>
      <c r="J168" s="71" t="str">
        <f>[1]Data2025!L167</f>
        <v>Sampul Plastik</v>
      </c>
      <c r="K168" s="71" t="str">
        <f>[1]Data2025!M167</f>
        <v>Sampul Plastik</v>
      </c>
      <c r="L168" s="72">
        <f>[1]Data2025!N167</f>
        <v>5</v>
      </c>
      <c r="M168" s="72" t="str">
        <f>[1]Data2025!O167</f>
        <v>bungkus</v>
      </c>
      <c r="N168" s="73">
        <f>[1]Data2025!P167</f>
        <v>65000</v>
      </c>
      <c r="O168" s="74">
        <f>[1]Data2025!Q167</f>
        <v>325000</v>
      </c>
      <c r="P168" s="75" t="s">
        <v>43</v>
      </c>
      <c r="Q168" s="76" t="str">
        <f>VLOOKUP(K168,[1]Sheet1!$C$1:$D$101,2,)</f>
        <v>Sampul Plastik (Length 5.0Cm, Width 5.0Cm, Height 5.0Cm, Weight 5Gr)</v>
      </c>
      <c r="R168" s="77">
        <v>510000</v>
      </c>
      <c r="S168" s="78">
        <v>522000</v>
      </c>
      <c r="T168" s="79" t="str">
        <f>[1]Data2025!T167</f>
        <v>UD. JOSUA</v>
      </c>
      <c r="U168" s="80" t="s">
        <v>35</v>
      </c>
      <c r="V168" s="79" t="str">
        <f>[1]Data2025!V167</f>
        <v>Gestiwan Bazikho</v>
      </c>
      <c r="W168" s="79" t="str">
        <f>[1]Data2025!X167</f>
        <v>Jl. Diponegoro Kel. Pasar Telukdalam - Nias Selatan</v>
      </c>
      <c r="X168" s="80" t="s">
        <v>36</v>
      </c>
      <c r="Y168" s="80" t="str">
        <f t="shared" si="8"/>
        <v>Alat Tulis Kantor (ATK)</v>
      </c>
      <c r="Z168" s="81" t="str">
        <f t="shared" si="9"/>
        <v>Alat Tulis Kantor (ATK)</v>
      </c>
      <c r="AA168" s="82" t="s">
        <v>48</v>
      </c>
      <c r="AB168" s="83">
        <v>85000</v>
      </c>
      <c r="AC168" s="83">
        <v>510000</v>
      </c>
      <c r="AD168" s="77">
        <v>510000</v>
      </c>
      <c r="AE168" s="84">
        <v>459459.45945945947</v>
      </c>
      <c r="AF168" s="84">
        <v>510000</v>
      </c>
      <c r="AG168" s="85" t="s">
        <v>38</v>
      </c>
      <c r="AH168" s="86" t="str">
        <f>[1]Data2025!W167</f>
        <v>081375309828</v>
      </c>
    </row>
    <row r="169" spans="1:34" s="88" customFormat="1" ht="26" thickTop="1" thickBot="1">
      <c r="A169" s="64">
        <f>[1]Data2025!G168</f>
        <v>45</v>
      </c>
      <c r="B169" s="65" t="str">
        <f>[1]Data2025!K168</f>
        <v>BPU27</v>
      </c>
      <c r="C169" s="66" t="str">
        <f>[1]Data2025!D168</f>
        <v>06. 05. 08.</v>
      </c>
      <c r="D169" s="67" t="str">
        <f>[1]Data2025!C168</f>
        <v>5.1.02.01.01.0024</v>
      </c>
      <c r="E169" s="68">
        <f>[1]Data2025!E168</f>
        <v>45687</v>
      </c>
      <c r="F169" s="69" t="str">
        <f>[1]Data2025!F168</f>
        <v>01/02/2025</v>
      </c>
      <c r="G169" s="68" t="str">
        <f>[1]Data2025!H168</f>
        <v>01/02/2025</v>
      </c>
      <c r="H169" s="68" t="str">
        <f t="shared" si="7"/>
        <v>01/02/2025</v>
      </c>
      <c r="I169" s="70" t="str">
        <f>[1]Data2025!J168</f>
        <v>04/02/2025</v>
      </c>
      <c r="J169" s="71" t="str">
        <f>[1]Data2025!L168</f>
        <v>Tinta Printer Canon 740 Hitam-740 Hitam</v>
      </c>
      <c r="K169" s="71" t="str">
        <f>[1]Data2025!M168</f>
        <v>Tinta Printer Canon 740 Hitam-740 Hitam</v>
      </c>
      <c r="L169" s="72">
        <f>[1]Data2025!N168</f>
        <v>8</v>
      </c>
      <c r="M169" s="72" t="str">
        <f>[1]Data2025!O168</f>
        <v>botol</v>
      </c>
      <c r="N169" s="73">
        <f>[1]Data2025!P168</f>
        <v>30000</v>
      </c>
      <c r="O169" s="74">
        <f>[1]Data2025!Q168</f>
        <v>240000</v>
      </c>
      <c r="P169" s="75" t="s">
        <v>43</v>
      </c>
      <c r="Q169" s="76" t="str">
        <f>VLOOKUP(K169,[1]Sheet1!$C$1:$D$101,2,)</f>
        <v>Tinta Printer Canon Aiflo Hitam (Length 5.0cm, Width 5.0cm, Height 5.0cm, Weight 5gr)</v>
      </c>
      <c r="R169" s="77">
        <v>180000</v>
      </c>
      <c r="S169" s="78">
        <v>184000</v>
      </c>
      <c r="T169" s="79" t="str">
        <f>[1]Data2025!T168</f>
        <v>UD. JOSUA</v>
      </c>
      <c r="U169" s="80" t="s">
        <v>35</v>
      </c>
      <c r="V169" s="79" t="str">
        <f>[1]Data2025!V168</f>
        <v>Gestiwan Bazikho</v>
      </c>
      <c r="W169" s="79" t="str">
        <f>[1]Data2025!X168</f>
        <v>Jl. Diponegoro Kel. Pasar Telukdalam - Nias Selatan</v>
      </c>
      <c r="X169" s="80" t="s">
        <v>36</v>
      </c>
      <c r="Y169" s="80" t="str">
        <f t="shared" si="8"/>
        <v>Alat Tulis Kantor (ATK)</v>
      </c>
      <c r="Z169" s="81" t="str">
        <f t="shared" si="9"/>
        <v>Alat Tulis Kantor (ATK)</v>
      </c>
      <c r="AA169" s="82" t="s">
        <v>50</v>
      </c>
      <c r="AB169" s="83">
        <v>90000</v>
      </c>
      <c r="AC169" s="83">
        <v>180000</v>
      </c>
      <c r="AD169" s="77">
        <v>180000</v>
      </c>
      <c r="AE169" s="84">
        <v>162162.16216216216</v>
      </c>
      <c r="AF169" s="84">
        <v>180000</v>
      </c>
      <c r="AG169" s="85" t="s">
        <v>38</v>
      </c>
      <c r="AH169" s="86" t="str">
        <f>[1]Data2025!W168</f>
        <v>081375309828</v>
      </c>
    </row>
    <row r="170" spans="1:34" s="88" customFormat="1" ht="26" thickTop="1" thickBot="1">
      <c r="A170" s="64">
        <f>[1]Data2025!G169</f>
        <v>45</v>
      </c>
      <c r="B170" s="65" t="str">
        <f>[1]Data2025!K169</f>
        <v>BPU27</v>
      </c>
      <c r="C170" s="66" t="str">
        <f>[1]Data2025!D169</f>
        <v>06. 05. 08.</v>
      </c>
      <c r="D170" s="67" t="str">
        <f>[1]Data2025!C169</f>
        <v>5.1.02.01.01.0024</v>
      </c>
      <c r="E170" s="68">
        <f>[1]Data2025!E169</f>
        <v>45687</v>
      </c>
      <c r="F170" s="69" t="str">
        <f>[1]Data2025!F169</f>
        <v>01/02/2025</v>
      </c>
      <c r="G170" s="68" t="str">
        <f>[1]Data2025!H169</f>
        <v>01/02/2025</v>
      </c>
      <c r="H170" s="68" t="str">
        <f t="shared" si="7"/>
        <v>01/02/2025</v>
      </c>
      <c r="I170" s="70" t="str">
        <f>[1]Data2025!J169</f>
        <v>04/02/2025</v>
      </c>
      <c r="J170" s="71" t="str">
        <f>[1]Data2025!L169</f>
        <v>Tinta Printer Canon 741 Warna-741 Warna</v>
      </c>
      <c r="K170" s="71" t="str">
        <f>[1]Data2025!M169</f>
        <v>Tinta Printer Canon 741 Warna-741 Warna</v>
      </c>
      <c r="L170" s="72">
        <f>[1]Data2025!N169</f>
        <v>12</v>
      </c>
      <c r="M170" s="72" t="str">
        <f>[1]Data2025!O169</f>
        <v>botol</v>
      </c>
      <c r="N170" s="73">
        <f>[1]Data2025!P169</f>
        <v>33000</v>
      </c>
      <c r="O170" s="74">
        <f>[1]Data2025!Q169</f>
        <v>396000</v>
      </c>
      <c r="P170" s="75" t="s">
        <v>43</v>
      </c>
      <c r="Q170" s="76" t="str">
        <f>VLOOKUP(K170,[1]Sheet1!$C$1:$D$101,2,)</f>
        <v>Tinta Printer Canon Aiflo Warna (Length 5.0cm, Width 5.0cm, Height 5.0cm, Weight 5gr)</v>
      </c>
      <c r="R170" s="77">
        <v>325000</v>
      </c>
      <c r="S170" s="78">
        <v>335000</v>
      </c>
      <c r="T170" s="79" t="str">
        <f>[1]Data2025!T169</f>
        <v>UD. JOSUA</v>
      </c>
      <c r="U170" s="80" t="s">
        <v>35</v>
      </c>
      <c r="V170" s="79" t="str">
        <f>[1]Data2025!V169</f>
        <v>Gestiwan Bazikho</v>
      </c>
      <c r="W170" s="79" t="str">
        <f>[1]Data2025!X169</f>
        <v>Jl. Diponegoro Kel. Pasar Telukdalam - Nias Selatan</v>
      </c>
      <c r="X170" s="80" t="s">
        <v>36</v>
      </c>
      <c r="Y170" s="80" t="str">
        <f t="shared" si="8"/>
        <v>Alat Tulis Kantor (ATK)</v>
      </c>
      <c r="Z170" s="81" t="str">
        <f t="shared" si="9"/>
        <v>Alat Tulis Kantor (ATK)</v>
      </c>
      <c r="AA170" s="82" t="s">
        <v>44</v>
      </c>
      <c r="AB170" s="83">
        <v>65000</v>
      </c>
      <c r="AC170" s="83">
        <v>325000</v>
      </c>
      <c r="AD170" s="77">
        <v>325000</v>
      </c>
      <c r="AE170" s="84">
        <v>292792.79279279278</v>
      </c>
      <c r="AF170" s="84">
        <v>325000</v>
      </c>
      <c r="AG170" s="85" t="s">
        <v>38</v>
      </c>
      <c r="AH170" s="86" t="str">
        <f>[1]Data2025!W169</f>
        <v>081375309828</v>
      </c>
    </row>
    <row r="171" spans="1:34" s="88" customFormat="1" ht="26" thickTop="1" thickBot="1">
      <c r="A171" s="64">
        <f>[1]Data2025!G170</f>
        <v>45</v>
      </c>
      <c r="B171" s="65" t="str">
        <f>[1]Data2025!K170</f>
        <v>BPU27</v>
      </c>
      <c r="C171" s="66" t="str">
        <f>[1]Data2025!D170</f>
        <v>06. 05. 08.</v>
      </c>
      <c r="D171" s="67" t="str">
        <f>[1]Data2025!C170</f>
        <v>5.1.02.01.01.0024</v>
      </c>
      <c r="E171" s="68">
        <f>[1]Data2025!E170</f>
        <v>45687</v>
      </c>
      <c r="F171" s="69" t="str">
        <f>[1]Data2025!F170</f>
        <v>01/02/2025</v>
      </c>
      <c r="G171" s="68" t="str">
        <f>[1]Data2025!H170</f>
        <v>01/02/2025</v>
      </c>
      <c r="H171" s="68" t="str">
        <f t="shared" si="7"/>
        <v>01/02/2025</v>
      </c>
      <c r="I171" s="70" t="str">
        <f>[1]Data2025!J170</f>
        <v>04/02/2025</v>
      </c>
      <c r="J171" s="71" t="str">
        <f>[1]Data2025!L170</f>
        <v>C. Tinta Printer EPSON Toner Epson 664 Black</v>
      </c>
      <c r="K171" s="71" t="str">
        <f>[1]Data2025!M170</f>
        <v>C. Tinta Printer EPSON Toner Epson 664 Black</v>
      </c>
      <c r="L171" s="72">
        <f>[1]Data2025!N170</f>
        <v>6</v>
      </c>
      <c r="M171" s="72" t="str">
        <f>[1]Data2025!O170</f>
        <v>botol</v>
      </c>
      <c r="N171" s="73">
        <f>[1]Data2025!P170</f>
        <v>85000</v>
      </c>
      <c r="O171" s="74">
        <f>[1]Data2025!Q170</f>
        <v>510000</v>
      </c>
      <c r="P171" s="75" t="s">
        <v>43</v>
      </c>
      <c r="Q171" s="76" t="str">
        <f>VLOOKUP(K171,[1]Sheet1!$C$1:$D$101,2,)</f>
        <v>Tinta Printer Epson 664 Hitam (Length 5.0Cm, Width 5.0Cm, Height 5.0Cm, Weight 5Gr)</v>
      </c>
      <c r="R171" s="77">
        <v>239200</v>
      </c>
      <c r="S171" s="78">
        <v>247200</v>
      </c>
      <c r="T171" s="79" t="str">
        <f>[1]Data2025!T170</f>
        <v>UD. JOSUA</v>
      </c>
      <c r="U171" s="80" t="s">
        <v>35</v>
      </c>
      <c r="V171" s="79" t="str">
        <f>[1]Data2025!V170</f>
        <v>Gestiwan Bazikho</v>
      </c>
      <c r="W171" s="79" t="str">
        <f>[1]Data2025!X170</f>
        <v>Jl. Diponegoro Kel. Pasar Telukdalam - Nias Selatan</v>
      </c>
      <c r="X171" s="80" t="s">
        <v>36</v>
      </c>
      <c r="Y171" s="80" t="str">
        <f t="shared" si="8"/>
        <v>Alat Tulis Kantor (ATK)</v>
      </c>
      <c r="Z171" s="81" t="str">
        <f t="shared" si="9"/>
        <v>Alat Tulis Kantor (ATK)</v>
      </c>
      <c r="AA171" s="82" t="s">
        <v>42</v>
      </c>
      <c r="AB171" s="83">
        <v>59800</v>
      </c>
      <c r="AC171" s="83">
        <v>239200</v>
      </c>
      <c r="AD171" s="77">
        <v>239200</v>
      </c>
      <c r="AE171" s="84">
        <v>215495.4954954955</v>
      </c>
      <c r="AF171" s="84">
        <v>239200</v>
      </c>
      <c r="AG171" s="85" t="s">
        <v>38</v>
      </c>
      <c r="AH171" s="86" t="str">
        <f>[1]Data2025!W170</f>
        <v>081375309828</v>
      </c>
    </row>
    <row r="172" spans="1:34" s="88" customFormat="1" ht="26" thickTop="1" thickBot="1">
      <c r="A172" s="64">
        <f>[1]Data2025!G171</f>
        <v>45</v>
      </c>
      <c r="B172" s="65" t="str">
        <f>[1]Data2025!K171</f>
        <v>BPU27</v>
      </c>
      <c r="C172" s="66" t="str">
        <f>[1]Data2025!D171</f>
        <v>06. 05. 08.</v>
      </c>
      <c r="D172" s="67" t="str">
        <f>[1]Data2025!C171</f>
        <v>5.1.02.01.01.0024</v>
      </c>
      <c r="E172" s="68">
        <f>[1]Data2025!E171</f>
        <v>45687</v>
      </c>
      <c r="F172" s="69" t="str">
        <f>[1]Data2025!F171</f>
        <v>01/02/2025</v>
      </c>
      <c r="G172" s="68" t="str">
        <f>[1]Data2025!H171</f>
        <v>01/02/2025</v>
      </c>
      <c r="H172" s="68" t="str">
        <f t="shared" si="7"/>
        <v>01/02/2025</v>
      </c>
      <c r="I172" s="70" t="str">
        <f>[1]Data2025!J171</f>
        <v>04/02/2025</v>
      </c>
      <c r="J172" s="71" t="str">
        <f>[1]Data2025!L171</f>
        <v>C. Tinta Printer EPSON Tinta Printer Epson Yellow</v>
      </c>
      <c r="K172" s="71" t="str">
        <f>[1]Data2025!M171</f>
        <v>C. Tinta Printer EPSON Tinta Printer Epson Yellow</v>
      </c>
      <c r="L172" s="72">
        <f>[1]Data2025!N171</f>
        <v>4</v>
      </c>
      <c r="M172" s="72" t="str">
        <f>[1]Data2025!O171</f>
        <v>botol</v>
      </c>
      <c r="N172" s="73">
        <f>[1]Data2025!P171</f>
        <v>110000</v>
      </c>
      <c r="O172" s="74">
        <f>[1]Data2025!Q171</f>
        <v>440000</v>
      </c>
      <c r="P172" s="75" t="s">
        <v>43</v>
      </c>
      <c r="Q172" s="76" t="str">
        <f>VLOOKUP(K172,[1]Sheet1!$C$1:$D$101,2,)</f>
        <v>Tinta Printer Epson 664 Kuning (Length 5.0Cm, Width 5.0Cm, Height 5.0Cm, Weight 5Gr)</v>
      </c>
      <c r="R172" s="77">
        <v>60000</v>
      </c>
      <c r="S172" s="78">
        <v>66000</v>
      </c>
      <c r="T172" s="79" t="str">
        <f>[1]Data2025!T171</f>
        <v>UD. JOSUA</v>
      </c>
      <c r="U172" s="80" t="s">
        <v>35</v>
      </c>
      <c r="V172" s="79" t="str">
        <f>[1]Data2025!V171</f>
        <v>Gestiwan Bazikho</v>
      </c>
      <c r="W172" s="79" t="str">
        <f>[1]Data2025!X171</f>
        <v>Jl. Diponegoro Kel. Pasar Telukdalam - Nias Selatan</v>
      </c>
      <c r="X172" s="80" t="s">
        <v>36</v>
      </c>
      <c r="Y172" s="80" t="str">
        <f t="shared" si="8"/>
        <v>Alat Tulis Kantor (ATK)</v>
      </c>
      <c r="Z172" s="81" t="str">
        <f t="shared" si="9"/>
        <v>Alat Tulis Kantor (ATK)</v>
      </c>
      <c r="AA172" s="82" t="s">
        <v>42</v>
      </c>
      <c r="AB172" s="83">
        <v>20000</v>
      </c>
      <c r="AC172" s="83">
        <v>60000</v>
      </c>
      <c r="AD172" s="77">
        <v>60000</v>
      </c>
      <c r="AE172" s="84">
        <v>54054.054054054053</v>
      </c>
      <c r="AF172" s="84">
        <v>60000</v>
      </c>
      <c r="AG172" s="85" t="s">
        <v>38</v>
      </c>
      <c r="AH172" s="86" t="str">
        <f>[1]Data2025!W171</f>
        <v>081375309828</v>
      </c>
    </row>
    <row r="173" spans="1:34" s="88" customFormat="1" ht="26" thickTop="1" thickBot="1">
      <c r="A173" s="64">
        <f>[1]Data2025!G172</f>
        <v>45</v>
      </c>
      <c r="B173" s="65" t="str">
        <f>[1]Data2025!K172</f>
        <v>BPU27</v>
      </c>
      <c r="C173" s="66" t="str">
        <f>[1]Data2025!D172</f>
        <v>06. 05. 08.</v>
      </c>
      <c r="D173" s="67" t="str">
        <f>[1]Data2025!C172</f>
        <v>5.1.02.01.01.0024</v>
      </c>
      <c r="E173" s="68">
        <f>[1]Data2025!E172</f>
        <v>45687</v>
      </c>
      <c r="F173" s="69" t="str">
        <f>[1]Data2025!F172</f>
        <v>01/02/2025</v>
      </c>
      <c r="G173" s="68" t="str">
        <f>[1]Data2025!H172</f>
        <v>01/02/2025</v>
      </c>
      <c r="H173" s="68" t="str">
        <f t="shared" si="7"/>
        <v>01/02/2025</v>
      </c>
      <c r="I173" s="70" t="str">
        <f>[1]Data2025!J172</f>
        <v>04/02/2025</v>
      </c>
      <c r="J173" s="71" t="str">
        <f>[1]Data2025!L172</f>
        <v>C. Tinta Printer EPSON Tinta Printer Epson Blue</v>
      </c>
      <c r="K173" s="71" t="str">
        <f>[1]Data2025!M172</f>
        <v>C. Tinta Printer EPSON Tinta Printer Epson Blue</v>
      </c>
      <c r="L173" s="72">
        <f>[1]Data2025!N172</f>
        <v>4</v>
      </c>
      <c r="M173" s="72" t="str">
        <f>[1]Data2025!O172</f>
        <v>botol</v>
      </c>
      <c r="N173" s="73">
        <f>[1]Data2025!P172</f>
        <v>110000</v>
      </c>
      <c r="O173" s="74">
        <f>[1]Data2025!Q172</f>
        <v>440000</v>
      </c>
      <c r="P173" s="75" t="s">
        <v>43</v>
      </c>
      <c r="Q173" s="76" t="str">
        <f>VLOOKUP(K173,[1]Sheet1!$C$1:$D$101,2,)</f>
        <v>Tinta Printer Epson 664 Biru (Length 5.0Cm, Width 5.0Cm, Height 5.0Cm, Weight 5Gr)</v>
      </c>
      <c r="R173" s="77">
        <v>40000</v>
      </c>
      <c r="S173" s="78">
        <v>44000</v>
      </c>
      <c r="T173" s="79" t="str">
        <f>[1]Data2025!T172</f>
        <v>UD. JOSUA</v>
      </c>
      <c r="U173" s="80" t="s">
        <v>35</v>
      </c>
      <c r="V173" s="79" t="str">
        <f>[1]Data2025!V172</f>
        <v>Gestiwan Bazikho</v>
      </c>
      <c r="W173" s="79" t="str">
        <f>[1]Data2025!X172</f>
        <v>Jl. Diponegoro Kel. Pasar Telukdalam - Nias Selatan</v>
      </c>
      <c r="X173" s="80" t="s">
        <v>36</v>
      </c>
      <c r="Y173" s="80" t="str">
        <f t="shared" si="8"/>
        <v>Alat Tulis Kantor (ATK)</v>
      </c>
      <c r="Z173" s="81" t="str">
        <f t="shared" si="9"/>
        <v>Alat Tulis Kantor (ATK)</v>
      </c>
      <c r="AA173" s="82" t="s">
        <v>42</v>
      </c>
      <c r="AB173" s="83">
        <v>20000</v>
      </c>
      <c r="AC173" s="83">
        <v>40000</v>
      </c>
      <c r="AD173" s="77">
        <v>40000</v>
      </c>
      <c r="AE173" s="84">
        <v>36036.036036036036</v>
      </c>
      <c r="AF173" s="84">
        <v>40000</v>
      </c>
      <c r="AG173" s="85" t="s">
        <v>38</v>
      </c>
      <c r="AH173" s="86" t="str">
        <f>[1]Data2025!W172</f>
        <v>081375309828</v>
      </c>
    </row>
    <row r="174" spans="1:34" s="88" customFormat="1" ht="26" thickTop="1" thickBot="1">
      <c r="A174" s="64">
        <f>[1]Data2025!G173</f>
        <v>45</v>
      </c>
      <c r="B174" s="65" t="str">
        <f>[1]Data2025!K173</f>
        <v>BPU27</v>
      </c>
      <c r="C174" s="66" t="str">
        <f>[1]Data2025!D173</f>
        <v>06. 05. 08.</v>
      </c>
      <c r="D174" s="67" t="str">
        <f>[1]Data2025!C173</f>
        <v>5.1.02.01.01.0024</v>
      </c>
      <c r="E174" s="68">
        <f>[1]Data2025!E173</f>
        <v>45687</v>
      </c>
      <c r="F174" s="69" t="str">
        <f>[1]Data2025!F173</f>
        <v>01/02/2025</v>
      </c>
      <c r="G174" s="68" t="str">
        <f>[1]Data2025!H173</f>
        <v>01/02/2025</v>
      </c>
      <c r="H174" s="68" t="str">
        <f t="shared" si="7"/>
        <v>01/02/2025</v>
      </c>
      <c r="I174" s="70" t="str">
        <f>[1]Data2025!J173</f>
        <v>04/02/2025</v>
      </c>
      <c r="J174" s="71" t="str">
        <f>[1]Data2025!L173</f>
        <v>C. Tinta Printer EPSON Tinta Printer Epson Read</v>
      </c>
      <c r="K174" s="71" t="str">
        <f>[1]Data2025!M173</f>
        <v>C. Tinta Printer EPSON Tinta Printer Epson Read</v>
      </c>
      <c r="L174" s="72">
        <f>[1]Data2025!N173</f>
        <v>4</v>
      </c>
      <c r="M174" s="72" t="str">
        <f>[1]Data2025!O173</f>
        <v>botol</v>
      </c>
      <c r="N174" s="73">
        <f>[1]Data2025!P173</f>
        <v>110000</v>
      </c>
      <c r="O174" s="74">
        <f>[1]Data2025!Q173</f>
        <v>440000</v>
      </c>
      <c r="P174" s="75" t="s">
        <v>43</v>
      </c>
      <c r="Q174" s="76" t="str">
        <f>VLOOKUP(K174,[1]Sheet1!$C$1:$D$101,2,)</f>
        <v>Tinta Printer Epson 664 Merah (Length 5.0Cm, Width 5.0Cm, Height 5.0Cm, Weight 5Gr)</v>
      </c>
      <c r="R174" s="77">
        <v>40000</v>
      </c>
      <c r="S174" s="78">
        <v>44000</v>
      </c>
      <c r="T174" s="79" t="str">
        <f>[1]Data2025!T173</f>
        <v>UD. JOSUA</v>
      </c>
      <c r="U174" s="80" t="s">
        <v>35</v>
      </c>
      <c r="V174" s="79" t="str">
        <f>[1]Data2025!V173</f>
        <v>Gestiwan Bazikho</v>
      </c>
      <c r="W174" s="79" t="str">
        <f>[1]Data2025!X173</f>
        <v>Jl. Diponegoro Kel. Pasar Telukdalam - Nias Selatan</v>
      </c>
      <c r="X174" s="80" t="s">
        <v>36</v>
      </c>
      <c r="Y174" s="80" t="str">
        <f t="shared" si="8"/>
        <v>Alat Tulis Kantor (ATK)</v>
      </c>
      <c r="Z174" s="81" t="str">
        <f t="shared" si="9"/>
        <v>Alat Tulis Kantor (ATK)</v>
      </c>
      <c r="AA174" s="82" t="s">
        <v>40</v>
      </c>
      <c r="AB174" s="83">
        <v>20000</v>
      </c>
      <c r="AC174" s="83">
        <v>40000</v>
      </c>
      <c r="AD174" s="77">
        <v>40000</v>
      </c>
      <c r="AE174" s="84">
        <v>36036.036036036036</v>
      </c>
      <c r="AF174" s="84">
        <v>40000</v>
      </c>
      <c r="AG174" s="85" t="s">
        <v>38</v>
      </c>
      <c r="AH174" s="86" t="str">
        <f>[1]Data2025!W173</f>
        <v>081375309828</v>
      </c>
    </row>
    <row r="175" spans="1:34" s="88" customFormat="1" ht="16.5" thickTop="1" thickBot="1">
      <c r="A175" s="64">
        <f>[1]Data2025!G174</f>
        <v>45</v>
      </c>
      <c r="B175" s="65" t="str">
        <f>[1]Data2025!K174</f>
        <v>BPU27</v>
      </c>
      <c r="C175" s="66" t="str">
        <f>[1]Data2025!D174</f>
        <v>06. 05. 08.</v>
      </c>
      <c r="D175" s="67" t="str">
        <f>[1]Data2025!C174</f>
        <v>5.1.02.01.01.0024</v>
      </c>
      <c r="E175" s="68">
        <f>[1]Data2025!E174</f>
        <v>45687</v>
      </c>
      <c r="F175" s="69" t="str">
        <f>[1]Data2025!F174</f>
        <v>01/02/2025</v>
      </c>
      <c r="G175" s="68" t="str">
        <f>[1]Data2025!H174</f>
        <v>01/02/2025</v>
      </c>
      <c r="H175" s="68" t="str">
        <f t="shared" si="7"/>
        <v>01/02/2025</v>
      </c>
      <c r="I175" s="70" t="str">
        <f>[1]Data2025!J174</f>
        <v>04/02/2025</v>
      </c>
      <c r="J175" s="71" t="str">
        <f>[1]Data2025!L174</f>
        <v>Lakban Besar</v>
      </c>
      <c r="K175" s="71" t="str">
        <f>[1]Data2025!M174</f>
        <v>Lakban Besar</v>
      </c>
      <c r="L175" s="72">
        <f>[1]Data2025!N174</f>
        <v>5</v>
      </c>
      <c r="M175" s="72" t="str">
        <f>[1]Data2025!O174</f>
        <v>buah</v>
      </c>
      <c r="N175" s="73">
        <f>[1]Data2025!P174</f>
        <v>25000</v>
      </c>
      <c r="O175" s="74">
        <f>[1]Data2025!Q174</f>
        <v>125000</v>
      </c>
      <c r="P175" s="75" t="s">
        <v>43</v>
      </c>
      <c r="Q175" s="76" t="str">
        <f>VLOOKUP(K175,[1]Sheet1!$C$1:$D$101,2,)</f>
        <v>Lakban Hitam Besar (Brand : Daimaru • Ukuran : 48 mm x 109 Yard)</v>
      </c>
      <c r="R175" s="77">
        <v>440000</v>
      </c>
      <c r="S175" s="78">
        <v>448000</v>
      </c>
      <c r="T175" s="79" t="str">
        <f>[1]Data2025!T174</f>
        <v>UD. JOSUA</v>
      </c>
      <c r="U175" s="80" t="s">
        <v>35</v>
      </c>
      <c r="V175" s="79" t="str">
        <f>[1]Data2025!V174</f>
        <v>Gestiwan Bazikho</v>
      </c>
      <c r="W175" s="79" t="str">
        <f>[1]Data2025!X174</f>
        <v>Jl. Diponegoro Kel. Pasar Telukdalam - Nias Selatan</v>
      </c>
      <c r="X175" s="80" t="s">
        <v>36</v>
      </c>
      <c r="Y175" s="80" t="str">
        <f t="shared" si="8"/>
        <v>Alat Tulis Kantor (ATK)</v>
      </c>
      <c r="Z175" s="81" t="str">
        <f t="shared" si="9"/>
        <v>Alat Tulis Kantor (ATK)</v>
      </c>
      <c r="AA175" s="82" t="s">
        <v>48</v>
      </c>
      <c r="AB175" s="83">
        <v>110000</v>
      </c>
      <c r="AC175" s="83">
        <v>440000</v>
      </c>
      <c r="AD175" s="77">
        <v>440000</v>
      </c>
      <c r="AE175" s="84">
        <v>396396.39639639639</v>
      </c>
      <c r="AF175" s="84">
        <v>440000</v>
      </c>
      <c r="AG175" s="85" t="s">
        <v>38</v>
      </c>
      <c r="AH175" s="86" t="str">
        <f>[1]Data2025!W174</f>
        <v>081375309828</v>
      </c>
    </row>
    <row r="176" spans="1:34" s="88" customFormat="1" ht="16.5" thickTop="1" thickBot="1">
      <c r="A176" s="64">
        <f>[1]Data2025!G175</f>
        <v>45</v>
      </c>
      <c r="B176" s="65" t="str">
        <f>[1]Data2025!K175</f>
        <v>BPU27</v>
      </c>
      <c r="C176" s="66" t="str">
        <f>[1]Data2025!D175</f>
        <v>06. 05. 08.</v>
      </c>
      <c r="D176" s="67" t="str">
        <f>[1]Data2025!C175</f>
        <v>5.1.02.01.01.0024</v>
      </c>
      <c r="E176" s="68">
        <f>[1]Data2025!E175</f>
        <v>45687</v>
      </c>
      <c r="F176" s="69" t="str">
        <f>[1]Data2025!F175</f>
        <v>01/02/2025</v>
      </c>
      <c r="G176" s="68" t="str">
        <f>[1]Data2025!H175</f>
        <v>01/02/2025</v>
      </c>
      <c r="H176" s="68" t="str">
        <f t="shared" si="7"/>
        <v>01/02/2025</v>
      </c>
      <c r="I176" s="70" t="str">
        <f>[1]Data2025!J175</f>
        <v>04/02/2025</v>
      </c>
      <c r="J176" s="71" t="str">
        <f>[1]Data2025!L175</f>
        <v>Lakban Bening Sedang</v>
      </c>
      <c r="K176" s="71" t="str">
        <f>[1]Data2025!M175</f>
        <v>Lakban Bening Sedang</v>
      </c>
      <c r="L176" s="72">
        <f>[1]Data2025!N175</f>
        <v>5</v>
      </c>
      <c r="M176" s="72" t="str">
        <f>[1]Data2025!O175</f>
        <v>buah</v>
      </c>
      <c r="N176" s="73">
        <f>[1]Data2025!P175</f>
        <v>15000</v>
      </c>
      <c r="O176" s="74">
        <f>[1]Data2025!Q175</f>
        <v>75000</v>
      </c>
      <c r="P176" s="75" t="s">
        <v>43</v>
      </c>
      <c r="Q176" s="76" t="str">
        <f>VLOOKUP(K176,[1]Sheet1!$C$1:$D$101,2,)</f>
        <v>Lakban 45 MM x 50 Meter daimaru / 2 Inch x 50 M</v>
      </c>
      <c r="R176" s="77">
        <v>87500</v>
      </c>
      <c r="S176" s="78">
        <v>89500</v>
      </c>
      <c r="T176" s="79" t="str">
        <f>[1]Data2025!T175</f>
        <v>UD. JOSUA</v>
      </c>
      <c r="U176" s="80" t="s">
        <v>35</v>
      </c>
      <c r="V176" s="79" t="str">
        <f>[1]Data2025!V175</f>
        <v>Gestiwan Bazikho</v>
      </c>
      <c r="W176" s="79" t="str">
        <f>[1]Data2025!X175</f>
        <v>Jl. Diponegoro Kel. Pasar Telukdalam - Nias Selatan</v>
      </c>
      <c r="X176" s="80" t="s">
        <v>36</v>
      </c>
      <c r="Y176" s="80" t="str">
        <f t="shared" si="8"/>
        <v>Alat Tulis Kantor (ATK)</v>
      </c>
      <c r="Z176" s="81" t="str">
        <f t="shared" si="9"/>
        <v>Alat Tulis Kantor (ATK)</v>
      </c>
      <c r="AA176" s="82" t="s">
        <v>51</v>
      </c>
      <c r="AB176" s="83">
        <v>87500</v>
      </c>
      <c r="AC176" s="83">
        <v>87500</v>
      </c>
      <c r="AD176" s="77">
        <v>87500</v>
      </c>
      <c r="AE176" s="84">
        <v>78828.828828828831</v>
      </c>
      <c r="AF176" s="84">
        <v>87500</v>
      </c>
      <c r="AG176" s="85" t="s">
        <v>38</v>
      </c>
      <c r="AH176" s="86" t="str">
        <f>[1]Data2025!W175</f>
        <v>081375309828</v>
      </c>
    </row>
    <row r="177" spans="1:36" s="88" customFormat="1" ht="16.5" thickTop="1" thickBot="1">
      <c r="A177" s="64">
        <f>[1]Data2025!G176</f>
        <v>45</v>
      </c>
      <c r="B177" s="65" t="str">
        <f>[1]Data2025!K176</f>
        <v>BPU27</v>
      </c>
      <c r="C177" s="66" t="str">
        <f>[1]Data2025!D176</f>
        <v>06. 05. 08.</v>
      </c>
      <c r="D177" s="67" t="str">
        <f>[1]Data2025!C176</f>
        <v>5.1.02.01.01.0024</v>
      </c>
      <c r="E177" s="68">
        <f>[1]Data2025!E176</f>
        <v>45687</v>
      </c>
      <c r="F177" s="69" t="str">
        <f>[1]Data2025!F176</f>
        <v>01/02/2025</v>
      </c>
      <c r="G177" s="68" t="str">
        <f>[1]Data2025!H176</f>
        <v>01/02/2025</v>
      </c>
      <c r="H177" s="68" t="str">
        <f t="shared" si="7"/>
        <v>01/02/2025</v>
      </c>
      <c r="I177" s="70" t="str">
        <f>[1]Data2025!J176</f>
        <v>04/02/2025</v>
      </c>
      <c r="J177" s="71" t="str">
        <f>[1]Data2025!L176</f>
        <v>Lakban Bening</v>
      </c>
      <c r="K177" s="71" t="str">
        <f>[1]Data2025!M176</f>
        <v>Lakban Bening</v>
      </c>
      <c r="L177" s="72">
        <f>[1]Data2025!N176</f>
        <v>5</v>
      </c>
      <c r="M177" s="72" t="str">
        <f>[1]Data2025!O176</f>
        <v>buah</v>
      </c>
      <c r="N177" s="73">
        <f>[1]Data2025!P176</f>
        <v>10000</v>
      </c>
      <c r="O177" s="74">
        <f>[1]Data2025!Q176</f>
        <v>50000</v>
      </c>
      <c r="P177" s="75" t="s">
        <v>43</v>
      </c>
      <c r="Q177" s="76" t="str">
        <f>VLOOKUP(K177,[1]Sheet1!$C$1:$D$101,2,)</f>
        <v>Isolasi Bening Sedang Mpi Solatip 24 X 72 Yard 1 Inc</v>
      </c>
      <c r="R177" s="77">
        <v>50000</v>
      </c>
      <c r="S177" s="78">
        <v>58000</v>
      </c>
      <c r="T177" s="79" t="str">
        <f>[1]Data2025!T176</f>
        <v>UD. JOSUA</v>
      </c>
      <c r="U177" s="80" t="s">
        <v>35</v>
      </c>
      <c r="V177" s="79" t="str">
        <f>[1]Data2025!V176</f>
        <v>Gestiwan Bazikho</v>
      </c>
      <c r="W177" s="79" t="str">
        <f>[1]Data2025!X176</f>
        <v>Jl. Diponegoro Kel. Pasar Telukdalam - Nias Selatan</v>
      </c>
      <c r="X177" s="80" t="s">
        <v>36</v>
      </c>
      <c r="Y177" s="80" t="str">
        <f t="shared" si="8"/>
        <v>Alat Tulis Kantor (ATK)</v>
      </c>
      <c r="Z177" s="81" t="str">
        <f t="shared" si="9"/>
        <v>Alat Tulis Kantor (ATK)</v>
      </c>
      <c r="AA177" s="82" t="s">
        <v>42</v>
      </c>
      <c r="AB177" s="83">
        <v>12500</v>
      </c>
      <c r="AC177" s="83">
        <v>50000</v>
      </c>
      <c r="AD177" s="77">
        <v>50000</v>
      </c>
      <c r="AE177" s="84">
        <v>45045.045045045044</v>
      </c>
      <c r="AF177" s="84">
        <v>50000</v>
      </c>
      <c r="AG177" s="85" t="s">
        <v>38</v>
      </c>
      <c r="AH177" s="86" t="str">
        <f>[1]Data2025!W176</f>
        <v>081375309828</v>
      </c>
    </row>
    <row r="178" spans="1:36" s="88" customFormat="1" ht="16.5" thickTop="1" thickBot="1">
      <c r="A178" s="64">
        <f>[1]Data2025!G177</f>
        <v>45</v>
      </c>
      <c r="B178" s="65" t="str">
        <f>[1]Data2025!K177</f>
        <v>BPU27</v>
      </c>
      <c r="C178" s="66" t="str">
        <f>[1]Data2025!D177</f>
        <v>06. 05. 08.</v>
      </c>
      <c r="D178" s="67" t="str">
        <f>[1]Data2025!C177</f>
        <v>5.1.02.01.01.0024</v>
      </c>
      <c r="E178" s="68">
        <f>[1]Data2025!E177</f>
        <v>45687</v>
      </c>
      <c r="F178" s="69" t="str">
        <f>[1]Data2025!F177</f>
        <v>01/02/2025</v>
      </c>
      <c r="G178" s="68" t="str">
        <f>[1]Data2025!H177</f>
        <v>01/02/2025</v>
      </c>
      <c r="H178" s="68" t="str">
        <f t="shared" si="7"/>
        <v>01/02/2025</v>
      </c>
      <c r="I178" s="70" t="str">
        <f>[1]Data2025!J177</f>
        <v>04/02/2025</v>
      </c>
      <c r="J178" s="71" t="str">
        <f>[1]Data2025!L177</f>
        <v>Lakban Hitam--</v>
      </c>
      <c r="K178" s="71" t="str">
        <f>[1]Data2025!M177</f>
        <v>Lakban Hitam--</v>
      </c>
      <c r="L178" s="72">
        <f>[1]Data2025!N177</f>
        <v>5</v>
      </c>
      <c r="M178" s="72" t="str">
        <f>[1]Data2025!O177</f>
        <v>buah</v>
      </c>
      <c r="N178" s="73">
        <f>[1]Data2025!P177</f>
        <v>15000</v>
      </c>
      <c r="O178" s="74">
        <f>[1]Data2025!Q177</f>
        <v>75000</v>
      </c>
      <c r="P178" s="75" t="s">
        <v>43</v>
      </c>
      <c r="Q178" s="76" t="str">
        <f>VLOOKUP(K178,[1]Sheet1!$C$1:$D$101,2,)</f>
        <v>Lakban Hitam (Length 5.0Cm, Width 5.0Cm, Height 5.0Cm, Weight 5Gr)</v>
      </c>
      <c r="R178" s="77">
        <v>125000</v>
      </c>
      <c r="S178" s="78">
        <v>135000</v>
      </c>
      <c r="T178" s="79" t="str">
        <f>[1]Data2025!T177</f>
        <v>UD. JOSUA</v>
      </c>
      <c r="U178" s="80" t="s">
        <v>35</v>
      </c>
      <c r="V178" s="79" t="str">
        <f>[1]Data2025!V177</f>
        <v>Gestiwan Bazikho</v>
      </c>
      <c r="W178" s="79" t="str">
        <f>[1]Data2025!X177</f>
        <v>Jl. Diponegoro Kel. Pasar Telukdalam - Nias Selatan</v>
      </c>
      <c r="X178" s="80" t="s">
        <v>36</v>
      </c>
      <c r="Y178" s="80" t="str">
        <f t="shared" si="8"/>
        <v>Alat Tulis Kantor (ATK)</v>
      </c>
      <c r="Z178" s="81" t="str">
        <f t="shared" si="9"/>
        <v>Alat Tulis Kantor (ATK)</v>
      </c>
      <c r="AA178" s="82" t="s">
        <v>42</v>
      </c>
      <c r="AB178" s="83">
        <v>25000</v>
      </c>
      <c r="AC178" s="83">
        <v>125000</v>
      </c>
      <c r="AD178" s="77">
        <v>125000</v>
      </c>
      <c r="AE178" s="84">
        <v>112612.61261261262</v>
      </c>
      <c r="AF178" s="84">
        <v>125000</v>
      </c>
      <c r="AG178" s="85" t="s">
        <v>38</v>
      </c>
      <c r="AH178" s="86" t="str">
        <f>[1]Data2025!W177</f>
        <v>081375309828</v>
      </c>
    </row>
    <row r="179" spans="1:36" s="88" customFormat="1" ht="26" thickTop="1" thickBot="1">
      <c r="A179" s="64">
        <f>[1]Data2025!G178</f>
        <v>45</v>
      </c>
      <c r="B179" s="65" t="str">
        <f>[1]Data2025!K178</f>
        <v>BPU27</v>
      </c>
      <c r="C179" s="66" t="str">
        <f>[1]Data2025!D178</f>
        <v>06. 05. 08.</v>
      </c>
      <c r="D179" s="67" t="str">
        <f>[1]Data2025!C178</f>
        <v>5.1.02.01.01.0024</v>
      </c>
      <c r="E179" s="68">
        <f>[1]Data2025!E178</f>
        <v>45687</v>
      </c>
      <c r="F179" s="69" t="str">
        <f>[1]Data2025!F178</f>
        <v>01/02/2025</v>
      </c>
      <c r="G179" s="68" t="str">
        <f>[1]Data2025!H178</f>
        <v>01/02/2025</v>
      </c>
      <c r="H179" s="68" t="str">
        <f t="shared" si="7"/>
        <v>01/02/2025</v>
      </c>
      <c r="I179" s="70" t="str">
        <f>[1]Data2025!J178</f>
        <v>04/02/2025</v>
      </c>
      <c r="J179" s="71" t="str">
        <f>[1]Data2025!L178</f>
        <v>lakban hitam-ukuran : lebar 2 inch, panjang 12m, bahan : kain</v>
      </c>
      <c r="K179" s="71" t="str">
        <f>[1]Data2025!M178</f>
        <v>lakban hitam-ukuran : lebar 2 inch, panjang 12m, bahan : kain</v>
      </c>
      <c r="L179" s="72">
        <f>[1]Data2025!N178</f>
        <v>4</v>
      </c>
      <c r="M179" s="72" t="str">
        <f>[1]Data2025!O178</f>
        <v>buah</v>
      </c>
      <c r="N179" s="73">
        <f>[1]Data2025!P178</f>
        <v>12500</v>
      </c>
      <c r="O179" s="74">
        <f>[1]Data2025!Q178</f>
        <v>50000</v>
      </c>
      <c r="P179" s="75" t="s">
        <v>43</v>
      </c>
      <c r="Q179" s="76" t="str">
        <f>VLOOKUP(K179,[1]Sheet1!$C$1:$D$101,2,)</f>
        <v>Lakban Hitam Kecil (ukuran : lebar 2 inch, panjang 12m, bahan : kain)</v>
      </c>
      <c r="R179" s="77">
        <v>240000</v>
      </c>
      <c r="S179" s="78">
        <v>256000</v>
      </c>
      <c r="T179" s="79" t="str">
        <f>[1]Data2025!T178</f>
        <v>UD. JOSUA</v>
      </c>
      <c r="U179" s="80" t="s">
        <v>35</v>
      </c>
      <c r="V179" s="79" t="str">
        <f>[1]Data2025!V178</f>
        <v>Gestiwan Bazikho</v>
      </c>
      <c r="W179" s="79" t="str">
        <f>[1]Data2025!X178</f>
        <v>Jl. Diponegoro Kel. Pasar Telukdalam - Nias Selatan</v>
      </c>
      <c r="X179" s="80" t="s">
        <v>36</v>
      </c>
      <c r="Y179" s="80" t="str">
        <f t="shared" si="8"/>
        <v>Alat Tulis Kantor (ATK)</v>
      </c>
      <c r="Z179" s="81" t="str">
        <f t="shared" si="9"/>
        <v>Alat Tulis Kantor (ATK)</v>
      </c>
      <c r="AA179" s="82" t="s">
        <v>48</v>
      </c>
      <c r="AB179" s="83">
        <v>30000</v>
      </c>
      <c r="AC179" s="83">
        <v>240000</v>
      </c>
      <c r="AD179" s="77">
        <v>240000</v>
      </c>
      <c r="AE179" s="84">
        <v>216216.21621621621</v>
      </c>
      <c r="AF179" s="84">
        <v>240000</v>
      </c>
      <c r="AG179" s="85" t="s">
        <v>38</v>
      </c>
      <c r="AH179" s="86" t="str">
        <f>[1]Data2025!W178</f>
        <v>081375309828</v>
      </c>
      <c r="AI179" s="87"/>
      <c r="AJ179" s="87"/>
    </row>
    <row r="180" spans="1:36" s="88" customFormat="1" ht="26" thickTop="1" thickBot="1">
      <c r="A180" s="64">
        <f>[1]Data2025!G179</f>
        <v>45</v>
      </c>
      <c r="B180" s="65" t="str">
        <f>[1]Data2025!K179</f>
        <v>BPU27</v>
      </c>
      <c r="C180" s="66" t="str">
        <f>[1]Data2025!D179</f>
        <v>06. 05. 08.</v>
      </c>
      <c r="D180" s="67" t="str">
        <f>[1]Data2025!C179</f>
        <v>5.1.02.01.01.0024</v>
      </c>
      <c r="E180" s="68">
        <f>[1]Data2025!E179</f>
        <v>45687</v>
      </c>
      <c r="F180" s="69" t="str">
        <f>[1]Data2025!F179</f>
        <v>01/02/2025</v>
      </c>
      <c r="G180" s="68" t="str">
        <f>[1]Data2025!H179</f>
        <v>01/02/2025</v>
      </c>
      <c r="H180" s="68" t="str">
        <f t="shared" si="7"/>
        <v>01/02/2025</v>
      </c>
      <c r="I180" s="70" t="str">
        <f>[1]Data2025!J179</f>
        <v>04/02/2025</v>
      </c>
      <c r="J180" s="71" t="str">
        <f>[1]Data2025!L179</f>
        <v>Lakban Hitam uk 2 " Warna hitam uk. 2 "</v>
      </c>
      <c r="K180" s="71" t="str">
        <f>[1]Data2025!M179</f>
        <v>Lakban Hitam uk 2 " Warna hitam uk. 2 "</v>
      </c>
      <c r="L180" s="72">
        <f>[1]Data2025!N179</f>
        <v>5</v>
      </c>
      <c r="M180" s="72" t="str">
        <f>[1]Data2025!O179</f>
        <v>buah</v>
      </c>
      <c r="N180" s="73">
        <f>[1]Data2025!P179</f>
        <v>25000</v>
      </c>
      <c r="O180" s="74">
        <f>[1]Data2025!Q179</f>
        <v>125000</v>
      </c>
      <c r="P180" s="75" t="s">
        <v>43</v>
      </c>
      <c r="Q180" s="76" t="str">
        <f>VLOOKUP(K180,[1]Sheet1!$C$1:$D$101,2,)</f>
        <v>Lakban Warna Uk 2" Warna Hitam (Ukuran 90Yard Lebar : 48Mm)</v>
      </c>
      <c r="R180" s="77">
        <v>485000</v>
      </c>
      <c r="S180" s="78">
        <v>505000</v>
      </c>
      <c r="T180" s="79" t="str">
        <f>[1]Data2025!T179</f>
        <v>UD. JOSUA</v>
      </c>
      <c r="U180" s="80" t="s">
        <v>35</v>
      </c>
      <c r="V180" s="79" t="str">
        <f>[1]Data2025!V179</f>
        <v>Gestiwan Bazikho</v>
      </c>
      <c r="W180" s="79" t="str">
        <f>[1]Data2025!X179</f>
        <v>Jl. Diponegoro Kel. Pasar Telukdalam - Nias Selatan</v>
      </c>
      <c r="X180" s="80" t="s">
        <v>36</v>
      </c>
      <c r="Y180" s="80" t="str">
        <f t="shared" si="8"/>
        <v>Alat Tulis Kantor (ATK)</v>
      </c>
      <c r="Z180" s="81" t="str">
        <f t="shared" si="9"/>
        <v>Alat Tulis Kantor (ATK)</v>
      </c>
      <c r="AA180" s="82" t="s">
        <v>50</v>
      </c>
      <c r="AB180" s="83">
        <v>48500</v>
      </c>
      <c r="AC180" s="83">
        <v>485000</v>
      </c>
      <c r="AD180" s="77">
        <v>485000</v>
      </c>
      <c r="AE180" s="84">
        <v>436936.93693693692</v>
      </c>
      <c r="AF180" s="84">
        <v>485000</v>
      </c>
      <c r="AG180" s="85" t="s">
        <v>38</v>
      </c>
      <c r="AH180" s="86" t="str">
        <f>[1]Data2025!W179</f>
        <v>081375309828</v>
      </c>
    </row>
    <row r="181" spans="1:36" s="88" customFormat="1" ht="26" thickTop="1" thickBot="1">
      <c r="A181" s="64">
        <f>[1]Data2025!G180</f>
        <v>45</v>
      </c>
      <c r="B181" s="65" t="str">
        <f>[1]Data2025!K180</f>
        <v>BPU27</v>
      </c>
      <c r="C181" s="66" t="str">
        <f>[1]Data2025!D180</f>
        <v>06. 05. 08.</v>
      </c>
      <c r="D181" s="67" t="str">
        <f>[1]Data2025!C180</f>
        <v>5.1.02.01.01.0024</v>
      </c>
      <c r="E181" s="68">
        <f>[1]Data2025!E180</f>
        <v>45687</v>
      </c>
      <c r="F181" s="69" t="str">
        <f>[1]Data2025!F180</f>
        <v>01/02/2025</v>
      </c>
      <c r="G181" s="68" t="str">
        <f>[1]Data2025!H180</f>
        <v>01/02/2025</v>
      </c>
      <c r="H181" s="68" t="str">
        <f t="shared" si="7"/>
        <v>01/02/2025</v>
      </c>
      <c r="I181" s="70" t="str">
        <f>[1]Data2025!J180</f>
        <v>04/02/2025</v>
      </c>
      <c r="J181" s="71" t="str">
        <f>[1]Data2025!L180</f>
        <v>Lakban warna Uk 2" Warna Coklat Cofiie</v>
      </c>
      <c r="K181" s="71" t="str">
        <f>[1]Data2025!M180</f>
        <v>Lakban warna Uk 2" Warna Coklat Cofiie</v>
      </c>
      <c r="L181" s="72">
        <f>[1]Data2025!N180</f>
        <v>3</v>
      </c>
      <c r="M181" s="72" t="str">
        <f>[1]Data2025!O180</f>
        <v>buah</v>
      </c>
      <c r="N181" s="73">
        <f>[1]Data2025!P180</f>
        <v>20000</v>
      </c>
      <c r="O181" s="74">
        <f>[1]Data2025!Q180</f>
        <v>60000</v>
      </c>
      <c r="P181" s="75" t="s">
        <v>43</v>
      </c>
      <c r="Q181" s="76" t="str">
        <f>VLOOKUP(K181,[1]Sheet1!$C$1:$D$101,2,)</f>
        <v>Lakban Warna Uk 2" Warna Coklat Cofiie (Ukuran 90Yard Lebar : 48Mm)</v>
      </c>
      <c r="R181" s="77">
        <v>297000</v>
      </c>
      <c r="S181" s="78">
        <v>309000</v>
      </c>
      <c r="T181" s="79" t="str">
        <f>[1]Data2025!T180</f>
        <v>UD. JOSUA</v>
      </c>
      <c r="U181" s="80" t="s">
        <v>35</v>
      </c>
      <c r="V181" s="79" t="str">
        <f>[1]Data2025!V180</f>
        <v>Gestiwan Bazikho</v>
      </c>
      <c r="W181" s="79" t="str">
        <f>[1]Data2025!X180</f>
        <v>Jl. Diponegoro Kel. Pasar Telukdalam - Nias Selatan</v>
      </c>
      <c r="X181" s="80" t="s">
        <v>36</v>
      </c>
      <c r="Y181" s="80" t="str">
        <f t="shared" si="8"/>
        <v>Alat Tulis Kantor (ATK)</v>
      </c>
      <c r="Z181" s="81" t="str">
        <f t="shared" si="9"/>
        <v>Alat Tulis Kantor (ATK)</v>
      </c>
      <c r="AA181" s="82" t="s">
        <v>42</v>
      </c>
      <c r="AB181" s="83">
        <v>49500</v>
      </c>
      <c r="AC181" s="83">
        <v>297000</v>
      </c>
      <c r="AD181" s="77">
        <v>297000</v>
      </c>
      <c r="AE181" s="84">
        <v>267567.56756756757</v>
      </c>
      <c r="AF181" s="84">
        <v>297000</v>
      </c>
      <c r="AG181" s="85" t="s">
        <v>38</v>
      </c>
      <c r="AH181" s="86" t="str">
        <f>[1]Data2025!W180</f>
        <v>081375309828</v>
      </c>
    </row>
    <row r="182" spans="1:36" s="88" customFormat="1" ht="26" thickTop="1" thickBot="1">
      <c r="A182" s="64">
        <f>[1]Data2025!G181</f>
        <v>45</v>
      </c>
      <c r="B182" s="65" t="str">
        <f>[1]Data2025!K181</f>
        <v>BPU27</v>
      </c>
      <c r="C182" s="66" t="str">
        <f>[1]Data2025!D181</f>
        <v>06. 05. 08.</v>
      </c>
      <c r="D182" s="67" t="str">
        <f>[1]Data2025!C181</f>
        <v>5.1.02.01.01.0024</v>
      </c>
      <c r="E182" s="68">
        <f>[1]Data2025!E181</f>
        <v>45687</v>
      </c>
      <c r="F182" s="69" t="str">
        <f>[1]Data2025!F181</f>
        <v>01/02/2025</v>
      </c>
      <c r="G182" s="68" t="str">
        <f>[1]Data2025!H181</f>
        <v>01/02/2025</v>
      </c>
      <c r="H182" s="68" t="str">
        <f t="shared" si="7"/>
        <v>01/02/2025</v>
      </c>
      <c r="I182" s="70" t="str">
        <f>[1]Data2025!J181</f>
        <v>04/02/2025</v>
      </c>
      <c r="J182" s="71" t="str">
        <f>[1]Data2025!L181</f>
        <v>Spidol Refil Spidol White Board Snowman</v>
      </c>
      <c r="K182" s="71" t="str">
        <f>[1]Data2025!M181</f>
        <v>Spidol Refil Spidol White Board Snowman</v>
      </c>
      <c r="L182" s="72">
        <f>[1]Data2025!N181</f>
        <v>10</v>
      </c>
      <c r="M182" s="72" t="str">
        <f>[1]Data2025!O181</f>
        <v>buah</v>
      </c>
      <c r="N182" s="73">
        <f>[1]Data2025!P181</f>
        <v>20900</v>
      </c>
      <c r="O182" s="74">
        <f>[1]Data2025!Q181</f>
        <v>209000</v>
      </c>
      <c r="P182" s="75" t="s">
        <v>43</v>
      </c>
      <c r="Q182" s="76" t="str">
        <f>VLOOKUP(K182,[1]Sheet1!$C$1:$D$101,2,)</f>
        <v>Spidol Refil Spidol White Board Snowman (Panjang. : 10 Cm ; Lebar. : 5 Cm ; Tinggi. : 7 Cm ; Berat. : 500 Gr)</v>
      </c>
      <c r="R182" s="77">
        <v>335000</v>
      </c>
      <c r="S182" s="78">
        <v>345000</v>
      </c>
      <c r="T182" s="79" t="str">
        <f>[1]Data2025!T181</f>
        <v>UD. JOSUA</v>
      </c>
      <c r="U182" s="80" t="s">
        <v>35</v>
      </c>
      <c r="V182" s="79" t="str">
        <f>[1]Data2025!V181</f>
        <v>Gestiwan Bazikho</v>
      </c>
      <c r="W182" s="79" t="str">
        <f>[1]Data2025!X181</f>
        <v>Jl. Diponegoro Kel. Pasar Telukdalam - Nias Selatan</v>
      </c>
      <c r="X182" s="80" t="s">
        <v>36</v>
      </c>
      <c r="Y182" s="80" t="str">
        <f t="shared" si="8"/>
        <v>Alat Tulis Kantor (ATK)</v>
      </c>
      <c r="Z182" s="81" t="str">
        <f t="shared" si="9"/>
        <v>Alat Tulis Kantor (ATK)</v>
      </c>
      <c r="AA182" s="82" t="s">
        <v>48</v>
      </c>
      <c r="AB182" s="83">
        <v>67000</v>
      </c>
      <c r="AC182" s="83">
        <v>335000</v>
      </c>
      <c r="AD182" s="77">
        <v>335000</v>
      </c>
      <c r="AE182" s="84">
        <v>301801.80180180183</v>
      </c>
      <c r="AF182" s="84">
        <v>335000</v>
      </c>
      <c r="AG182" s="85" t="s">
        <v>38</v>
      </c>
      <c r="AH182" s="86" t="str">
        <f>[1]Data2025!W181</f>
        <v>081375309828</v>
      </c>
    </row>
    <row r="183" spans="1:36" s="88" customFormat="1" ht="16.5" thickTop="1" thickBot="1">
      <c r="A183" s="64">
        <f>[1]Data2025!G182</f>
        <v>45</v>
      </c>
      <c r="B183" s="65" t="str">
        <f>[1]Data2025!K182</f>
        <v>BPU27</v>
      </c>
      <c r="C183" s="66" t="str">
        <f>[1]Data2025!D182</f>
        <v>06. 05. 08.</v>
      </c>
      <c r="D183" s="67" t="str">
        <f>[1]Data2025!C182</f>
        <v>5.1.02.01.01.0024</v>
      </c>
      <c r="E183" s="68">
        <f>[1]Data2025!E182</f>
        <v>45687</v>
      </c>
      <c r="F183" s="69" t="str">
        <f>[1]Data2025!F182</f>
        <v>01/02/2025</v>
      </c>
      <c r="G183" s="68" t="str">
        <f>[1]Data2025!H182</f>
        <v>01/02/2025</v>
      </c>
      <c r="H183" s="68" t="str">
        <f t="shared" si="7"/>
        <v>01/02/2025</v>
      </c>
      <c r="I183" s="70" t="str">
        <f>[1]Data2025!J182</f>
        <v>04/02/2025</v>
      </c>
      <c r="J183" s="71" t="str">
        <f>[1]Data2025!L182</f>
        <v>Spidol White board</v>
      </c>
      <c r="K183" s="71" t="str">
        <f>[1]Data2025!M182</f>
        <v>Spidol White board</v>
      </c>
      <c r="L183" s="72">
        <f>[1]Data2025!N182</f>
        <v>2</v>
      </c>
      <c r="M183" s="72" t="str">
        <f>[1]Data2025!O182</f>
        <v>lusin</v>
      </c>
      <c r="N183" s="73">
        <f>[1]Data2025!P182</f>
        <v>120000</v>
      </c>
      <c r="O183" s="74">
        <f>[1]Data2025!Q182</f>
        <v>240000</v>
      </c>
      <c r="P183" s="75" t="s">
        <v>43</v>
      </c>
      <c r="Q183" s="76" t="str">
        <f>VLOOKUP(K183,[1]Sheet1!$C$1:$D$101,2,)</f>
        <v>Spidol White Board (Berat Produk 0.5 Kg, Panjang Produk 10 Cm, Lebar Produk 3 Cm, Tinggi Produk 10 Cm)</v>
      </c>
      <c r="R183" s="77">
        <v>205500</v>
      </c>
      <c r="S183" s="78">
        <v>235500</v>
      </c>
      <c r="T183" s="79" t="str">
        <f>[1]Data2025!T182</f>
        <v>UD. JOSUA</v>
      </c>
      <c r="U183" s="80" t="s">
        <v>35</v>
      </c>
      <c r="V183" s="79" t="str">
        <f>[1]Data2025!V182</f>
        <v>Gestiwan Bazikho</v>
      </c>
      <c r="W183" s="79" t="str">
        <f>[1]Data2025!X182</f>
        <v>Jl. Diponegoro Kel. Pasar Telukdalam - Nias Selatan</v>
      </c>
      <c r="X183" s="80" t="s">
        <v>36</v>
      </c>
      <c r="Y183" s="80" t="str">
        <f t="shared" si="8"/>
        <v>Alat Tulis Kantor (ATK)</v>
      </c>
      <c r="Z183" s="81" t="str">
        <f t="shared" si="9"/>
        <v>Alat Tulis Kantor (ATK)</v>
      </c>
      <c r="AA183" s="82" t="s">
        <v>42</v>
      </c>
      <c r="AB183" s="83">
        <v>13700</v>
      </c>
      <c r="AC183" s="83">
        <v>205500</v>
      </c>
      <c r="AD183" s="77">
        <v>205500</v>
      </c>
      <c r="AE183" s="84">
        <v>185135.13513513515</v>
      </c>
      <c r="AF183" s="84">
        <v>205500</v>
      </c>
      <c r="AG183" s="85" t="s">
        <v>38</v>
      </c>
      <c r="AH183" s="86" t="str">
        <f>[1]Data2025!W182</f>
        <v>081375309828</v>
      </c>
      <c r="AI183" s="87"/>
      <c r="AJ183" s="87"/>
    </row>
    <row r="184" spans="1:36" s="88" customFormat="1" ht="16.5" thickTop="1" thickBot="1">
      <c r="A184" s="64">
        <f>[1]Data2025!G183</f>
        <v>45</v>
      </c>
      <c r="B184" s="65" t="str">
        <f>[1]Data2025!K183</f>
        <v>BPU27</v>
      </c>
      <c r="C184" s="66" t="str">
        <f>[1]Data2025!D183</f>
        <v>06. 05. 08.</v>
      </c>
      <c r="D184" s="67" t="str">
        <f>[1]Data2025!C183</f>
        <v>5.1.02.01.01.0024</v>
      </c>
      <c r="E184" s="68">
        <f>[1]Data2025!E183</f>
        <v>45687</v>
      </c>
      <c r="F184" s="69" t="str">
        <f>[1]Data2025!F183</f>
        <v>01/02/2025</v>
      </c>
      <c r="G184" s="68" t="str">
        <f>[1]Data2025!H183</f>
        <v>01/02/2025</v>
      </c>
      <c r="H184" s="68" t="str">
        <f t="shared" si="7"/>
        <v>01/02/2025</v>
      </c>
      <c r="I184" s="70" t="str">
        <f>[1]Data2025!J183</f>
        <v>04/02/2025</v>
      </c>
      <c r="J184" s="71" t="str">
        <f>[1]Data2025!L183</f>
        <v>Stapler HD-10--</v>
      </c>
      <c r="K184" s="71" t="str">
        <f>[1]Data2025!M183</f>
        <v>Stapler HD-10--</v>
      </c>
      <c r="L184" s="72">
        <f>[1]Data2025!N183</f>
        <v>2</v>
      </c>
      <c r="M184" s="72" t="str">
        <f>[1]Data2025!O183</f>
        <v>buah</v>
      </c>
      <c r="N184" s="73">
        <f>[1]Data2025!P183</f>
        <v>20000</v>
      </c>
      <c r="O184" s="74">
        <f>[1]Data2025!Q183</f>
        <v>40000</v>
      </c>
      <c r="P184" s="75" t="s">
        <v>43</v>
      </c>
      <c r="Q184" s="76" t="str">
        <f>VLOOKUP(K184,[1]Sheet1!$C$1:$D$101,2,)</f>
        <v>Stapler HD-10 (Merk : MAX Ukuran : 3.5 x 10 cm)</v>
      </c>
      <c r="R184" s="77">
        <v>121000</v>
      </c>
      <c r="S184" s="78">
        <v>141000</v>
      </c>
      <c r="T184" s="79" t="str">
        <f>[1]Data2025!T183</f>
        <v>UD. JOSUA</v>
      </c>
      <c r="U184" s="80" t="s">
        <v>35</v>
      </c>
      <c r="V184" s="79" t="str">
        <f>[1]Data2025!V183</f>
        <v>Gestiwan Bazikho</v>
      </c>
      <c r="W184" s="79" t="str">
        <f>[1]Data2025!X183</f>
        <v>Jl. Diponegoro Kel. Pasar Telukdalam - Nias Selatan</v>
      </c>
      <c r="X184" s="80" t="s">
        <v>36</v>
      </c>
      <c r="Y184" s="80" t="str">
        <f t="shared" si="8"/>
        <v>Alat Tulis Kantor (ATK)</v>
      </c>
      <c r="Z184" s="81" t="str">
        <f t="shared" si="9"/>
        <v>Alat Tulis Kantor (ATK)</v>
      </c>
      <c r="AA184" s="82" t="s">
        <v>42</v>
      </c>
      <c r="AB184" s="83">
        <v>12100</v>
      </c>
      <c r="AC184" s="83">
        <v>121000</v>
      </c>
      <c r="AD184" s="77">
        <v>121000</v>
      </c>
      <c r="AE184" s="84">
        <v>109009.00900900901</v>
      </c>
      <c r="AF184" s="84">
        <v>121000</v>
      </c>
      <c r="AG184" s="85" t="s">
        <v>38</v>
      </c>
      <c r="AH184" s="86" t="str">
        <f>[1]Data2025!W183</f>
        <v>081375309828</v>
      </c>
    </row>
    <row r="185" spans="1:36" s="88" customFormat="1" ht="16.5" thickTop="1" thickBot="1">
      <c r="A185" s="64">
        <f>[1]Data2025!G184</f>
        <v>45</v>
      </c>
      <c r="B185" s="65" t="str">
        <f>[1]Data2025!K184</f>
        <v>BPU27</v>
      </c>
      <c r="C185" s="66" t="str">
        <f>[1]Data2025!D184</f>
        <v>06. 05. 08.</v>
      </c>
      <c r="D185" s="67" t="str">
        <f>[1]Data2025!C184</f>
        <v>5.1.02.01.01.0024</v>
      </c>
      <c r="E185" s="68">
        <f>[1]Data2025!E184</f>
        <v>45687</v>
      </c>
      <c r="F185" s="69" t="str">
        <f>[1]Data2025!F184</f>
        <v>01/02/2025</v>
      </c>
      <c r="G185" s="68" t="str">
        <f>[1]Data2025!H184</f>
        <v>01/02/2025</v>
      </c>
      <c r="H185" s="68" t="str">
        <f t="shared" si="7"/>
        <v>01/02/2025</v>
      </c>
      <c r="I185" s="70" t="str">
        <f>[1]Data2025!J184</f>
        <v>04/02/2025</v>
      </c>
      <c r="J185" s="71" t="str">
        <f>[1]Data2025!L184</f>
        <v>Stapler Stapler No, 50 MAX</v>
      </c>
      <c r="K185" s="71" t="str">
        <f>[1]Data2025!M184</f>
        <v>Stapler Stapler No, 50 MAX</v>
      </c>
      <c r="L185" s="72">
        <f>[1]Data2025!N184</f>
        <v>2</v>
      </c>
      <c r="M185" s="72" t="str">
        <f>[1]Data2025!O184</f>
        <v>buah</v>
      </c>
      <c r="N185" s="73">
        <f>[1]Data2025!P184</f>
        <v>25000</v>
      </c>
      <c r="O185" s="74">
        <f>[1]Data2025!Q184</f>
        <v>50000</v>
      </c>
      <c r="P185" s="75" t="s">
        <v>43</v>
      </c>
      <c r="Q185" s="76" t="str">
        <f>VLOOKUP(K185,[1]Sheet1!$C$1:$D$101,2,)</f>
        <v>Stapler 50 (Length 5.0Cm, Width 5.0Cm, Height 5.0Cm, Weight 5Gr)</v>
      </c>
      <c r="R185" s="77">
        <v>45000</v>
      </c>
      <c r="S185" s="78">
        <v>51000</v>
      </c>
      <c r="T185" s="79" t="str">
        <f>[1]Data2025!T184</f>
        <v>UD. JOSUA</v>
      </c>
      <c r="U185" s="80" t="s">
        <v>35</v>
      </c>
      <c r="V185" s="79" t="str">
        <f>[1]Data2025!V184</f>
        <v>Gestiwan Bazikho</v>
      </c>
      <c r="W185" s="79" t="str">
        <f>[1]Data2025!X184</f>
        <v>Jl. Diponegoro Kel. Pasar Telukdalam - Nias Selatan</v>
      </c>
      <c r="X185" s="80" t="s">
        <v>36</v>
      </c>
      <c r="Y185" s="80" t="str">
        <f t="shared" si="8"/>
        <v>Alat Tulis Kantor (ATK)</v>
      </c>
      <c r="Z185" s="81" t="str">
        <f t="shared" si="9"/>
        <v>Alat Tulis Kantor (ATK)</v>
      </c>
      <c r="AA185" s="82" t="s">
        <v>42</v>
      </c>
      <c r="AB185" s="83">
        <v>15000</v>
      </c>
      <c r="AC185" s="83">
        <v>45000</v>
      </c>
      <c r="AD185" s="77">
        <v>45000</v>
      </c>
      <c r="AE185" s="84">
        <v>40540.54054054054</v>
      </c>
      <c r="AF185" s="84">
        <v>45000</v>
      </c>
      <c r="AG185" s="85" t="s">
        <v>38</v>
      </c>
      <c r="AH185" s="86" t="str">
        <f>[1]Data2025!W184</f>
        <v>081375309828</v>
      </c>
    </row>
    <row r="186" spans="1:36" s="88" customFormat="1" ht="16.5" thickTop="1" thickBot="1">
      <c r="A186" s="64">
        <f>[1]Data2025!G185</f>
        <v>45</v>
      </c>
      <c r="B186" s="65" t="str">
        <f>[1]Data2025!K185</f>
        <v>BPU27</v>
      </c>
      <c r="C186" s="66" t="str">
        <f>[1]Data2025!D185</f>
        <v>06. 05. 08.</v>
      </c>
      <c r="D186" s="67" t="str">
        <f>[1]Data2025!C185</f>
        <v>5.1.02.01.01.0024</v>
      </c>
      <c r="E186" s="68">
        <f>[1]Data2025!E185</f>
        <v>45687</v>
      </c>
      <c r="F186" s="69" t="str">
        <f>[1]Data2025!F185</f>
        <v>01/02/2025</v>
      </c>
      <c r="G186" s="68" t="str">
        <f>[1]Data2025!H185</f>
        <v>01/02/2025</v>
      </c>
      <c r="H186" s="68" t="str">
        <f t="shared" si="7"/>
        <v>01/02/2025</v>
      </c>
      <c r="I186" s="70" t="str">
        <f>[1]Data2025!J185</f>
        <v>04/02/2025</v>
      </c>
      <c r="J186" s="71" t="str">
        <f>[1]Data2025!L185</f>
        <v>PAPER CLIP  Paper Clip No 1</v>
      </c>
      <c r="K186" s="71" t="str">
        <f>[1]Data2025!M185</f>
        <v>PAPER CLIP  Paper Clip No 1</v>
      </c>
      <c r="L186" s="72">
        <f>[1]Data2025!N185</f>
        <v>5</v>
      </c>
      <c r="M186" s="72" t="str">
        <f>[1]Data2025!O185</f>
        <v>kotak</v>
      </c>
      <c r="N186" s="73">
        <f>[1]Data2025!P185</f>
        <v>6000</v>
      </c>
      <c r="O186" s="74">
        <f>[1]Data2025!Q185</f>
        <v>30000</v>
      </c>
      <c r="P186" s="75" t="s">
        <v>43</v>
      </c>
      <c r="Q186" s="76" t="str">
        <f>VLOOKUP(K186,[1]Sheet1!$C$1:$D$101,2,)</f>
        <v>Paper Clip No 1 (Length 5.0Cm, Width 5.0Cm, Height 5.0Cm, Weight 5Gr)</v>
      </c>
      <c r="R186" s="77">
        <v>300000</v>
      </c>
      <c r="S186" s="78">
        <v>320000</v>
      </c>
      <c r="T186" s="79" t="str">
        <f>[1]Data2025!T185</f>
        <v>UD. JOSUA</v>
      </c>
      <c r="U186" s="80" t="s">
        <v>35</v>
      </c>
      <c r="V186" s="79" t="str">
        <f>[1]Data2025!V185</f>
        <v>Gestiwan Bazikho</v>
      </c>
      <c r="W186" s="79" t="str">
        <f>[1]Data2025!X185</f>
        <v>Jl. Diponegoro Kel. Pasar Telukdalam - Nias Selatan</v>
      </c>
      <c r="X186" s="80" t="s">
        <v>36</v>
      </c>
      <c r="Y186" s="80" t="str">
        <f t="shared" si="8"/>
        <v>Alat Tulis Kantor (ATK)</v>
      </c>
      <c r="Z186" s="81" t="str">
        <f t="shared" si="9"/>
        <v>Alat Tulis Kantor (ATK)</v>
      </c>
      <c r="AA186" s="82" t="s">
        <v>48</v>
      </c>
      <c r="AB186" s="83">
        <v>30000</v>
      </c>
      <c r="AC186" s="83">
        <v>300000</v>
      </c>
      <c r="AD186" s="77">
        <v>300000</v>
      </c>
      <c r="AE186" s="84">
        <v>270270.2702702703</v>
      </c>
      <c r="AF186" s="84">
        <v>300000</v>
      </c>
      <c r="AG186" s="85" t="s">
        <v>38</v>
      </c>
      <c r="AH186" s="86" t="str">
        <f>[1]Data2025!W185</f>
        <v>081375309828</v>
      </c>
      <c r="AI186" s="87"/>
      <c r="AJ186" s="87"/>
    </row>
    <row r="187" spans="1:36" s="88" customFormat="1" ht="16.5" thickTop="1" thickBot="1">
      <c r="A187" s="64">
        <f>[1]Data2025!G186</f>
        <v>45</v>
      </c>
      <c r="B187" s="65" t="str">
        <f>[1]Data2025!K186</f>
        <v>BPU27</v>
      </c>
      <c r="C187" s="66" t="str">
        <f>[1]Data2025!D186</f>
        <v>06. 05. 08.</v>
      </c>
      <c r="D187" s="67" t="str">
        <f>[1]Data2025!C186</f>
        <v>5.1.02.01.01.0024</v>
      </c>
      <c r="E187" s="68">
        <f>[1]Data2025!E186</f>
        <v>45687</v>
      </c>
      <c r="F187" s="69" t="str">
        <f>[1]Data2025!F186</f>
        <v>01/02/2025</v>
      </c>
      <c r="G187" s="68" t="str">
        <f>[1]Data2025!H186</f>
        <v>01/02/2025</v>
      </c>
      <c r="H187" s="68" t="str">
        <f t="shared" si="7"/>
        <v>01/02/2025</v>
      </c>
      <c r="I187" s="70" t="str">
        <f>[1]Data2025!J186</f>
        <v>04/02/2025</v>
      </c>
      <c r="J187" s="71" t="str">
        <f>[1]Data2025!L186</f>
        <v>Paper Clip No 1  Paper Clip No 3</v>
      </c>
      <c r="K187" s="71" t="str">
        <f>[1]Data2025!M186</f>
        <v>Paper Clip No 1  Paper Clip No 3</v>
      </c>
      <c r="L187" s="72">
        <f>[1]Data2025!N186</f>
        <v>5</v>
      </c>
      <c r="M187" s="72" t="str">
        <f>[1]Data2025!O186</f>
        <v>kotak</v>
      </c>
      <c r="N187" s="73">
        <f>[1]Data2025!P186</f>
        <v>6000</v>
      </c>
      <c r="O187" s="74">
        <f>[1]Data2025!Q186</f>
        <v>30000</v>
      </c>
      <c r="P187" s="75" t="s">
        <v>43</v>
      </c>
      <c r="Q187" s="76" t="str">
        <f>VLOOKUP(K187,[1]Sheet1!$C$1:$D$101,2,)</f>
        <v>Paper Clip No 3 (Length 5.0Cm, Width 5.0Cm, Height 5.0Cm, Weight 5Gr)</v>
      </c>
      <c r="R187" s="77">
        <v>60000</v>
      </c>
      <c r="S187" s="78">
        <v>70000</v>
      </c>
      <c r="T187" s="79" t="str">
        <f>[1]Data2025!T186</f>
        <v>UD. JOSUA</v>
      </c>
      <c r="U187" s="80" t="s">
        <v>35</v>
      </c>
      <c r="V187" s="79" t="str">
        <f>[1]Data2025!V186</f>
        <v>Gestiwan Bazikho</v>
      </c>
      <c r="W187" s="79" t="str">
        <f>[1]Data2025!X186</f>
        <v>Jl. Diponegoro Kel. Pasar Telukdalam - Nias Selatan</v>
      </c>
      <c r="X187" s="80" t="s">
        <v>36</v>
      </c>
      <c r="Y187" s="80" t="str">
        <f t="shared" si="8"/>
        <v>Alat Tulis Kantor (ATK)</v>
      </c>
      <c r="Z187" s="81" t="str">
        <f t="shared" si="9"/>
        <v>Alat Tulis Kantor (ATK)</v>
      </c>
      <c r="AA187" s="82" t="s">
        <v>42</v>
      </c>
      <c r="AB187" s="83">
        <v>12000</v>
      </c>
      <c r="AC187" s="83">
        <v>60000</v>
      </c>
      <c r="AD187" s="77">
        <v>60000</v>
      </c>
      <c r="AE187" s="84">
        <v>54054.054054054053</v>
      </c>
      <c r="AF187" s="84">
        <v>60000</v>
      </c>
      <c r="AG187" s="85" t="s">
        <v>38</v>
      </c>
      <c r="AH187" s="86" t="str">
        <f>[1]Data2025!W186</f>
        <v>081375309828</v>
      </c>
    </row>
    <row r="188" spans="1:36" s="88" customFormat="1" ht="26" thickTop="1" thickBot="1">
      <c r="A188" s="64">
        <f>[1]Data2025!G187</f>
        <v>45</v>
      </c>
      <c r="B188" s="65" t="str">
        <f>[1]Data2025!K187</f>
        <v>BPU27</v>
      </c>
      <c r="C188" s="66" t="str">
        <f>[1]Data2025!D187</f>
        <v>06. 05. 08.</v>
      </c>
      <c r="D188" s="67" t="str">
        <f>[1]Data2025!C187</f>
        <v>5.1.02.01.01.0024</v>
      </c>
      <c r="E188" s="68">
        <f>[1]Data2025!E187</f>
        <v>45687</v>
      </c>
      <c r="F188" s="69" t="str">
        <f>[1]Data2025!F187</f>
        <v>01/02/2025</v>
      </c>
      <c r="G188" s="68" t="str">
        <f>[1]Data2025!H187</f>
        <v>01/02/2025</v>
      </c>
      <c r="H188" s="68" t="str">
        <f t="shared" si="7"/>
        <v>01/02/2025</v>
      </c>
      <c r="I188" s="70" t="str">
        <f>[1]Data2025!J187</f>
        <v>04/02/2025</v>
      </c>
      <c r="J188" s="71" t="str">
        <f>[1]Data2025!L187</f>
        <v>gunting kertas-ukuran : panjang 21cm x lebar 8cm, stainless steel</v>
      </c>
      <c r="K188" s="71" t="str">
        <f>[1]Data2025!M187</f>
        <v>gunting kertas-ukuran : panjang 21cm x lebar 8cm, stainless steel</v>
      </c>
      <c r="L188" s="72">
        <f>[1]Data2025!N187</f>
        <v>2</v>
      </c>
      <c r="M188" s="72" t="str">
        <f>[1]Data2025!O187</f>
        <v>buah</v>
      </c>
      <c r="N188" s="73">
        <f>[1]Data2025!P187</f>
        <v>20000</v>
      </c>
      <c r="O188" s="74">
        <f>[1]Data2025!Q187</f>
        <v>40000</v>
      </c>
      <c r="P188" s="75" t="s">
        <v>43</v>
      </c>
      <c r="Q188" s="76" t="str">
        <f>VLOOKUP(K188,[1]Sheet1!$C$1:$D$101,2,)</f>
        <v>Gunting Besar (Length 5.0Cm, Width 5.0Cm, Height 5.0Cm, Weight 5Gr)</v>
      </c>
      <c r="R188" s="77">
        <v>150000</v>
      </c>
      <c r="S188" s="78">
        <v>174000</v>
      </c>
      <c r="T188" s="79" t="str">
        <f>[1]Data2025!T187</f>
        <v>UD. JOSUA</v>
      </c>
      <c r="U188" s="80" t="s">
        <v>35</v>
      </c>
      <c r="V188" s="79" t="str">
        <f>[1]Data2025!V187</f>
        <v>Gestiwan Bazikho</v>
      </c>
      <c r="W188" s="79" t="str">
        <f>[1]Data2025!X187</f>
        <v>Jl. Diponegoro Kel. Pasar Telukdalam - Nias Selatan</v>
      </c>
      <c r="X188" s="80" t="s">
        <v>36</v>
      </c>
      <c r="Y188" s="80" t="str">
        <f t="shared" si="8"/>
        <v>Alat Tulis Kantor (ATK)</v>
      </c>
      <c r="Z188" s="81" t="str">
        <f t="shared" si="9"/>
        <v>Alat Tulis Kantor (ATK)</v>
      </c>
      <c r="AA188" s="82" t="s">
        <v>42</v>
      </c>
      <c r="AB188" s="83">
        <v>12500</v>
      </c>
      <c r="AC188" s="83">
        <v>150000</v>
      </c>
      <c r="AD188" s="77">
        <v>150000</v>
      </c>
      <c r="AE188" s="84">
        <v>135135.13513513515</v>
      </c>
      <c r="AF188" s="84">
        <v>150000</v>
      </c>
      <c r="AG188" s="85" t="s">
        <v>38</v>
      </c>
      <c r="AH188" s="86" t="str">
        <f>[1]Data2025!W187</f>
        <v>081375309828</v>
      </c>
      <c r="AI188" s="87"/>
      <c r="AJ188" s="87"/>
    </row>
    <row r="189" spans="1:36" s="88" customFormat="1" ht="16.5" thickTop="1" thickBot="1">
      <c r="A189" s="64">
        <f>[1]Data2025!G188</f>
        <v>45</v>
      </c>
      <c r="B189" s="65" t="str">
        <f>[1]Data2025!K188</f>
        <v>BPU27</v>
      </c>
      <c r="C189" s="66" t="str">
        <f>[1]Data2025!D188</f>
        <v>06. 05. 08.</v>
      </c>
      <c r="D189" s="67" t="str">
        <f>[1]Data2025!C188</f>
        <v>5.1.02.01.01.0024</v>
      </c>
      <c r="E189" s="68">
        <f>[1]Data2025!E188</f>
        <v>45687</v>
      </c>
      <c r="F189" s="69" t="str">
        <f>[1]Data2025!F188</f>
        <v>01/02/2025</v>
      </c>
      <c r="G189" s="68" t="str">
        <f>[1]Data2025!H188</f>
        <v>01/02/2025</v>
      </c>
      <c r="H189" s="68" t="str">
        <f t="shared" si="7"/>
        <v>01/02/2025</v>
      </c>
      <c r="I189" s="70" t="str">
        <f>[1]Data2025!J188</f>
        <v>04/02/2025</v>
      </c>
      <c r="J189" s="71" t="str">
        <f>[1]Data2025!L188</f>
        <v>Pisau Cutter Kenko L-500</v>
      </c>
      <c r="K189" s="71" t="str">
        <f>[1]Data2025!M188</f>
        <v>Pisau Cutter Kenko L-500</v>
      </c>
      <c r="L189" s="72">
        <f>[1]Data2025!N188</f>
        <v>2</v>
      </c>
      <c r="M189" s="72" t="str">
        <f>[1]Data2025!O188</f>
        <v>buah</v>
      </c>
      <c r="N189" s="73">
        <f>[1]Data2025!P188</f>
        <v>15000</v>
      </c>
      <c r="O189" s="74">
        <f>[1]Data2025!Q188</f>
        <v>30000</v>
      </c>
      <c r="P189" s="75" t="s">
        <v>43</v>
      </c>
      <c r="Q189" s="76" t="str">
        <f>VLOOKUP(K189,[1]Sheet1!$C$1:$D$101,2,)</f>
        <v>Cutter L500 (Length 5.0Cm, Width 5.0Cm, Height 5.0Cm, Weight 5Gr)</v>
      </c>
      <c r="R189" s="77">
        <v>60000</v>
      </c>
      <c r="S189" s="78">
        <v>70000</v>
      </c>
      <c r="T189" s="79" t="str">
        <f>[1]Data2025!T188</f>
        <v>UD. JOSUA</v>
      </c>
      <c r="U189" s="80" t="s">
        <v>35</v>
      </c>
      <c r="V189" s="79" t="str">
        <f>[1]Data2025!V188</f>
        <v>Gestiwan Bazikho</v>
      </c>
      <c r="W189" s="79" t="str">
        <f>[1]Data2025!X188</f>
        <v>Jl. Diponegoro Kel. Pasar Telukdalam - Nias Selatan</v>
      </c>
      <c r="X189" s="80" t="s">
        <v>36</v>
      </c>
      <c r="Y189" s="80" t="str">
        <f t="shared" si="8"/>
        <v>Alat Tulis Kantor (ATK)</v>
      </c>
      <c r="Z189" s="81" t="str">
        <f t="shared" si="9"/>
        <v>Alat Tulis Kantor (ATK)</v>
      </c>
      <c r="AA189" s="82" t="s">
        <v>42</v>
      </c>
      <c r="AB189" s="83">
        <v>12000</v>
      </c>
      <c r="AC189" s="83">
        <v>60000</v>
      </c>
      <c r="AD189" s="77">
        <v>60000</v>
      </c>
      <c r="AE189" s="84">
        <v>54054.054054054053</v>
      </c>
      <c r="AF189" s="84">
        <v>60000</v>
      </c>
      <c r="AG189" s="85" t="s">
        <v>38</v>
      </c>
      <c r="AH189" s="86" t="str">
        <f>[1]Data2025!W188</f>
        <v>081375309828</v>
      </c>
    </row>
    <row r="190" spans="1:36" s="88" customFormat="1" ht="16.5" thickTop="1" thickBot="1">
      <c r="A190" s="64">
        <f>[1]Data2025!G189</f>
        <v>45</v>
      </c>
      <c r="B190" s="65" t="str">
        <f>[1]Data2025!K189</f>
        <v>BPU27</v>
      </c>
      <c r="C190" s="66" t="str">
        <f>[1]Data2025!D189</f>
        <v>06. 05. 08.</v>
      </c>
      <c r="D190" s="67" t="str">
        <f>[1]Data2025!C189</f>
        <v>5.1.02.01.01.0024</v>
      </c>
      <c r="E190" s="68">
        <f>[1]Data2025!E189</f>
        <v>45687</v>
      </c>
      <c r="F190" s="69" t="str">
        <f>[1]Data2025!F189</f>
        <v>01/02/2025</v>
      </c>
      <c r="G190" s="68" t="str">
        <f>[1]Data2025!H189</f>
        <v>01/02/2025</v>
      </c>
      <c r="H190" s="68" t="str">
        <f t="shared" si="7"/>
        <v>01/02/2025</v>
      </c>
      <c r="I190" s="70" t="str">
        <f>[1]Data2025!J189</f>
        <v>04/02/2025</v>
      </c>
      <c r="J190" s="71" t="str">
        <f>[1]Data2025!L189</f>
        <v>Baterey Kecil</v>
      </c>
      <c r="K190" s="71" t="str">
        <f>[1]Data2025!M189</f>
        <v>Baterey Kecil</v>
      </c>
      <c r="L190" s="72">
        <f>[1]Data2025!N189</f>
        <v>5</v>
      </c>
      <c r="M190" s="72" t="str">
        <f>[1]Data2025!O189</f>
        <v>pasang</v>
      </c>
      <c r="N190" s="73">
        <f>[1]Data2025!P189</f>
        <v>20000</v>
      </c>
      <c r="O190" s="74">
        <f>[1]Data2025!Q189</f>
        <v>100000</v>
      </c>
      <c r="P190" s="75" t="s">
        <v>43</v>
      </c>
      <c r="Q190" s="76" t="str">
        <f>VLOOKUP(K190,[1]Sheet1!$C$1:$D$101,2,)</f>
        <v>Baterey Kecil (Type: Aa; Tegangan: 1.5 Volt; Ukuran: 14 X 50 Mm)</v>
      </c>
      <c r="R190" s="77">
        <v>350000</v>
      </c>
      <c r="S190" s="78">
        <v>360000</v>
      </c>
      <c r="T190" s="79" t="str">
        <f>[1]Data2025!T189</f>
        <v>UD. JOSUA</v>
      </c>
      <c r="U190" s="80" t="s">
        <v>35</v>
      </c>
      <c r="V190" s="79" t="str">
        <f>[1]Data2025!V189</f>
        <v>Gestiwan Bazikho</v>
      </c>
      <c r="W190" s="79" t="str">
        <f>[1]Data2025!X189</f>
        <v>Jl. Diponegoro Kel. Pasar Telukdalam - Nias Selatan</v>
      </c>
      <c r="X190" s="80" t="s">
        <v>36</v>
      </c>
      <c r="Y190" s="80" t="str">
        <f t="shared" si="8"/>
        <v>Alat Tulis Kantor (ATK)</v>
      </c>
      <c r="Z190" s="81" t="str">
        <f t="shared" si="9"/>
        <v>Alat Tulis Kantor (ATK)</v>
      </c>
      <c r="AA190" s="82" t="s">
        <v>55</v>
      </c>
      <c r="AB190" s="83">
        <v>70000</v>
      </c>
      <c r="AC190" s="83">
        <v>350000</v>
      </c>
      <c r="AD190" s="77">
        <v>350000</v>
      </c>
      <c r="AE190" s="84">
        <v>315315.31531531533</v>
      </c>
      <c r="AF190" s="84">
        <v>350000</v>
      </c>
      <c r="AG190" s="85" t="s">
        <v>38</v>
      </c>
      <c r="AH190" s="86" t="str">
        <f>[1]Data2025!W189</f>
        <v>081375309828</v>
      </c>
    </row>
    <row r="191" spans="1:36" s="100" customFormat="1" ht="16.5" thickTop="1" thickBot="1">
      <c r="A191" s="41">
        <f>[1]Data2025!G190</f>
        <v>46</v>
      </c>
      <c r="B191" s="42" t="str">
        <f>[1]Data2025!K190</f>
        <v>BPU28</v>
      </c>
      <c r="C191" s="43" t="str">
        <f>[1]Data2025!D190</f>
        <v>06. 05. 08.</v>
      </c>
      <c r="D191" s="44" t="str">
        <f>[1]Data2025!C190</f>
        <v>5.1.02.01.01.0026</v>
      </c>
      <c r="E191" s="45">
        <f>[1]Data2025!E190</f>
        <v>45687</v>
      </c>
      <c r="F191" s="46" t="str">
        <f>[1]Data2025!F190</f>
        <v>01/02/2025</v>
      </c>
      <c r="G191" s="45" t="str">
        <f>[1]Data2025!H190</f>
        <v>01/02/2025</v>
      </c>
      <c r="H191" s="45" t="str">
        <f t="shared" si="7"/>
        <v>01/02/2025</v>
      </c>
      <c r="I191" s="47" t="str">
        <f>[1]Data2025!J190</f>
        <v>04/02/2025</v>
      </c>
      <c r="J191" s="48" t="str">
        <f>[1]Data2025!L190</f>
        <v>Foto Copy Filio dan Kuarto</v>
      </c>
      <c r="K191" s="48" t="str">
        <f>[1]Data2025!M190</f>
        <v>Foto Copy Filio dan Kuarto</v>
      </c>
      <c r="L191" s="49">
        <f>[1]Data2025!N190</f>
        <v>4900</v>
      </c>
      <c r="M191" s="49" t="str">
        <f>[1]Data2025!O190</f>
        <v>lembar</v>
      </c>
      <c r="N191" s="50">
        <f>[1]Data2025!P190</f>
        <v>350</v>
      </c>
      <c r="O191" s="51">
        <f>[1]Data2025!Q190</f>
        <v>1715000</v>
      </c>
      <c r="P191" s="52" t="s">
        <v>43</v>
      </c>
      <c r="Q191" s="53" t="str">
        <f>VLOOKUP(K191,[1]Sheet1!$C$1:$D$101,2,)</f>
        <v>Kertas HVS 70 gram Sinar Dunia A4, Ukuran : 8,27" x 11,69"</v>
      </c>
      <c r="R191" s="94">
        <v>21600000</v>
      </c>
      <c r="S191" s="95">
        <v>21604000</v>
      </c>
      <c r="T191" s="56" t="str">
        <f>[1]Data2025!T190</f>
        <v>UD. JOSUA</v>
      </c>
      <c r="U191" s="96" t="s">
        <v>35</v>
      </c>
      <c r="V191" s="56" t="str">
        <f>[1]Data2025!V190</f>
        <v>Gestiwan Bazikho</v>
      </c>
      <c r="W191" s="56" t="str">
        <f>[1]Data2025!X190</f>
        <v>Jl. Diponegoro Kel. Pasar Telukdalam - Nias Selatan</v>
      </c>
      <c r="X191" s="96" t="s">
        <v>78</v>
      </c>
      <c r="Y191" s="57" t="str">
        <f t="shared" si="8"/>
        <v>Alat Tulis Kantor (ATK)</v>
      </c>
      <c r="Z191" s="58" t="str">
        <f t="shared" si="9"/>
        <v>Alat Tulis Kantor (ATK)</v>
      </c>
      <c r="AA191" s="97" t="s">
        <v>55</v>
      </c>
      <c r="AB191" s="98">
        <v>10800000</v>
      </c>
      <c r="AC191" s="98">
        <v>21600000</v>
      </c>
      <c r="AD191" s="94">
        <v>21600000</v>
      </c>
      <c r="AE191" s="99">
        <v>19459459.459459461</v>
      </c>
      <c r="AF191" s="99">
        <v>21600000</v>
      </c>
      <c r="AG191" s="62" t="s">
        <v>38</v>
      </c>
      <c r="AH191" s="63" t="str">
        <f>[1]Data2025!W190</f>
        <v>081375309828</v>
      </c>
    </row>
    <row r="192" spans="1:36" s="100" customFormat="1" ht="16.5" thickTop="1" thickBot="1">
      <c r="A192" s="41">
        <f>[1]Data2025!G191</f>
        <v>47</v>
      </c>
      <c r="B192" s="42" t="str">
        <f>[1]Data2025!K191</f>
        <v>BPU29</v>
      </c>
      <c r="C192" s="43" t="str">
        <f>[1]Data2025!D191</f>
        <v>06. 05. 09.</v>
      </c>
      <c r="D192" s="44" t="str">
        <f>[1]Data2025!C191</f>
        <v>5.1.02.01.01.0030</v>
      </c>
      <c r="E192" s="45">
        <f>[1]Data2025!E191</f>
        <v>45687</v>
      </c>
      <c r="F192" s="46" t="str">
        <f>[1]Data2025!F191</f>
        <v>01/02/2025</v>
      </c>
      <c r="G192" s="45" t="str">
        <f>[1]Data2025!H191</f>
        <v>01/02/2025</v>
      </c>
      <c r="H192" s="45" t="str">
        <f t="shared" si="7"/>
        <v>01/02/2025</v>
      </c>
      <c r="I192" s="47" t="str">
        <f>[1]Data2025!J191</f>
        <v>04/02/2025</v>
      </c>
      <c r="J192" s="48" t="str">
        <f>[1]Data2025!L191</f>
        <v>Tisu--</v>
      </c>
      <c r="K192" s="48" t="str">
        <f>[1]Data2025!M191</f>
        <v>Tisu--</v>
      </c>
      <c r="L192" s="49">
        <f>[1]Data2025!N191</f>
        <v>12</v>
      </c>
      <c r="M192" s="49" t="str">
        <f>[1]Data2025!O191</f>
        <v>buah</v>
      </c>
      <c r="N192" s="50">
        <f>[1]Data2025!P191</f>
        <v>12500</v>
      </c>
      <c r="O192" s="51">
        <f>[1]Data2025!Q191</f>
        <v>150000</v>
      </c>
      <c r="P192" s="52" t="s">
        <v>43</v>
      </c>
      <c r="Q192" s="53" t="str">
        <f>VLOOKUP(K192,[1]Sheet1!$C$1:$D$101,2,)</f>
        <v>Tissue (Merk JOLLY 250 Sheets 2 Ply, Berat Volume = 285 gr)</v>
      </c>
      <c r="R192" s="94">
        <v>2900000</v>
      </c>
      <c r="S192" s="95">
        <v>2904000</v>
      </c>
      <c r="T192" s="56" t="str">
        <f>[1]Data2025!T191</f>
        <v>UD. JOSUA</v>
      </c>
      <c r="U192" s="96" t="s">
        <v>35</v>
      </c>
      <c r="V192" s="56" t="str">
        <f>[1]Data2025!V191</f>
        <v>Gestiwan Bazikho</v>
      </c>
      <c r="W192" s="56" t="str">
        <f>[1]Data2025!X191</f>
        <v>Jl. Diponegoro Kel. Pasar Telukdalam - Nias Selatan</v>
      </c>
      <c r="X192" s="96" t="s">
        <v>78</v>
      </c>
      <c r="Y192" s="57" t="str">
        <f t="shared" si="8"/>
        <v>Alat Tulis Kantor (ATK)</v>
      </c>
      <c r="Z192" s="58" t="str">
        <f t="shared" si="9"/>
        <v>Alat Tulis Kantor (ATK)</v>
      </c>
      <c r="AA192" s="97" t="s">
        <v>42</v>
      </c>
      <c r="AB192" s="98">
        <v>1450000</v>
      </c>
      <c r="AC192" s="98">
        <v>2900000</v>
      </c>
      <c r="AD192" s="94">
        <v>2900000</v>
      </c>
      <c r="AE192" s="99">
        <v>2612612.6126126125</v>
      </c>
      <c r="AF192" s="99">
        <v>2900000</v>
      </c>
      <c r="AG192" s="62" t="s">
        <v>38</v>
      </c>
      <c r="AH192" s="63" t="str">
        <f>[1]Data2025!W191</f>
        <v>081375309828</v>
      </c>
      <c r="AI192" s="101"/>
      <c r="AJ192" s="101"/>
    </row>
    <row r="193" spans="1:34" s="100" customFormat="1" ht="16.5" thickTop="1" thickBot="1">
      <c r="A193" s="41">
        <f>[1]Data2025!G192</f>
        <v>47</v>
      </c>
      <c r="B193" s="42" t="str">
        <f>[1]Data2025!K192</f>
        <v>BPU29</v>
      </c>
      <c r="C193" s="43" t="str">
        <f>[1]Data2025!D192</f>
        <v>06. 05. 09.</v>
      </c>
      <c r="D193" s="44" t="str">
        <f>[1]Data2025!C192</f>
        <v>5.1.02.01.01.0030</v>
      </c>
      <c r="E193" s="45">
        <f>[1]Data2025!E192</f>
        <v>45687</v>
      </c>
      <c r="F193" s="46" t="str">
        <f>[1]Data2025!F192</f>
        <v>01/02/2025</v>
      </c>
      <c r="G193" s="45" t="str">
        <f>[1]Data2025!H192</f>
        <v>01/02/2025</v>
      </c>
      <c r="H193" s="45" t="str">
        <f t="shared" si="7"/>
        <v>01/02/2025</v>
      </c>
      <c r="I193" s="47" t="str">
        <f>[1]Data2025!J192</f>
        <v>04/02/2025</v>
      </c>
      <c r="J193" s="48" t="str">
        <f>[1]Data2025!L192</f>
        <v>vixal 500ml</v>
      </c>
      <c r="K193" s="48" t="str">
        <f>[1]Data2025!M192</f>
        <v>vixal 500ml</v>
      </c>
      <c r="L193" s="49">
        <f>[1]Data2025!N192</f>
        <v>10</v>
      </c>
      <c r="M193" s="49" t="str">
        <f>[1]Data2025!O192</f>
        <v>botol</v>
      </c>
      <c r="N193" s="50">
        <f>[1]Data2025!P192</f>
        <v>30000</v>
      </c>
      <c r="O193" s="51">
        <f>[1]Data2025!Q192</f>
        <v>300000</v>
      </c>
      <c r="P193" s="52" t="s">
        <v>54</v>
      </c>
      <c r="Q193" s="53" t="str">
        <f>VLOOKUP(K193,[1]Sheet1!$C$1:$D$101,2,)</f>
        <v>Pembersih Lantai (Merk vixal, Kemasan Botol, isi  500ml)</v>
      </c>
      <c r="R193" s="94">
        <v>7498800</v>
      </c>
      <c r="S193" s="95">
        <v>7522800</v>
      </c>
      <c r="T193" s="56" t="str">
        <f>[1]Data2025!T192</f>
        <v>UD. JOSUA</v>
      </c>
      <c r="U193" s="96" t="s">
        <v>35</v>
      </c>
      <c r="V193" s="56" t="str">
        <f>[1]Data2025!V192</f>
        <v>Gestiwan Bazikho</v>
      </c>
      <c r="W193" s="56" t="str">
        <f>[1]Data2025!X192</f>
        <v>Jl. Diponegoro Kel. Pasar Telukdalam - Nias Selatan</v>
      </c>
      <c r="X193" s="96" t="s">
        <v>78</v>
      </c>
      <c r="Y193" s="57" t="str">
        <f t="shared" si="8"/>
        <v>Alat Kebersihan</v>
      </c>
      <c r="Z193" s="58" t="str">
        <f t="shared" si="9"/>
        <v>Alat Kebersihan</v>
      </c>
      <c r="AA193" s="97" t="s">
        <v>55</v>
      </c>
      <c r="AB193" s="98">
        <v>624900</v>
      </c>
      <c r="AC193" s="98">
        <v>7498800</v>
      </c>
      <c r="AD193" s="94">
        <v>7498800</v>
      </c>
      <c r="AE193" s="99">
        <v>6755675.6756756762</v>
      </c>
      <c r="AF193" s="99">
        <v>7498800</v>
      </c>
      <c r="AG193" s="62" t="s">
        <v>38</v>
      </c>
      <c r="AH193" s="63" t="str">
        <f>[1]Data2025!W192</f>
        <v>081375309828</v>
      </c>
    </row>
    <row r="194" spans="1:34" s="100" customFormat="1" ht="26" thickTop="1" thickBot="1">
      <c r="A194" s="41">
        <f>[1]Data2025!G193</f>
        <v>47</v>
      </c>
      <c r="B194" s="42" t="str">
        <f>[1]Data2025!K193</f>
        <v>BPU29</v>
      </c>
      <c r="C194" s="43" t="str">
        <f>[1]Data2025!D193</f>
        <v>06. 05. 09.</v>
      </c>
      <c r="D194" s="44" t="str">
        <f>[1]Data2025!C193</f>
        <v>5.1.02.01.01.0030</v>
      </c>
      <c r="E194" s="45">
        <f>[1]Data2025!E193</f>
        <v>45687</v>
      </c>
      <c r="F194" s="46" t="str">
        <f>[1]Data2025!F193</f>
        <v>01/02/2025</v>
      </c>
      <c r="G194" s="45" t="str">
        <f>[1]Data2025!H193</f>
        <v>01/02/2025</v>
      </c>
      <c r="H194" s="45" t="str">
        <f t="shared" si="7"/>
        <v>01/02/2025</v>
      </c>
      <c r="I194" s="47" t="str">
        <f>[1]Data2025!J193</f>
        <v>04/02/2025</v>
      </c>
      <c r="J194" s="48" t="str">
        <f>[1]Data2025!L193</f>
        <v>Perlengkapan Kebersihan Pembersih Lantai Super Pel Varian 800ml</v>
      </c>
      <c r="K194" s="48" t="str">
        <f>J194</f>
        <v>Perlengkapan Kebersihan Pembersih Lantai Super Pel Varian 800ml</v>
      </c>
      <c r="L194" s="49">
        <f>[1]Data2025!N193</f>
        <v>15</v>
      </c>
      <c r="M194" s="49" t="str">
        <f>[1]Data2025!O193</f>
        <v>buah</v>
      </c>
      <c r="N194" s="50">
        <f>[1]Data2025!P193</f>
        <v>13500</v>
      </c>
      <c r="O194" s="51">
        <f>[1]Data2025!Q193</f>
        <v>202500</v>
      </c>
      <c r="P194" s="52" t="s">
        <v>54</v>
      </c>
      <c r="Q194" s="53" t="str">
        <f>VLOOKUP(K194,[1]Sheet1!$C$1:$D$101,2,)</f>
        <v>Super Pel (Merek: Super Pel, Varian 800ml/Refill)</v>
      </c>
      <c r="R194" s="94">
        <v>9750000</v>
      </c>
      <c r="S194" s="95">
        <v>9780000</v>
      </c>
      <c r="T194" s="56" t="str">
        <f>[1]Data2025!T193</f>
        <v>UD. JOSUA</v>
      </c>
      <c r="U194" s="96" t="s">
        <v>35</v>
      </c>
      <c r="V194" s="56" t="str">
        <f>[1]Data2025!V193</f>
        <v>Gestiwan Bazikho</v>
      </c>
      <c r="W194" s="56" t="str">
        <f>[1]Data2025!X193</f>
        <v>Jl. Diponegoro Kel. Pasar Telukdalam - Nias Selatan</v>
      </c>
      <c r="X194" s="96" t="s">
        <v>78</v>
      </c>
      <c r="Y194" s="57" t="str">
        <f t="shared" si="8"/>
        <v>Alat Kebersihan</v>
      </c>
      <c r="Z194" s="58" t="str">
        <f t="shared" si="9"/>
        <v>Alat Kebersihan</v>
      </c>
      <c r="AA194" s="97" t="s">
        <v>42</v>
      </c>
      <c r="AB194" s="98">
        <v>650000</v>
      </c>
      <c r="AC194" s="98">
        <v>9750000</v>
      </c>
      <c r="AD194" s="94">
        <v>9750000</v>
      </c>
      <c r="AE194" s="99">
        <v>8783783.7837837841</v>
      </c>
      <c r="AF194" s="99">
        <v>9750000</v>
      </c>
      <c r="AG194" s="62" t="s">
        <v>38</v>
      </c>
      <c r="AH194" s="63" t="str">
        <f>[1]Data2025!W193</f>
        <v>081375309828</v>
      </c>
    </row>
    <row r="195" spans="1:34" ht="16.5" thickTop="1" thickBot="1">
      <c r="A195" s="41">
        <f>[1]Data2025!G194</f>
        <v>47</v>
      </c>
      <c r="B195" s="42" t="str">
        <f>[1]Data2025!K194</f>
        <v>BPU29</v>
      </c>
      <c r="C195" s="43" t="str">
        <f>[1]Data2025!D194</f>
        <v>06. 05. 09.</v>
      </c>
      <c r="D195" s="44" t="str">
        <f>[1]Data2025!C194</f>
        <v>5.1.02.01.01.0030</v>
      </c>
      <c r="E195" s="45">
        <f>[1]Data2025!E194</f>
        <v>45687</v>
      </c>
      <c r="F195" s="46" t="str">
        <f>[1]Data2025!F194</f>
        <v>01/02/2025</v>
      </c>
      <c r="G195" s="45" t="str">
        <f>[1]Data2025!H194</f>
        <v>01/02/2025</v>
      </c>
      <c r="H195" s="45" t="str">
        <f t="shared" si="7"/>
        <v>01/02/2025</v>
      </c>
      <c r="I195" s="47" t="str">
        <f>[1]Data2025!J194</f>
        <v>04/02/2025</v>
      </c>
      <c r="J195" s="48" t="str">
        <f>[1]Data2025!L194</f>
        <v>Cairan Pembersih Kaca</v>
      </c>
      <c r="K195" s="48" t="str">
        <f t="shared" ref="K195:K200" si="10">J195</f>
        <v>Cairan Pembersih Kaca</v>
      </c>
      <c r="L195" s="49">
        <f>[1]Data2025!N194</f>
        <v>5</v>
      </c>
      <c r="M195" s="49" t="str">
        <f>[1]Data2025!O194</f>
        <v>buah</v>
      </c>
      <c r="N195" s="50">
        <f>[1]Data2025!P194</f>
        <v>12000</v>
      </c>
      <c r="O195" s="51">
        <f>[1]Data2025!Q194</f>
        <v>60000</v>
      </c>
      <c r="P195" s="52" t="s">
        <v>54</v>
      </c>
      <c r="Q195" s="53" t="str">
        <f>VLOOKUP(K195,[1]Sheet1!$C$1:$D$101,2,)</f>
        <v>Cling (Merek: Cling, Varian: Ocean Fresh 425 ml)</v>
      </c>
      <c r="R195" s="54">
        <v>1350000</v>
      </c>
      <c r="S195" s="55">
        <v>1530000</v>
      </c>
      <c r="T195" s="56" t="str">
        <f>[1]Data2025!T194</f>
        <v>UD. JOSUA</v>
      </c>
      <c r="U195" s="57" t="s">
        <v>60</v>
      </c>
      <c r="V195" s="56" t="str">
        <f>[1]Data2025!V194</f>
        <v>Gestiwan Bazikho</v>
      </c>
      <c r="W195" s="56" t="str">
        <f>[1]Data2025!X194</f>
        <v>Jl. Diponegoro Kel. Pasar Telukdalam - Nias Selatan</v>
      </c>
      <c r="X195" s="57" t="s">
        <v>61</v>
      </c>
      <c r="Y195" s="57" t="str">
        <f t="shared" si="8"/>
        <v>Alat Kebersihan</v>
      </c>
      <c r="Z195" s="58" t="str">
        <f t="shared" si="9"/>
        <v>Alat Kebersihan</v>
      </c>
      <c r="AA195" s="59" t="s">
        <v>37</v>
      </c>
      <c r="AB195" s="60">
        <v>15000</v>
      </c>
      <c r="AC195" s="60">
        <v>1350000</v>
      </c>
      <c r="AD195" s="54">
        <v>1350000</v>
      </c>
      <c r="AE195" s="61">
        <v>1216216.2162162163</v>
      </c>
      <c r="AF195" s="61">
        <v>1350000</v>
      </c>
      <c r="AG195" s="62" t="s">
        <v>38</v>
      </c>
      <c r="AH195" s="63" t="str">
        <f>[1]Data2025!W194</f>
        <v>081375309828</v>
      </c>
    </row>
    <row r="196" spans="1:34" ht="26" thickTop="1" thickBot="1">
      <c r="A196" s="41">
        <f>[1]Data2025!G195</f>
        <v>47</v>
      </c>
      <c r="B196" s="42" t="str">
        <f>[1]Data2025!K195</f>
        <v>BPU29</v>
      </c>
      <c r="C196" s="43" t="str">
        <f>[1]Data2025!D195</f>
        <v>06. 05. 09.</v>
      </c>
      <c r="D196" s="44" t="str">
        <f>[1]Data2025!C195</f>
        <v>5.1.02.01.01.0030</v>
      </c>
      <c r="E196" s="45">
        <f>[1]Data2025!E195</f>
        <v>45687</v>
      </c>
      <c r="F196" s="46" t="str">
        <f>[1]Data2025!F195</f>
        <v>01/02/2025</v>
      </c>
      <c r="G196" s="45" t="str">
        <f>[1]Data2025!H195</f>
        <v>01/02/2025</v>
      </c>
      <c r="H196" s="45" t="str">
        <f t="shared" si="7"/>
        <v>01/02/2025</v>
      </c>
      <c r="I196" s="47" t="str">
        <f>[1]Data2025!J195</f>
        <v>04/02/2025</v>
      </c>
      <c r="J196" s="48" t="str">
        <f>[1]Data2025!L195</f>
        <v>Perlengkapan Kebersihan Pembersih Pakaian Sunlight Refil 800ml</v>
      </c>
      <c r="K196" s="48" t="str">
        <f t="shared" si="10"/>
        <v>Perlengkapan Kebersihan Pembersih Pakaian Sunlight Refil 800ml</v>
      </c>
      <c r="L196" s="49">
        <f>[1]Data2025!N195</f>
        <v>3</v>
      </c>
      <c r="M196" s="49" t="str">
        <f>[1]Data2025!O195</f>
        <v>buah</v>
      </c>
      <c r="N196" s="50">
        <f>[1]Data2025!P195</f>
        <v>15000</v>
      </c>
      <c r="O196" s="51">
        <f>[1]Data2025!Q195</f>
        <v>45000</v>
      </c>
      <c r="P196" s="52" t="s">
        <v>54</v>
      </c>
      <c r="Q196" s="53" t="str">
        <f>VLOOKUP(K196,[1]Sheet1!$C$1:$D$101,2,)</f>
        <v>Sunlight (Merk: Sunlight, Varian 800ml/Refill)</v>
      </c>
      <c r="R196" s="54">
        <v>3600000</v>
      </c>
      <c r="S196" s="55">
        <v>3780000</v>
      </c>
      <c r="T196" s="56" t="str">
        <f>[1]Data2025!T195</f>
        <v>UD. JOSUA</v>
      </c>
      <c r="U196" s="57" t="s">
        <v>62</v>
      </c>
      <c r="V196" s="56" t="str">
        <f>[1]Data2025!V195</f>
        <v>Gestiwan Bazikho</v>
      </c>
      <c r="W196" s="56" t="str">
        <f>[1]Data2025!X195</f>
        <v>Jl. Diponegoro Kel. Pasar Telukdalam - Nias Selatan</v>
      </c>
      <c r="X196" s="57" t="s">
        <v>63</v>
      </c>
      <c r="Y196" s="57" t="str">
        <f t="shared" si="8"/>
        <v>Alat Kebersihan</v>
      </c>
      <c r="Z196" s="58" t="str">
        <f t="shared" si="9"/>
        <v>Alat Kebersihan</v>
      </c>
      <c r="AA196" s="59" t="s">
        <v>37</v>
      </c>
      <c r="AB196" s="60">
        <v>40000</v>
      </c>
      <c r="AC196" s="60">
        <v>3600000</v>
      </c>
      <c r="AD196" s="54">
        <v>3600000</v>
      </c>
      <c r="AE196" s="61">
        <v>3243243.2432432431</v>
      </c>
      <c r="AF196" s="61">
        <v>3600000</v>
      </c>
      <c r="AG196" s="62" t="s">
        <v>38</v>
      </c>
      <c r="AH196" s="63" t="str">
        <f>[1]Data2025!W195</f>
        <v>081375309828</v>
      </c>
    </row>
    <row r="197" spans="1:34" ht="30" thickTop="1" thickBot="1">
      <c r="A197" s="41">
        <f>[1]Data2025!G196</f>
        <v>47</v>
      </c>
      <c r="B197" s="42" t="str">
        <f>[1]Data2025!K196</f>
        <v>BPU29</v>
      </c>
      <c r="C197" s="43" t="str">
        <f>[1]Data2025!D196</f>
        <v>06. 05. 09.</v>
      </c>
      <c r="D197" s="44" t="str">
        <f>[1]Data2025!C196</f>
        <v>5.1.02.01.01.0030</v>
      </c>
      <c r="E197" s="45">
        <f>[1]Data2025!E196</f>
        <v>45687</v>
      </c>
      <c r="F197" s="46" t="str">
        <f>[1]Data2025!F196</f>
        <v>01/02/2025</v>
      </c>
      <c r="G197" s="45" t="str">
        <f>[1]Data2025!H196</f>
        <v>01/02/2025</v>
      </c>
      <c r="H197" s="45" t="str">
        <f t="shared" ref="H197:H260" si="11">G197</f>
        <v>01/02/2025</v>
      </c>
      <c r="I197" s="47" t="str">
        <f>[1]Data2025!J196</f>
        <v>04/02/2025</v>
      </c>
      <c r="J197" s="48" t="str">
        <f>[1]Data2025!L196</f>
        <v>Spon Cuci</v>
      </c>
      <c r="K197" s="48" t="str">
        <f t="shared" si="10"/>
        <v>Spon Cuci</v>
      </c>
      <c r="L197" s="49">
        <f>[1]Data2025!N196</f>
        <v>5</v>
      </c>
      <c r="M197" s="49" t="str">
        <f>[1]Data2025!O196</f>
        <v>buah</v>
      </c>
      <c r="N197" s="50">
        <f>[1]Data2025!P196</f>
        <v>12000</v>
      </c>
      <c r="O197" s="51">
        <f>[1]Data2025!Q196</f>
        <v>60000</v>
      </c>
      <c r="P197" s="52" t="s">
        <v>54</v>
      </c>
      <c r="Q197" s="53" t="str">
        <f>VLOOKUP(K197,[1]Sheet1!$C$1:$D$101,2,)</f>
        <v>Spon Cuci (ukuran tebal 3 cm, panjang 7cm x 9cm)</v>
      </c>
      <c r="R197" s="54">
        <v>600000</v>
      </c>
      <c r="S197" s="55">
        <v>604000</v>
      </c>
      <c r="T197" s="56" t="str">
        <f>[1]Data2025!T196</f>
        <v>UD. JOSUA</v>
      </c>
      <c r="U197" s="57" t="s">
        <v>68</v>
      </c>
      <c r="V197" s="56" t="str">
        <f>[1]Data2025!V196</f>
        <v>Gestiwan Bazikho</v>
      </c>
      <c r="W197" s="56" t="str">
        <f>[1]Data2025!X196</f>
        <v>Jl. Diponegoro Kel. Pasar Telukdalam - Nias Selatan</v>
      </c>
      <c r="X197" s="93" t="s">
        <v>36</v>
      </c>
      <c r="Y197" s="57" t="str">
        <f t="shared" ref="Y197:Y260" si="12">P197</f>
        <v>Alat Kebersihan</v>
      </c>
      <c r="Z197" s="58" t="str">
        <f t="shared" ref="Z197:Z260" si="13">Y197</f>
        <v>Alat Kebersihan</v>
      </c>
      <c r="AA197" s="59" t="s">
        <v>42</v>
      </c>
      <c r="AB197" s="60">
        <v>300000</v>
      </c>
      <c r="AC197" s="60">
        <v>600000</v>
      </c>
      <c r="AD197" s="54">
        <v>600000</v>
      </c>
      <c r="AE197" s="61">
        <v>540540.54054054059</v>
      </c>
      <c r="AF197" s="61">
        <v>600000</v>
      </c>
      <c r="AG197" s="62" t="s">
        <v>38</v>
      </c>
      <c r="AH197" s="63" t="str">
        <f>[1]Data2025!W196</f>
        <v>081375309828</v>
      </c>
    </row>
    <row r="198" spans="1:34" ht="16.5" thickTop="1" thickBot="1">
      <c r="A198" s="41">
        <f>[1]Data2025!G197</f>
        <v>47</v>
      </c>
      <c r="B198" s="42" t="str">
        <f>[1]Data2025!K197</f>
        <v>BPU29</v>
      </c>
      <c r="C198" s="43" t="str">
        <f>[1]Data2025!D197</f>
        <v>06. 05. 09.</v>
      </c>
      <c r="D198" s="44" t="str">
        <f>[1]Data2025!C197</f>
        <v>5.1.02.01.01.0030</v>
      </c>
      <c r="E198" s="45">
        <f>[1]Data2025!E197</f>
        <v>45687</v>
      </c>
      <c r="F198" s="46" t="str">
        <f>[1]Data2025!F197</f>
        <v>01/02/2025</v>
      </c>
      <c r="G198" s="45" t="str">
        <f>[1]Data2025!H197</f>
        <v>01/02/2025</v>
      </c>
      <c r="H198" s="45" t="str">
        <f t="shared" si="11"/>
        <v>01/02/2025</v>
      </c>
      <c r="I198" s="47" t="str">
        <f>[1]Data2025!J197</f>
        <v>04/02/2025</v>
      </c>
      <c r="J198" s="48" t="str">
        <f>[1]Data2025!L197</f>
        <v>Handsoap/Pencuci Tangan</v>
      </c>
      <c r="K198" s="48" t="str">
        <f t="shared" si="10"/>
        <v>Handsoap/Pencuci Tangan</v>
      </c>
      <c r="L198" s="49">
        <f>[1]Data2025!N197</f>
        <v>5</v>
      </c>
      <c r="M198" s="49" t="str">
        <f>[1]Data2025!O197</f>
        <v>botol</v>
      </c>
      <c r="N198" s="50">
        <f>[1]Data2025!P197</f>
        <v>67000</v>
      </c>
      <c r="O198" s="51">
        <f>[1]Data2025!Q197</f>
        <v>335000</v>
      </c>
      <c r="P198" s="52" t="s">
        <v>54</v>
      </c>
      <c r="Q198" s="53" t="str">
        <f>VLOOKUP(K198,[1]Sheet1!$C$1:$D$101,2,)</f>
        <v>Handsoap/Pencuci Tangan (Antibacterial Hand Soap - 250ml, ekstrak aloevera)</v>
      </c>
      <c r="R198" s="54">
        <v>5400000</v>
      </c>
      <c r="S198" s="55">
        <v>6120000</v>
      </c>
      <c r="T198" s="56" t="str">
        <f>[1]Data2025!T197</f>
        <v>UD. JOSUA</v>
      </c>
      <c r="U198" s="57" t="s">
        <v>60</v>
      </c>
      <c r="V198" s="56" t="str">
        <f>[1]Data2025!V197</f>
        <v>Gestiwan Bazikho</v>
      </c>
      <c r="W198" s="56" t="str">
        <f>[1]Data2025!X197</f>
        <v>Jl. Diponegoro Kel. Pasar Telukdalam - Nias Selatan</v>
      </c>
      <c r="X198" s="57" t="s">
        <v>61</v>
      </c>
      <c r="Y198" s="57" t="str">
        <f t="shared" si="12"/>
        <v>Alat Kebersihan</v>
      </c>
      <c r="Z198" s="58" t="str">
        <f t="shared" si="13"/>
        <v>Alat Kebersihan</v>
      </c>
      <c r="AA198" s="59" t="s">
        <v>37</v>
      </c>
      <c r="AB198" s="60">
        <v>15000</v>
      </c>
      <c r="AC198" s="60">
        <v>5400000</v>
      </c>
      <c r="AD198" s="54">
        <v>5400000</v>
      </c>
      <c r="AE198" s="61">
        <v>4864864.8648648653</v>
      </c>
      <c r="AF198" s="61">
        <v>5400000</v>
      </c>
      <c r="AG198" s="62" t="s">
        <v>38</v>
      </c>
      <c r="AH198" s="63" t="str">
        <f>[1]Data2025!W197</f>
        <v>081375309828</v>
      </c>
    </row>
    <row r="199" spans="1:34" ht="16.5" thickTop="1" thickBot="1">
      <c r="A199" s="41">
        <f>[1]Data2025!G198</f>
        <v>47</v>
      </c>
      <c r="B199" s="42" t="str">
        <f>[1]Data2025!K198</f>
        <v>BPU29</v>
      </c>
      <c r="C199" s="43" t="str">
        <f>[1]Data2025!D198</f>
        <v>06. 05. 09.</v>
      </c>
      <c r="D199" s="44" t="str">
        <f>[1]Data2025!C198</f>
        <v>5.1.02.01.01.0030</v>
      </c>
      <c r="E199" s="45">
        <f>[1]Data2025!E198</f>
        <v>45687</v>
      </c>
      <c r="F199" s="46" t="str">
        <f>[1]Data2025!F198</f>
        <v>01/02/2025</v>
      </c>
      <c r="G199" s="45" t="str">
        <f>[1]Data2025!H198</f>
        <v>01/02/2025</v>
      </c>
      <c r="H199" s="45" t="str">
        <f t="shared" si="11"/>
        <v>01/02/2025</v>
      </c>
      <c r="I199" s="47" t="str">
        <f>[1]Data2025!J198</f>
        <v>04/02/2025</v>
      </c>
      <c r="J199" s="48" t="str">
        <f>[1]Data2025!L198</f>
        <v>Pengharum Ruangan</v>
      </c>
      <c r="K199" s="48" t="str">
        <f t="shared" si="10"/>
        <v>Pengharum Ruangan</v>
      </c>
      <c r="L199" s="49">
        <f>[1]Data2025!N198</f>
        <v>10</v>
      </c>
      <c r="M199" s="49" t="str">
        <f>[1]Data2025!O198</f>
        <v>buah</v>
      </c>
      <c r="N199" s="50">
        <f>[1]Data2025!P198</f>
        <v>12100</v>
      </c>
      <c r="O199" s="51">
        <f>[1]Data2025!Q198</f>
        <v>121000</v>
      </c>
      <c r="P199" s="52" t="s">
        <v>54</v>
      </c>
      <c r="Q199" s="53" t="str">
        <f>VLOOKUP(K199,[1]Sheet1!$C$1:$D$101,2,)</f>
        <v>Pengharum Ruangan (Stella Pengharum Ruangan Gantung Lavender 42 g)</v>
      </c>
      <c r="R199" s="54">
        <v>7200000</v>
      </c>
      <c r="S199" s="55">
        <v>7560000</v>
      </c>
      <c r="T199" s="56" t="str">
        <f>[1]Data2025!T198</f>
        <v>UD. JOSUA</v>
      </c>
      <c r="U199" s="57" t="s">
        <v>62</v>
      </c>
      <c r="V199" s="56" t="str">
        <f>[1]Data2025!V198</f>
        <v>Gestiwan Bazikho</v>
      </c>
      <c r="W199" s="56" t="str">
        <f>[1]Data2025!X198</f>
        <v>Jl. Diponegoro Kel. Pasar Telukdalam - Nias Selatan</v>
      </c>
      <c r="X199" s="57" t="s">
        <v>63</v>
      </c>
      <c r="Y199" s="57" t="str">
        <f t="shared" si="12"/>
        <v>Alat Kebersihan</v>
      </c>
      <c r="Z199" s="58" t="str">
        <f t="shared" si="13"/>
        <v>Alat Kebersihan</v>
      </c>
      <c r="AA199" s="59" t="s">
        <v>37</v>
      </c>
      <c r="AB199" s="60">
        <v>40000</v>
      </c>
      <c r="AC199" s="60">
        <v>7200000</v>
      </c>
      <c r="AD199" s="54">
        <v>7200000</v>
      </c>
      <c r="AE199" s="61">
        <v>6486486.4864864862</v>
      </c>
      <c r="AF199" s="61">
        <v>7200000</v>
      </c>
      <c r="AG199" s="62" t="s">
        <v>38</v>
      </c>
      <c r="AH199" s="63" t="str">
        <f>[1]Data2025!W198</f>
        <v>081375309828</v>
      </c>
    </row>
    <row r="200" spans="1:34" ht="16.5" thickTop="1" thickBot="1">
      <c r="A200" s="41">
        <f>[1]Data2025!G199</f>
        <v>47</v>
      </c>
      <c r="B200" s="42" t="str">
        <f>[1]Data2025!K199</f>
        <v>BPU29</v>
      </c>
      <c r="C200" s="43" t="str">
        <f>[1]Data2025!D199</f>
        <v>06. 05. 09.</v>
      </c>
      <c r="D200" s="44" t="str">
        <f>[1]Data2025!C199</f>
        <v>5.1.02.01.01.0030</v>
      </c>
      <c r="E200" s="45">
        <f>[1]Data2025!E199</f>
        <v>45687</v>
      </c>
      <c r="F200" s="46" t="str">
        <f>[1]Data2025!F199</f>
        <v>01/02/2025</v>
      </c>
      <c r="G200" s="45" t="str">
        <f>[1]Data2025!H199</f>
        <v>01/02/2025</v>
      </c>
      <c r="H200" s="45" t="str">
        <f t="shared" si="11"/>
        <v>01/02/2025</v>
      </c>
      <c r="I200" s="47" t="str">
        <f>[1]Data2025!J199</f>
        <v>04/02/2025</v>
      </c>
      <c r="J200" s="48" t="str">
        <f>[1]Data2025!L199</f>
        <v>Hand Sanitizer-Unit</v>
      </c>
      <c r="K200" s="48" t="str">
        <f t="shared" si="10"/>
        <v>Hand Sanitizer-Unit</v>
      </c>
      <c r="L200" s="49">
        <f>[1]Data2025!N199</f>
        <v>5</v>
      </c>
      <c r="M200" s="49" t="str">
        <f>[1]Data2025!O199</f>
        <v>unit</v>
      </c>
      <c r="N200" s="50">
        <f>[1]Data2025!P199</f>
        <v>70000</v>
      </c>
      <c r="O200" s="51">
        <f>[1]Data2025!Q199</f>
        <v>350000</v>
      </c>
      <c r="P200" s="52" t="s">
        <v>54</v>
      </c>
      <c r="Q200" s="53" t="str">
        <f>VLOOKUP(K200,[1]Sheet1!$C$1:$D$101,2,)</f>
        <v>Hand Sanitizer (Kemasan Botol 500ml)</v>
      </c>
      <c r="R200" s="54">
        <v>1360780</v>
      </c>
      <c r="S200" s="55">
        <v>2002000</v>
      </c>
      <c r="T200" s="56" t="str">
        <f>[1]Data2025!T199</f>
        <v>UD. JOSUA</v>
      </c>
      <c r="U200" s="57" t="s">
        <v>60</v>
      </c>
      <c r="V200" s="56" t="str">
        <f>[1]Data2025!V199</f>
        <v>Gestiwan Bazikho</v>
      </c>
      <c r="W200" s="56" t="str">
        <f>[1]Data2025!X199</f>
        <v>Jl. Diponegoro Kel. Pasar Telukdalam - Nias Selatan</v>
      </c>
      <c r="X200" s="57" t="s">
        <v>61</v>
      </c>
      <c r="Y200" s="57" t="str">
        <f t="shared" si="12"/>
        <v>Alat Kebersihan</v>
      </c>
      <c r="Z200" s="58" t="str">
        <f t="shared" si="13"/>
        <v>Alat Kebersihan</v>
      </c>
      <c r="AA200" s="59" t="s">
        <v>73</v>
      </c>
      <c r="AB200" s="60">
        <v>2000000</v>
      </c>
      <c r="AC200" s="60">
        <v>2000000</v>
      </c>
      <c r="AD200" s="54">
        <v>1360780</v>
      </c>
      <c r="AE200" s="61">
        <v>1225927.927927928</v>
      </c>
      <c r="AF200" s="61">
        <v>1360780</v>
      </c>
      <c r="AG200" s="62" t="s">
        <v>38</v>
      </c>
      <c r="AH200" s="63" t="str">
        <f>[1]Data2025!W199</f>
        <v>081375309828</v>
      </c>
    </row>
    <row r="201" spans="1:34" s="40" customFormat="1" ht="26" thickTop="1" thickBot="1">
      <c r="A201" s="17">
        <f>[1]Data2025!G200</f>
        <v>48</v>
      </c>
      <c r="B201" s="18" t="str">
        <f>[1]Data2025!K200</f>
        <v>BPU30</v>
      </c>
      <c r="C201" s="19" t="str">
        <f>[1]Data2025!D200</f>
        <v>03. 03. 08.</v>
      </c>
      <c r="D201" s="20" t="str">
        <f>[1]Data2025!C200</f>
        <v>5.1.02.01.01.0052</v>
      </c>
      <c r="E201" s="21">
        <f>[1]Data2025!E200</f>
        <v>45689</v>
      </c>
      <c r="F201" s="22" t="str">
        <f>[1]Data2025!F200</f>
        <v>03/02/2025</v>
      </c>
      <c r="G201" s="21" t="str">
        <f>[1]Data2025!H200</f>
        <v>04/02/2025</v>
      </c>
      <c r="H201" s="21" t="str">
        <f t="shared" si="11"/>
        <v>04/02/2025</v>
      </c>
      <c r="I201" s="23" t="str">
        <f>[1]Data2025!J200</f>
        <v>04/02/2025</v>
      </c>
      <c r="J201" s="24" t="str">
        <f>[1]Data2025!L200</f>
        <v>Kudapan pada Kegiatan Rapat Penyusunan Program Kesiswaan TP 2024/2025</v>
      </c>
      <c r="K201" s="24" t="str">
        <f>[1]Data2025!M200</f>
        <v>Kue Besar</v>
      </c>
      <c r="L201" s="25">
        <f>[1]Data2025!N200</f>
        <v>90</v>
      </c>
      <c r="M201" s="25" t="str">
        <f>[1]Data2025!O200</f>
        <v>kotak</v>
      </c>
      <c r="N201" s="26">
        <f>[1]Data2025!P200</f>
        <v>15000</v>
      </c>
      <c r="O201" s="27">
        <f>[1]Data2025!Q200</f>
        <v>1350000</v>
      </c>
      <c r="P201" s="28" t="s">
        <v>58</v>
      </c>
      <c r="Q201" s="29" t="str">
        <f>VLOOKUP(K201,[1]Sheet1!$C$1:$D$101,2,)</f>
        <v>Kue (bahan tepung terigu, gula, telur, mentega; berat 100gr, panjang 15cm, lebar 8 cm)</v>
      </c>
      <c r="R201" s="30">
        <v>1179100</v>
      </c>
      <c r="S201" s="31">
        <v>1502000</v>
      </c>
      <c r="T201" s="32" t="str">
        <f>[1]Data2025!T200</f>
        <v>Rumah Roti Helena</v>
      </c>
      <c r="U201" s="33" t="s">
        <v>62</v>
      </c>
      <c r="V201" s="32" t="str">
        <f>[1]Data2025!V200</f>
        <v>Fudi Supiyanto</v>
      </c>
      <c r="W201" s="32" t="str">
        <f>[1]Data2025!X200</f>
        <v>Jln Ahmad Yani No.89 Kel. Pasar Telukdalam, Nias Selatan</v>
      </c>
      <c r="X201" s="33" t="s">
        <v>63</v>
      </c>
      <c r="Y201" s="33" t="str">
        <f t="shared" si="12"/>
        <v>Kudapan</v>
      </c>
      <c r="Z201" s="34" t="str">
        <f t="shared" si="13"/>
        <v>Kudapan</v>
      </c>
      <c r="AA201" s="35" t="s">
        <v>73</v>
      </c>
      <c r="AB201" s="36">
        <v>1500000</v>
      </c>
      <c r="AC201" s="36">
        <v>1500000</v>
      </c>
      <c r="AD201" s="30">
        <v>1179100</v>
      </c>
      <c r="AE201" s="37">
        <v>1062252.2522522523</v>
      </c>
      <c r="AF201" s="37">
        <v>1179100</v>
      </c>
      <c r="AG201" s="38" t="s">
        <v>38</v>
      </c>
      <c r="AH201" s="39" t="str">
        <f>[1]Data2025!W200</f>
        <v>082164895397</v>
      </c>
    </row>
    <row r="202" spans="1:34" ht="26" thickTop="1" thickBot="1">
      <c r="A202" s="41">
        <f>[1]Data2025!G201</f>
        <v>49</v>
      </c>
      <c r="B202" s="42" t="str">
        <f>[1]Data2025!K201</f>
        <v>BPU31</v>
      </c>
      <c r="C202" s="43" t="str">
        <f>[1]Data2025!D201</f>
        <v>03. 03. 08.</v>
      </c>
      <c r="D202" s="44" t="str">
        <f>[1]Data2025!C201</f>
        <v>5.1.02.01.01.0052</v>
      </c>
      <c r="E202" s="45">
        <f>[1]Data2025!E201</f>
        <v>45689</v>
      </c>
      <c r="F202" s="46" t="str">
        <f>[1]Data2025!F201</f>
        <v>03/02/2025</v>
      </c>
      <c r="G202" s="45" t="str">
        <f>[1]Data2025!H201</f>
        <v>04/02/2025</v>
      </c>
      <c r="H202" s="45" t="str">
        <f t="shared" si="11"/>
        <v>04/02/2025</v>
      </c>
      <c r="I202" s="47" t="str">
        <f>[1]Data2025!J201</f>
        <v>04/02/2025</v>
      </c>
      <c r="J202" s="48" t="str">
        <f>[1]Data2025!L201</f>
        <v>Konsumsi pada Kegiatan Rapat Penyusunan Program Kesiswaan TP 2024/2025</v>
      </c>
      <c r="K202" s="48" t="str">
        <f>[1]Data2025!M201</f>
        <v>Nasi Kotak</v>
      </c>
      <c r="L202" s="49">
        <f>[1]Data2025!N201</f>
        <v>90</v>
      </c>
      <c r="M202" s="49" t="str">
        <f>[1]Data2025!O201</f>
        <v>kotak</v>
      </c>
      <c r="N202" s="50">
        <f>[1]Data2025!P201</f>
        <v>40000</v>
      </c>
      <c r="O202" s="51">
        <f>[1]Data2025!Q201</f>
        <v>3600000</v>
      </c>
      <c r="P202" s="52" t="s">
        <v>59</v>
      </c>
      <c r="Q202" s="53" t="str">
        <f>VLOOKUP(K202,[1]Sheet1!$C$1:$D$101,2,)</f>
        <v>Nasi Kotak (isi: Nasi putih;Sop daging; Sayur; Berat 1000gr; Dimensi; (PxLxT) 25cmx25cmx10cm)</v>
      </c>
      <c r="R202" s="54">
        <v>1732500</v>
      </c>
      <c r="S202" s="55">
        <v>11136650</v>
      </c>
      <c r="T202" s="56" t="str">
        <f>[1]Data2025!T201</f>
        <v>Resto JFC Esther</v>
      </c>
      <c r="U202" s="57" t="s">
        <v>35</v>
      </c>
      <c r="V202" s="56" t="str">
        <f>[1]Data2025!V201</f>
        <v>Limaati Daeli</v>
      </c>
      <c r="W202" s="56" t="str">
        <f>[1]Data2025!X201</f>
        <v>Jl. Saonigeho Km. 2 Telukdalam - Nias Selatan</v>
      </c>
      <c r="X202" s="57" t="s">
        <v>36</v>
      </c>
      <c r="Y202" s="57" t="str">
        <f t="shared" si="12"/>
        <v>Konsumsi</v>
      </c>
      <c r="Z202" s="58" t="str">
        <f t="shared" si="13"/>
        <v>Konsumsi</v>
      </c>
      <c r="AA202" s="59" t="s">
        <v>49</v>
      </c>
      <c r="AB202" s="60">
        <v>350</v>
      </c>
      <c r="AC202" s="60">
        <v>1658650</v>
      </c>
      <c r="AD202" s="54">
        <v>1732500</v>
      </c>
      <c r="AE202" s="61">
        <v>1560810.8108108109</v>
      </c>
      <c r="AF202" s="61">
        <v>1732500</v>
      </c>
      <c r="AG202" s="62" t="s">
        <v>38</v>
      </c>
      <c r="AH202" s="63" t="str">
        <f>[1]Data2025!W201</f>
        <v>085297578868</v>
      </c>
    </row>
    <row r="203" spans="1:34" ht="16.5" thickTop="1" thickBot="1">
      <c r="A203" s="41">
        <f>[1]Data2025!G202</f>
        <v>70</v>
      </c>
      <c r="B203" s="42" t="str">
        <f>[1]Data2025!K202</f>
        <v>BPU33</v>
      </c>
      <c r="C203" s="43" t="str">
        <f>[1]Data2025!D202</f>
        <v>06. 07. 01.</v>
      </c>
      <c r="D203" s="44" t="str">
        <f>[1]Data2025!C202</f>
        <v>5.1.02.02.01.0061</v>
      </c>
      <c r="E203" s="45">
        <f>[1]Data2025!E202</f>
        <v>45706</v>
      </c>
      <c r="F203" s="46" t="str">
        <f>[1]Data2025!F202</f>
        <v>20/02/2025</v>
      </c>
      <c r="G203" s="45" t="str">
        <f>[1]Data2025!H202</f>
        <v>20/02/2025</v>
      </c>
      <c r="H203" s="45" t="str">
        <f t="shared" si="11"/>
        <v>20/02/2025</v>
      </c>
      <c r="I203" s="47" t="str">
        <f>[1]Data2025!J202</f>
        <v>20/02/2025</v>
      </c>
      <c r="J203" s="48" t="str">
        <f>[1]Data2025!L202</f>
        <v>Biaya Rekening Listrik--</v>
      </c>
      <c r="K203" s="48" t="str">
        <f>[1]Data2025!M202</f>
        <v>Jasa Langganan Listrik</v>
      </c>
      <c r="L203" s="49">
        <f>[1]Data2025!N202</f>
        <v>1</v>
      </c>
      <c r="M203" s="49" t="str">
        <f>[1]Data2025!O202</f>
        <v>bulan</v>
      </c>
      <c r="N203" s="50">
        <f>[1]Data2025!P202</f>
        <v>2000000</v>
      </c>
      <c r="O203" s="51">
        <f>[1]Data2025!Q202</f>
        <v>2000000</v>
      </c>
      <c r="P203" s="52" t="s">
        <v>71</v>
      </c>
      <c r="Q203" s="53" t="e">
        <f>VLOOKUP(K203,[1]Sheet1!$C$1:$D$101,2,)</f>
        <v>#N/A</v>
      </c>
      <c r="R203" s="54">
        <v>1250000</v>
      </c>
      <c r="S203" s="55">
        <v>1300000</v>
      </c>
      <c r="T203" s="56">
        <f>[1]Data2025!T202</f>
        <v>0</v>
      </c>
      <c r="U203" s="57" t="s">
        <v>60</v>
      </c>
      <c r="V203" s="56" t="e">
        <f>[1]Data2025!V202</f>
        <v>#N/A</v>
      </c>
      <c r="W203" s="56" t="e">
        <f>[1]Data2025!X202</f>
        <v>#N/A</v>
      </c>
      <c r="X203" s="57" t="s">
        <v>61</v>
      </c>
      <c r="Y203" s="57" t="str">
        <f t="shared" si="12"/>
        <v>Jasa PLN</v>
      </c>
      <c r="Z203" s="58" t="str">
        <f t="shared" si="13"/>
        <v>Jasa PLN</v>
      </c>
      <c r="AA203" s="59" t="s">
        <v>65</v>
      </c>
      <c r="AB203" s="60">
        <v>50000</v>
      </c>
      <c r="AC203" s="60">
        <v>1250000</v>
      </c>
      <c r="AD203" s="54">
        <v>1250000</v>
      </c>
      <c r="AE203" s="61">
        <v>1126126.1261261262</v>
      </c>
      <c r="AF203" s="61">
        <v>1250000</v>
      </c>
      <c r="AG203" s="62" t="s">
        <v>38</v>
      </c>
      <c r="AH203" s="63" t="e">
        <f>[1]Data2025!W202</f>
        <v>#N/A</v>
      </c>
    </row>
    <row r="204" spans="1:34" ht="16.5" thickTop="1" thickBot="1">
      <c r="A204" s="41">
        <f>[1]Data2025!G203</f>
        <v>71</v>
      </c>
      <c r="B204" s="42" t="str">
        <f>[1]Data2025!K203</f>
        <v>BPU34</v>
      </c>
      <c r="C204" s="43" t="str">
        <f>[1]Data2025!D203</f>
        <v>06. 07. 05.</v>
      </c>
      <c r="D204" s="44" t="str">
        <f>[1]Data2025!C203</f>
        <v>5.1.02.02.01.0063</v>
      </c>
      <c r="E204" s="45">
        <f>[1]Data2025!E203</f>
        <v>45706</v>
      </c>
      <c r="F204" s="46" t="str">
        <f>[1]Data2025!F203</f>
        <v>20/02/2025</v>
      </c>
      <c r="G204" s="45" t="str">
        <f>[1]Data2025!H203</f>
        <v>20/02/2025</v>
      </c>
      <c r="H204" s="45" t="str">
        <f t="shared" si="11"/>
        <v>20/02/2025</v>
      </c>
      <c r="I204" s="47" t="str">
        <f>[1]Data2025!J203</f>
        <v>20/02/2025</v>
      </c>
      <c r="J204" s="48" t="str">
        <f>[1]Data2025!L203</f>
        <v>Biaya Langganan Internet--</v>
      </c>
      <c r="K204" s="48" t="str">
        <f>[1]Data2025!M203</f>
        <v>Jasa Langganan Indihome</v>
      </c>
      <c r="L204" s="49">
        <f>[1]Data2025!N203</f>
        <v>1</v>
      </c>
      <c r="M204" s="49" t="str">
        <f>[1]Data2025!O203</f>
        <v>bulan</v>
      </c>
      <c r="N204" s="50">
        <f>[1]Data2025!P203</f>
        <v>1500000</v>
      </c>
      <c r="O204" s="51">
        <f>[1]Data2025!Q203</f>
        <v>1500000</v>
      </c>
      <c r="P204" s="52" t="s">
        <v>74</v>
      </c>
      <c r="Q204" s="53" t="e">
        <f>VLOOKUP(K204,[1]Sheet1!$C$1:$D$101,2,)</f>
        <v>#N/A</v>
      </c>
      <c r="R204" s="54">
        <v>1000000</v>
      </c>
      <c r="S204" s="55">
        <v>1002000</v>
      </c>
      <c r="T204" s="56">
        <f>[1]Data2025!T203</f>
        <v>0</v>
      </c>
      <c r="U204" s="57" t="s">
        <v>35</v>
      </c>
      <c r="V204" s="56" t="e">
        <f>[1]Data2025!V203</f>
        <v>#N/A</v>
      </c>
      <c r="W204" s="56" t="e">
        <f>[1]Data2025!X203</f>
        <v>#N/A</v>
      </c>
      <c r="X204" s="57" t="s">
        <v>36</v>
      </c>
      <c r="Y204" s="57" t="str">
        <f t="shared" si="12"/>
        <v>Jasa Internet</v>
      </c>
      <c r="Z204" s="58" t="str">
        <f t="shared" si="13"/>
        <v>Jasa Internet</v>
      </c>
      <c r="AA204" s="59" t="s">
        <v>73</v>
      </c>
      <c r="AB204" s="60">
        <v>1000000</v>
      </c>
      <c r="AC204" s="60">
        <v>1000000</v>
      </c>
      <c r="AD204" s="54">
        <v>1000000</v>
      </c>
      <c r="AE204" s="61">
        <v>900900.90090090095</v>
      </c>
      <c r="AF204" s="61">
        <v>1000000</v>
      </c>
      <c r="AG204" s="62" t="s">
        <v>38</v>
      </c>
      <c r="AH204" s="63" t="e">
        <f>[1]Data2025!W203</f>
        <v>#N/A</v>
      </c>
    </row>
    <row r="205" spans="1:34" s="40" customFormat="1" ht="16.5" thickTop="1" thickBot="1">
      <c r="A205" s="17">
        <f>[1]Data2025!G204</f>
        <v>72</v>
      </c>
      <c r="B205" s="18" t="str">
        <f>[1]Data2025!K204</f>
        <v>BPU35</v>
      </c>
      <c r="C205" s="19" t="str">
        <f>[1]Data2025!D204</f>
        <v>03. 03. 14.</v>
      </c>
      <c r="D205" s="20" t="str">
        <f>[1]Data2025!C204</f>
        <v>5.1.02.01.01.0052</v>
      </c>
      <c r="E205" s="21">
        <f>[1]Data2025!E204</f>
        <v>45707</v>
      </c>
      <c r="F205" s="22" t="str">
        <f>[1]Data2025!F204</f>
        <v>21/02/2025</v>
      </c>
      <c r="G205" s="21" t="str">
        <f>[1]Data2025!H204</f>
        <v>22/02/2025</v>
      </c>
      <c r="H205" s="21" t="str">
        <f t="shared" si="11"/>
        <v>22/02/2025</v>
      </c>
      <c r="I205" s="23" t="str">
        <f>[1]Data2025!J204</f>
        <v>22/02/2025</v>
      </c>
      <c r="J205" s="24" t="str">
        <f>[1]Data2025!L204</f>
        <v>Kudapan pada Kegiatan rubrik/Ibadah Bulanan</v>
      </c>
      <c r="K205" s="24" t="str">
        <f>[1]Data2025!M204</f>
        <v>Kue Besar</v>
      </c>
      <c r="L205" s="25">
        <f>[1]Data2025!N204</f>
        <v>100</v>
      </c>
      <c r="M205" s="25" t="str">
        <f>[1]Data2025!O204</f>
        <v>kotak</v>
      </c>
      <c r="N205" s="26">
        <f>[1]Data2025!P204</f>
        <v>15000</v>
      </c>
      <c r="O205" s="27">
        <f>[1]Data2025!Q204</f>
        <v>1500000</v>
      </c>
      <c r="P205" s="28" t="s">
        <v>58</v>
      </c>
      <c r="Q205" s="29" t="str">
        <f>VLOOKUP(K205,[1]Sheet1!$C$1:$D$101,2,)</f>
        <v>Kue (bahan tepung terigu, gula, telur, mentega; berat 100gr, panjang 15cm, lebar 8 cm)</v>
      </c>
      <c r="R205" s="30">
        <v>2475000</v>
      </c>
      <c r="S205" s="31">
        <v>2541000</v>
      </c>
      <c r="T205" s="32" t="str">
        <f>[1]Data2025!T204</f>
        <v>Rumah Roti Helena</v>
      </c>
      <c r="U205" s="33" t="s">
        <v>35</v>
      </c>
      <c r="V205" s="32" t="str">
        <f>[1]Data2025!V204</f>
        <v>Fudi Supiyanto</v>
      </c>
      <c r="W205" s="32" t="str">
        <f>[1]Data2025!X204</f>
        <v>Jln Ahmad Yani No.89 Kel. Pasar Telukdalam, Nias Selatan</v>
      </c>
      <c r="X205" s="33" t="s">
        <v>78</v>
      </c>
      <c r="Y205" s="33" t="str">
        <f t="shared" si="12"/>
        <v>Kudapan</v>
      </c>
      <c r="Z205" s="34" t="str">
        <f t="shared" si="13"/>
        <v>Kudapan</v>
      </c>
      <c r="AA205" s="35" t="s">
        <v>77</v>
      </c>
      <c r="AB205" s="36">
        <v>75000</v>
      </c>
      <c r="AC205" s="36">
        <v>2475000</v>
      </c>
      <c r="AD205" s="30">
        <v>2475000</v>
      </c>
      <c r="AE205" s="37">
        <v>2229729.7297297297</v>
      </c>
      <c r="AF205" s="37">
        <v>2475000</v>
      </c>
      <c r="AG205" s="38" t="s">
        <v>38</v>
      </c>
      <c r="AH205" s="39" t="str">
        <f>[1]Data2025!W204</f>
        <v>082164895397</v>
      </c>
    </row>
    <row r="206" spans="1:34" ht="16.5" thickTop="1" thickBot="1">
      <c r="A206" s="41">
        <f>[1]Data2025!G205</f>
        <v>73</v>
      </c>
      <c r="B206" s="42" t="str">
        <f>[1]Data2025!K205</f>
        <v>BPU36</v>
      </c>
      <c r="C206" s="43" t="str">
        <f>[1]Data2025!D205</f>
        <v>03. 03. 21.</v>
      </c>
      <c r="D206" s="44" t="str">
        <f>[1]Data2025!C205</f>
        <v>5.1.02.01.01.0026</v>
      </c>
      <c r="E206" s="45">
        <f>[1]Data2025!E205</f>
        <v>45708</v>
      </c>
      <c r="F206" s="46" t="str">
        <f>[1]Data2025!F205</f>
        <v>22/02/2025</v>
      </c>
      <c r="G206" s="45" t="str">
        <f>[1]Data2025!H205</f>
        <v>24/02/2025</v>
      </c>
      <c r="H206" s="45" t="str">
        <f t="shared" si="11"/>
        <v>24/02/2025</v>
      </c>
      <c r="I206" s="47" t="str">
        <f>[1]Data2025!J205</f>
        <v>24/02/2025</v>
      </c>
      <c r="J206" s="48" t="str">
        <f>[1]Data2025!L205</f>
        <v>Spanduk Uk. 1 x 6 meter-</v>
      </c>
      <c r="K206" s="48" t="str">
        <f>[1]Data2025!M205</f>
        <v>Spanduk Uk. 1 x 6 meter-</v>
      </c>
      <c r="L206" s="49">
        <f>[1]Data2025!N205</f>
        <v>2</v>
      </c>
      <c r="M206" s="49" t="str">
        <f>[1]Data2025!O205</f>
        <v>buah</v>
      </c>
      <c r="N206" s="50">
        <f>[1]Data2025!P205</f>
        <v>300000</v>
      </c>
      <c r="O206" s="51">
        <f>[1]Data2025!Q205</f>
        <v>600000</v>
      </c>
      <c r="P206" s="52" t="s">
        <v>64</v>
      </c>
      <c r="Q206" s="53" t="e">
        <f>VLOOKUP(K206,[1]Sheet1!$C$1:$D$101,2,)</f>
        <v>#N/A</v>
      </c>
      <c r="R206" s="54">
        <v>2550000</v>
      </c>
      <c r="S206" s="55">
        <v>2618000</v>
      </c>
      <c r="T206" s="56" t="str">
        <f>[1]Data2025!T205</f>
        <v>UD. BALIZATO</v>
      </c>
      <c r="U206" s="57" t="s">
        <v>35</v>
      </c>
      <c r="V206" s="56" t="str">
        <f>[1]Data2025!V205</f>
        <v>Pieter B.P. Loi</v>
      </c>
      <c r="W206" s="56" t="str">
        <f>[1]Data2025!X205</f>
        <v>Jl. Diponegoro Kel. Pasar Telukdalam - Nias Selatan</v>
      </c>
      <c r="X206" s="57" t="s">
        <v>78</v>
      </c>
      <c r="Y206" s="57" t="str">
        <f t="shared" si="12"/>
        <v>Spanduk</v>
      </c>
      <c r="Z206" s="58" t="str">
        <f t="shared" si="13"/>
        <v>Spanduk</v>
      </c>
      <c r="AA206" s="59" t="s">
        <v>77</v>
      </c>
      <c r="AB206" s="60">
        <v>75000</v>
      </c>
      <c r="AC206" s="60">
        <v>2550000</v>
      </c>
      <c r="AD206" s="54">
        <v>2550000</v>
      </c>
      <c r="AE206" s="61">
        <v>2297297.2972972975</v>
      </c>
      <c r="AF206" s="61">
        <v>2550000</v>
      </c>
      <c r="AG206" s="62" t="s">
        <v>38</v>
      </c>
      <c r="AH206" s="63" t="str">
        <f>[1]Data2025!W205</f>
        <v>082166506229</v>
      </c>
    </row>
    <row r="207" spans="1:34" s="40" customFormat="1" ht="38.5" thickTop="1" thickBot="1">
      <c r="A207" s="17">
        <f>[1]Data2025!G206</f>
        <v>74</v>
      </c>
      <c r="B207" s="18" t="str">
        <f>[1]Data2025!K206</f>
        <v>BPU37</v>
      </c>
      <c r="C207" s="19" t="str">
        <f>[1]Data2025!D206</f>
        <v>04. 06. 07.</v>
      </c>
      <c r="D207" s="20" t="str">
        <f>[1]Data2025!C206</f>
        <v>5.1.02.01.01.0052</v>
      </c>
      <c r="E207" s="21">
        <f>[1]Data2025!E206</f>
        <v>45708</v>
      </c>
      <c r="F207" s="22" t="str">
        <f>[1]Data2025!F206</f>
        <v>22/02/2025</v>
      </c>
      <c r="G207" s="21" t="str">
        <f>[1]Data2025!H206</f>
        <v>24/02/2025</v>
      </c>
      <c r="H207" s="21" t="str">
        <f t="shared" si="11"/>
        <v>24/02/2025</v>
      </c>
      <c r="I207" s="23" t="str">
        <f>[1]Data2025!J206</f>
        <v>24/02/2025</v>
      </c>
      <c r="J207" s="24" t="str">
        <f>[1]Data2025!L206</f>
        <v>Kudapan pada Kegiatan Bimtek Tenaga Pelaksana Sekolah (Tenaga Ekstrakurikuler, TU, Laboratorium, Perustakaan, dan UKS)</v>
      </c>
      <c r="K207" s="24" t="str">
        <f>[1]Data2025!M206</f>
        <v>Kue Besar</v>
      </c>
      <c r="L207" s="25">
        <f>[1]Data2025!N206</f>
        <v>288</v>
      </c>
      <c r="M207" s="25" t="str">
        <f>[1]Data2025!O206</f>
        <v>kotak</v>
      </c>
      <c r="N207" s="26">
        <f>[1]Data2025!P206</f>
        <v>15000</v>
      </c>
      <c r="O207" s="27">
        <f>[1]Data2025!Q206</f>
        <v>4320000</v>
      </c>
      <c r="P207" s="28" t="s">
        <v>58</v>
      </c>
      <c r="Q207" s="29" t="str">
        <f>VLOOKUP(K207,[1]Sheet1!$C$1:$D$101,2,)</f>
        <v>Kue (bahan tepung terigu, gula, telur, mentega; berat 100gr, panjang 15cm, lebar 8 cm)</v>
      </c>
      <c r="R207" s="30">
        <v>2250000</v>
      </c>
      <c r="S207" s="31">
        <v>2310000</v>
      </c>
      <c r="T207" s="32" t="str">
        <f>[1]Data2025!T206</f>
        <v>Rumah Roti Helena</v>
      </c>
      <c r="U207" s="33" t="s">
        <v>35</v>
      </c>
      <c r="V207" s="32" t="str">
        <f>[1]Data2025!V206</f>
        <v>Fudi Supiyanto</v>
      </c>
      <c r="W207" s="32" t="str">
        <f>[1]Data2025!X206</f>
        <v>Jln Ahmad Yani No.89 Kel. Pasar Telukdalam, Nias Selatan</v>
      </c>
      <c r="X207" s="33" t="s">
        <v>78</v>
      </c>
      <c r="Y207" s="33" t="str">
        <f t="shared" si="12"/>
        <v>Kudapan</v>
      </c>
      <c r="Z207" s="34" t="str">
        <f t="shared" si="13"/>
        <v>Kudapan</v>
      </c>
      <c r="AA207" s="35" t="s">
        <v>77</v>
      </c>
      <c r="AB207" s="36">
        <v>75000</v>
      </c>
      <c r="AC207" s="36">
        <v>2250000</v>
      </c>
      <c r="AD207" s="30">
        <v>2250000</v>
      </c>
      <c r="AE207" s="37">
        <v>2027027.027027027</v>
      </c>
      <c r="AF207" s="37">
        <v>2250000</v>
      </c>
      <c r="AG207" s="38" t="s">
        <v>38</v>
      </c>
      <c r="AH207" s="39" t="str">
        <f>[1]Data2025!W206</f>
        <v>082164895397</v>
      </c>
    </row>
    <row r="208" spans="1:34" s="40" customFormat="1" ht="16.5" thickTop="1" thickBot="1">
      <c r="A208" s="17">
        <f>[1]Data2025!G207</f>
        <v>75</v>
      </c>
      <c r="B208" s="18" t="str">
        <f>[1]Data2025!K207</f>
        <v>BPU38</v>
      </c>
      <c r="C208" s="19" t="str">
        <f>[1]Data2025!D207</f>
        <v>06. 05. 02.</v>
      </c>
      <c r="D208" s="20" t="str">
        <f>[1]Data2025!C207</f>
        <v>5.1.02.01.01.0052</v>
      </c>
      <c r="E208" s="21">
        <f>[1]Data2025!E207</f>
        <v>45713</v>
      </c>
      <c r="F208" s="22" t="str">
        <f>[1]Data2025!F207</f>
        <v>27/02/2025</v>
      </c>
      <c r="G208" s="21" t="str">
        <f>[1]Data2025!H207</f>
        <v>28/02/2025</v>
      </c>
      <c r="H208" s="21" t="str">
        <f t="shared" si="11"/>
        <v>28/02/2025</v>
      </c>
      <c r="I208" s="23" t="str">
        <f>[1]Data2025!J207</f>
        <v>28/02/2025</v>
      </c>
      <c r="J208" s="24" t="str">
        <f>[1]Data2025!L207</f>
        <v>Kudapan Rapat Rutin Bulanan</v>
      </c>
      <c r="K208" s="24" t="str">
        <f>[1]Data2025!M207</f>
        <v>Kue Besar</v>
      </c>
      <c r="L208" s="25">
        <f>[1]Data2025!N207</f>
        <v>60</v>
      </c>
      <c r="M208" s="25" t="str">
        <f>[1]Data2025!O207</f>
        <v>buah</v>
      </c>
      <c r="N208" s="26">
        <f>[1]Data2025!P207</f>
        <v>15000</v>
      </c>
      <c r="O208" s="27">
        <f>[1]Data2025!Q207</f>
        <v>900000</v>
      </c>
      <c r="P208" s="28" t="s">
        <v>58</v>
      </c>
      <c r="Q208" s="29" t="str">
        <f>VLOOKUP(K208,[1]Sheet1!$C$1:$D$101,2,)</f>
        <v>Kue (bahan tepung terigu, gula, telur, mentega; berat 100gr, panjang 15cm, lebar 8 cm)</v>
      </c>
      <c r="R208" s="30">
        <v>2475000</v>
      </c>
      <c r="S208" s="31">
        <v>2541000</v>
      </c>
      <c r="T208" s="32" t="str">
        <f>[1]Data2025!T207</f>
        <v>Rumah Roti Helena</v>
      </c>
      <c r="U208" s="33" t="s">
        <v>35</v>
      </c>
      <c r="V208" s="32" t="str">
        <f>[1]Data2025!V207</f>
        <v>Fudi Supiyanto</v>
      </c>
      <c r="W208" s="32" t="str">
        <f>[1]Data2025!X207</f>
        <v>Jln Ahmad Yani No.89 Kel. Pasar Telukdalam, Nias Selatan</v>
      </c>
      <c r="X208" s="33" t="s">
        <v>78</v>
      </c>
      <c r="Y208" s="33" t="str">
        <f t="shared" si="12"/>
        <v>Kudapan</v>
      </c>
      <c r="Z208" s="34" t="str">
        <f t="shared" si="13"/>
        <v>Kudapan</v>
      </c>
      <c r="AA208" s="35" t="s">
        <v>77</v>
      </c>
      <c r="AB208" s="36">
        <v>75000</v>
      </c>
      <c r="AC208" s="36">
        <v>2475000</v>
      </c>
      <c r="AD208" s="30">
        <v>2475000</v>
      </c>
      <c r="AE208" s="37">
        <v>2229729.7297297297</v>
      </c>
      <c r="AF208" s="37">
        <v>2475000</v>
      </c>
      <c r="AG208" s="38" t="s">
        <v>38</v>
      </c>
      <c r="AH208" s="39" t="str">
        <f>[1]Data2025!W207</f>
        <v>082164895397</v>
      </c>
    </row>
    <row r="209" spans="1:34" ht="16.5" thickTop="1" thickBot="1">
      <c r="A209" s="41">
        <f>[1]Data2025!G208</f>
        <v>76</v>
      </c>
      <c r="B209" s="42" t="str">
        <f>[1]Data2025!K208</f>
        <v>BNU18</v>
      </c>
      <c r="C209" s="43" t="str">
        <f>[1]Data2025!D208</f>
        <v>07. 12. 01.</v>
      </c>
      <c r="D209" s="44" t="str">
        <f>[1]Data2025!C208</f>
        <v>5.1.02.02.01.0013</v>
      </c>
      <c r="E209" s="45">
        <f>[1]Data2025!E208</f>
        <v>45714</v>
      </c>
      <c r="F209" s="46" t="str">
        <f>[1]Data2025!F208</f>
        <v>28/02/2025</v>
      </c>
      <c r="G209" s="45" t="str">
        <f>[1]Data2025!H208</f>
        <v>28/02/2025</v>
      </c>
      <c r="H209" s="45" t="str">
        <f t="shared" si="11"/>
        <v>28/02/2025</v>
      </c>
      <c r="I209" s="47" t="str">
        <f>[1]Data2025!J208</f>
        <v>28/02/2025</v>
      </c>
      <c r="J209" s="48" t="str">
        <f>[1]Data2025!L208</f>
        <v>Selatieli Nehe</v>
      </c>
      <c r="K209" s="48" t="str">
        <f>[1]Data2025!M208</f>
        <v>Gaji Guru Tidak Tetap Sekolah</v>
      </c>
      <c r="L209" s="49">
        <f>[1]Data2025!N208</f>
        <v>41</v>
      </c>
      <c r="M209" s="49" t="str">
        <f>[1]Data2025!O208</f>
        <v>jpl</v>
      </c>
      <c r="N209" s="50">
        <f>[1]Data2025!P208</f>
        <v>60000</v>
      </c>
      <c r="O209" s="51">
        <f>[1]Data2025!Q208</f>
        <v>2460000</v>
      </c>
      <c r="P209" s="52" t="s">
        <v>76</v>
      </c>
      <c r="Q209" s="53" t="e">
        <f>VLOOKUP(K209,[1]Sheet1!$C$1:$D$101,2,)</f>
        <v>#N/A</v>
      </c>
      <c r="R209" s="54">
        <v>2100000</v>
      </c>
      <c r="S209" s="55">
        <v>2156000</v>
      </c>
      <c r="T209" s="56">
        <f>[1]Data2025!T208</f>
        <v>0</v>
      </c>
      <c r="U209" s="57" t="s">
        <v>35</v>
      </c>
      <c r="V209" s="56" t="e">
        <f>[1]Data2025!V208</f>
        <v>#N/A</v>
      </c>
      <c r="W209" s="56" t="e">
        <f>[1]Data2025!X208</f>
        <v>#N/A</v>
      </c>
      <c r="X209" s="57" t="s">
        <v>78</v>
      </c>
      <c r="Y209" s="57" t="str">
        <f t="shared" si="12"/>
        <v>Honorarium</v>
      </c>
      <c r="Z209" s="58" t="str">
        <f t="shared" si="13"/>
        <v>Honorarium</v>
      </c>
      <c r="AA209" s="59" t="s">
        <v>77</v>
      </c>
      <c r="AB209" s="60">
        <v>75000</v>
      </c>
      <c r="AC209" s="60">
        <v>2100000</v>
      </c>
      <c r="AD209" s="54">
        <v>2100000</v>
      </c>
      <c r="AE209" s="61">
        <v>1891891.8918918918</v>
      </c>
      <c r="AF209" s="61">
        <v>2100000</v>
      </c>
      <c r="AG209" s="62" t="s">
        <v>38</v>
      </c>
      <c r="AH209" s="63" t="e">
        <f>[1]Data2025!W208</f>
        <v>#N/A</v>
      </c>
    </row>
    <row r="210" spans="1:34" ht="16.5" thickTop="1" thickBot="1">
      <c r="A210" s="41">
        <f>[1]Data2025!G209</f>
        <v>77</v>
      </c>
      <c r="B210" s="42" t="str">
        <f>[1]Data2025!K209</f>
        <v>BNU19</v>
      </c>
      <c r="C210" s="43" t="str">
        <f>[1]Data2025!D209</f>
        <v>07. 12. 01.</v>
      </c>
      <c r="D210" s="44" t="str">
        <f>[1]Data2025!C209</f>
        <v>5.1.02.02.01.0013</v>
      </c>
      <c r="E210" s="45">
        <f>[1]Data2025!E209</f>
        <v>45714</v>
      </c>
      <c r="F210" s="46" t="str">
        <f>[1]Data2025!F209</f>
        <v>28/02/2025</v>
      </c>
      <c r="G210" s="45" t="str">
        <f>[1]Data2025!H209</f>
        <v>28/02/2025</v>
      </c>
      <c r="H210" s="45" t="str">
        <f t="shared" si="11"/>
        <v>28/02/2025</v>
      </c>
      <c r="I210" s="47" t="str">
        <f>[1]Data2025!J209</f>
        <v>28/02/2025</v>
      </c>
      <c r="J210" s="48" t="str">
        <f>[1]Data2025!L209</f>
        <v>Arifin Metodi Bate'e</v>
      </c>
      <c r="K210" s="48" t="str">
        <f>[1]Data2025!M209</f>
        <v>Gaji Guru Tidak Tetap Sekolah</v>
      </c>
      <c r="L210" s="49">
        <f>[1]Data2025!N209</f>
        <v>34</v>
      </c>
      <c r="M210" s="49" t="str">
        <f>[1]Data2025!O209</f>
        <v>jpl</v>
      </c>
      <c r="N210" s="50">
        <f>[1]Data2025!P209</f>
        <v>60000</v>
      </c>
      <c r="O210" s="51">
        <f>[1]Data2025!Q209</f>
        <v>2040000</v>
      </c>
      <c r="P210" s="52" t="s">
        <v>76</v>
      </c>
      <c r="Q210" s="53" t="e">
        <f>VLOOKUP(K210,[1]Sheet1!$C$1:$D$101,2,)</f>
        <v>#N/A</v>
      </c>
      <c r="R210" s="54">
        <v>2475000</v>
      </c>
      <c r="S210" s="55">
        <v>2541000</v>
      </c>
      <c r="T210" s="56">
        <f>[1]Data2025!T209</f>
        <v>0</v>
      </c>
      <c r="U210" s="57" t="s">
        <v>35</v>
      </c>
      <c r="V210" s="56" t="e">
        <f>[1]Data2025!V209</f>
        <v>#N/A</v>
      </c>
      <c r="W210" s="56" t="e">
        <f>[1]Data2025!X209</f>
        <v>#N/A</v>
      </c>
      <c r="X210" s="57" t="s">
        <v>78</v>
      </c>
      <c r="Y210" s="57" t="str">
        <f t="shared" si="12"/>
        <v>Honorarium</v>
      </c>
      <c r="Z210" s="58" t="str">
        <f t="shared" si="13"/>
        <v>Honorarium</v>
      </c>
      <c r="AA210" s="59" t="s">
        <v>77</v>
      </c>
      <c r="AB210" s="60">
        <v>75000</v>
      </c>
      <c r="AC210" s="60">
        <v>2475000</v>
      </c>
      <c r="AD210" s="54">
        <v>2475000</v>
      </c>
      <c r="AE210" s="61">
        <v>2229729.7297297297</v>
      </c>
      <c r="AF210" s="61">
        <v>2475000</v>
      </c>
      <c r="AG210" s="62" t="s">
        <v>38</v>
      </c>
      <c r="AH210" s="63" t="e">
        <f>[1]Data2025!W209</f>
        <v>#N/A</v>
      </c>
    </row>
    <row r="211" spans="1:34" ht="16.5" thickTop="1" thickBot="1">
      <c r="A211" s="41">
        <f>[1]Data2025!G210</f>
        <v>78</v>
      </c>
      <c r="B211" s="42" t="str">
        <f>[1]Data2025!K210</f>
        <v>BNU20</v>
      </c>
      <c r="C211" s="43" t="str">
        <f>[1]Data2025!D210</f>
        <v>07. 12. 01.</v>
      </c>
      <c r="D211" s="44" t="str">
        <f>[1]Data2025!C210</f>
        <v>5.1.02.02.01.0013</v>
      </c>
      <c r="E211" s="45">
        <f>[1]Data2025!E210</f>
        <v>45714</v>
      </c>
      <c r="F211" s="46" t="str">
        <f>[1]Data2025!F210</f>
        <v>28/02/2025</v>
      </c>
      <c r="G211" s="45" t="str">
        <f>[1]Data2025!H210</f>
        <v>28/02/2025</v>
      </c>
      <c r="H211" s="45" t="str">
        <f t="shared" si="11"/>
        <v>28/02/2025</v>
      </c>
      <c r="I211" s="47" t="str">
        <f>[1]Data2025!J210</f>
        <v>28/02/2025</v>
      </c>
      <c r="J211" s="48" t="str">
        <f>[1]Data2025!L210</f>
        <v>Ferdiwati Wau</v>
      </c>
      <c r="K211" s="48" t="str">
        <f>[1]Data2025!M210</f>
        <v>Gaji Guru Tidak Tetap Sekolah</v>
      </c>
      <c r="L211" s="49">
        <f>[1]Data2025!N210</f>
        <v>34</v>
      </c>
      <c r="M211" s="49" t="str">
        <f>[1]Data2025!O210</f>
        <v>jpl</v>
      </c>
      <c r="N211" s="50">
        <f>[1]Data2025!P210</f>
        <v>60000</v>
      </c>
      <c r="O211" s="51">
        <f>[1]Data2025!Q210</f>
        <v>2040000</v>
      </c>
      <c r="P211" s="52" t="s">
        <v>76</v>
      </c>
      <c r="Q211" s="53" t="e">
        <f>VLOOKUP(K211,[1]Sheet1!$C$1:$D$101,2,)</f>
        <v>#N/A</v>
      </c>
      <c r="R211" s="54">
        <v>2000000</v>
      </c>
      <c r="S211" s="55">
        <v>2002000</v>
      </c>
      <c r="T211" s="56">
        <f>[1]Data2025!T210</f>
        <v>0</v>
      </c>
      <c r="U211" s="57" t="s">
        <v>35</v>
      </c>
      <c r="V211" s="56" t="e">
        <f>[1]Data2025!V210</f>
        <v>#N/A</v>
      </c>
      <c r="W211" s="56" t="e">
        <f>[1]Data2025!X210</f>
        <v>#N/A</v>
      </c>
      <c r="X211" s="57" t="s">
        <v>78</v>
      </c>
      <c r="Y211" s="57" t="str">
        <f t="shared" si="12"/>
        <v>Honorarium</v>
      </c>
      <c r="Z211" s="58" t="str">
        <f t="shared" si="13"/>
        <v>Honorarium</v>
      </c>
      <c r="AA211" s="59" t="s">
        <v>73</v>
      </c>
      <c r="AB211" s="60">
        <v>2000000</v>
      </c>
      <c r="AC211" s="60">
        <v>2000000</v>
      </c>
      <c r="AD211" s="54">
        <v>2000000</v>
      </c>
      <c r="AE211" s="61">
        <v>1801801.8018018019</v>
      </c>
      <c r="AF211" s="61">
        <v>2000000</v>
      </c>
      <c r="AG211" s="62" t="s">
        <v>38</v>
      </c>
      <c r="AH211" s="63" t="e">
        <f>[1]Data2025!W210</f>
        <v>#N/A</v>
      </c>
    </row>
    <row r="212" spans="1:34" ht="16.5" thickTop="1" thickBot="1">
      <c r="A212" s="41">
        <f>[1]Data2025!G211</f>
        <v>79</v>
      </c>
      <c r="B212" s="42" t="str">
        <f>[1]Data2025!K211</f>
        <v>BNU21</v>
      </c>
      <c r="C212" s="43" t="str">
        <f>[1]Data2025!D211</f>
        <v>07. 12. 01.</v>
      </c>
      <c r="D212" s="44" t="str">
        <f>[1]Data2025!C211</f>
        <v>5.1.02.02.01.0013</v>
      </c>
      <c r="E212" s="45">
        <f>[1]Data2025!E211</f>
        <v>45714</v>
      </c>
      <c r="F212" s="46" t="str">
        <f>[1]Data2025!F211</f>
        <v>28/02/2025</v>
      </c>
      <c r="G212" s="45" t="str">
        <f>[1]Data2025!H211</f>
        <v>28/02/2025</v>
      </c>
      <c r="H212" s="45" t="str">
        <f t="shared" si="11"/>
        <v>28/02/2025</v>
      </c>
      <c r="I212" s="47" t="str">
        <f>[1]Data2025!J211</f>
        <v>28/02/2025</v>
      </c>
      <c r="J212" s="48" t="str">
        <f>[1]Data2025!L211</f>
        <v>Noni Alfanita Sarumaha, S.Pd</v>
      </c>
      <c r="K212" s="48" t="str">
        <f>[1]Data2025!M211</f>
        <v>Gaji Guru Tidak Tetap Sekolah</v>
      </c>
      <c r="L212" s="49">
        <f>[1]Data2025!N211</f>
        <v>37</v>
      </c>
      <c r="M212" s="49" t="str">
        <f>[1]Data2025!O211</f>
        <v>jpl</v>
      </c>
      <c r="N212" s="50">
        <f>[1]Data2025!P211</f>
        <v>60000</v>
      </c>
      <c r="O212" s="51">
        <f>[1]Data2025!Q211</f>
        <v>2220000</v>
      </c>
      <c r="P212" s="52" t="s">
        <v>76</v>
      </c>
      <c r="Q212" s="53" t="e">
        <f>VLOOKUP(K212,[1]Sheet1!$C$1:$D$101,2,)</f>
        <v>#N/A</v>
      </c>
      <c r="R212" s="54">
        <v>2000000</v>
      </c>
      <c r="S212" s="55">
        <v>2002000</v>
      </c>
      <c r="T212" s="56">
        <f>[1]Data2025!T211</f>
        <v>0</v>
      </c>
      <c r="U212" s="57" t="s">
        <v>35</v>
      </c>
      <c r="V212" s="56" t="e">
        <f>[1]Data2025!V211</f>
        <v>#N/A</v>
      </c>
      <c r="W212" s="56" t="e">
        <f>[1]Data2025!X211</f>
        <v>#N/A</v>
      </c>
      <c r="X212" s="57" t="s">
        <v>78</v>
      </c>
      <c r="Y212" s="57" t="str">
        <f t="shared" si="12"/>
        <v>Honorarium</v>
      </c>
      <c r="Z212" s="58" t="str">
        <f t="shared" si="13"/>
        <v>Honorarium</v>
      </c>
      <c r="AA212" s="59" t="s">
        <v>73</v>
      </c>
      <c r="AB212" s="60">
        <v>2000000</v>
      </c>
      <c r="AC212" s="60">
        <v>2000000</v>
      </c>
      <c r="AD212" s="54">
        <v>2000000</v>
      </c>
      <c r="AE212" s="61">
        <v>1801801.8018018019</v>
      </c>
      <c r="AF212" s="61">
        <v>2000000</v>
      </c>
      <c r="AG212" s="62" t="s">
        <v>38</v>
      </c>
      <c r="AH212" s="63" t="e">
        <f>[1]Data2025!W211</f>
        <v>#N/A</v>
      </c>
    </row>
    <row r="213" spans="1:34" ht="16.5" thickTop="1" thickBot="1">
      <c r="A213" s="41">
        <f>[1]Data2025!G212</f>
        <v>80</v>
      </c>
      <c r="B213" s="42" t="str">
        <f>[1]Data2025!K212</f>
        <v>BNU22</v>
      </c>
      <c r="C213" s="43" t="str">
        <f>[1]Data2025!D212</f>
        <v>07. 12. 01.</v>
      </c>
      <c r="D213" s="44" t="str">
        <f>[1]Data2025!C212</f>
        <v>5.1.02.02.01.0013</v>
      </c>
      <c r="E213" s="45">
        <f>[1]Data2025!E212</f>
        <v>45714</v>
      </c>
      <c r="F213" s="46" t="str">
        <f>[1]Data2025!F212</f>
        <v>28/02/2025</v>
      </c>
      <c r="G213" s="45" t="str">
        <f>[1]Data2025!H212</f>
        <v>28/02/2025</v>
      </c>
      <c r="H213" s="45" t="str">
        <f t="shared" si="11"/>
        <v>28/02/2025</v>
      </c>
      <c r="I213" s="47" t="str">
        <f>[1]Data2025!J212</f>
        <v>28/02/2025</v>
      </c>
      <c r="J213" s="48" t="str">
        <f>[1]Data2025!L212</f>
        <v>EMILA HAFO</v>
      </c>
      <c r="K213" s="48" t="str">
        <f>[1]Data2025!M212</f>
        <v>Gaji Guru Tidak Tetap Sekolah</v>
      </c>
      <c r="L213" s="49">
        <f>[1]Data2025!N212</f>
        <v>35</v>
      </c>
      <c r="M213" s="49" t="str">
        <f>[1]Data2025!O212</f>
        <v>jpl</v>
      </c>
      <c r="N213" s="50">
        <f>[1]Data2025!P212</f>
        <v>60000</v>
      </c>
      <c r="O213" s="51">
        <f>[1]Data2025!Q212</f>
        <v>2100000</v>
      </c>
      <c r="P213" s="52" t="s">
        <v>76</v>
      </c>
      <c r="Q213" s="53" t="e">
        <f>VLOOKUP(K213,[1]Sheet1!$C$1:$D$101,2,)</f>
        <v>#N/A</v>
      </c>
      <c r="R213" s="54">
        <v>2000000</v>
      </c>
      <c r="S213" s="55">
        <v>2002000</v>
      </c>
      <c r="T213" s="56">
        <f>[1]Data2025!T212</f>
        <v>0</v>
      </c>
      <c r="U213" s="57" t="s">
        <v>35</v>
      </c>
      <c r="V213" s="56" t="e">
        <f>[1]Data2025!V212</f>
        <v>#N/A</v>
      </c>
      <c r="W213" s="56" t="e">
        <f>[1]Data2025!X212</f>
        <v>#N/A</v>
      </c>
      <c r="X213" s="57" t="s">
        <v>78</v>
      </c>
      <c r="Y213" s="57" t="str">
        <f t="shared" si="12"/>
        <v>Honorarium</v>
      </c>
      <c r="Z213" s="58" t="str">
        <f t="shared" si="13"/>
        <v>Honorarium</v>
      </c>
      <c r="AA213" s="59" t="s">
        <v>73</v>
      </c>
      <c r="AB213" s="60">
        <v>2000000</v>
      </c>
      <c r="AC213" s="60">
        <v>2000000</v>
      </c>
      <c r="AD213" s="54">
        <v>2000000</v>
      </c>
      <c r="AE213" s="61">
        <v>1801801.8018018019</v>
      </c>
      <c r="AF213" s="61">
        <v>2000000</v>
      </c>
      <c r="AG213" s="62" t="s">
        <v>38</v>
      </c>
      <c r="AH213" s="63" t="e">
        <f>[1]Data2025!W212</f>
        <v>#N/A</v>
      </c>
    </row>
    <row r="214" spans="1:34" ht="16.5" thickTop="1" thickBot="1">
      <c r="A214" s="41">
        <f>[1]Data2025!G213</f>
        <v>81</v>
      </c>
      <c r="B214" s="42" t="str">
        <f>[1]Data2025!K213</f>
        <v>BNU23</v>
      </c>
      <c r="C214" s="43" t="str">
        <f>[1]Data2025!D213</f>
        <v>07. 12. 01.</v>
      </c>
      <c r="D214" s="44" t="str">
        <f>[1]Data2025!C213</f>
        <v>5.1.02.02.01.0013</v>
      </c>
      <c r="E214" s="45">
        <f>[1]Data2025!E213</f>
        <v>45714</v>
      </c>
      <c r="F214" s="46" t="str">
        <f>[1]Data2025!F213</f>
        <v>28/02/2025</v>
      </c>
      <c r="G214" s="45" t="str">
        <f>[1]Data2025!H213</f>
        <v>28/02/2025</v>
      </c>
      <c r="H214" s="45" t="str">
        <f t="shared" si="11"/>
        <v>28/02/2025</v>
      </c>
      <c r="I214" s="47" t="str">
        <f>[1]Data2025!J213</f>
        <v>28/02/2025</v>
      </c>
      <c r="J214" s="48" t="str">
        <f>[1]Data2025!L213</f>
        <v>Asep Nurhidayat</v>
      </c>
      <c r="K214" s="48" t="str">
        <f>[1]Data2025!M213</f>
        <v>Gaji Guru Tidak Tetap Sekolah</v>
      </c>
      <c r="L214" s="49">
        <f>[1]Data2025!N213</f>
        <v>21</v>
      </c>
      <c r="M214" s="49" t="str">
        <f>[1]Data2025!O213</f>
        <v>jpl</v>
      </c>
      <c r="N214" s="50">
        <f>[1]Data2025!P213</f>
        <v>60000</v>
      </c>
      <c r="O214" s="51">
        <f>[1]Data2025!Q213</f>
        <v>1260000</v>
      </c>
      <c r="P214" s="52" t="s">
        <v>76</v>
      </c>
      <c r="Q214" s="53" t="e">
        <f>VLOOKUP(K214,[1]Sheet1!$C$1:$D$101,2,)</f>
        <v>#N/A</v>
      </c>
      <c r="R214" s="54">
        <v>2000000</v>
      </c>
      <c r="S214" s="55">
        <v>2002000</v>
      </c>
      <c r="T214" s="56">
        <f>[1]Data2025!T213</f>
        <v>0</v>
      </c>
      <c r="U214" s="57" t="s">
        <v>35</v>
      </c>
      <c r="V214" s="56" t="e">
        <f>[1]Data2025!V213</f>
        <v>#N/A</v>
      </c>
      <c r="W214" s="56" t="e">
        <f>[1]Data2025!X213</f>
        <v>#N/A</v>
      </c>
      <c r="X214" s="57" t="s">
        <v>78</v>
      </c>
      <c r="Y214" s="57" t="str">
        <f t="shared" si="12"/>
        <v>Honorarium</v>
      </c>
      <c r="Z214" s="58" t="str">
        <f t="shared" si="13"/>
        <v>Honorarium</v>
      </c>
      <c r="AA214" s="59" t="s">
        <v>73</v>
      </c>
      <c r="AB214" s="60">
        <v>2000000</v>
      </c>
      <c r="AC214" s="60">
        <v>2000000</v>
      </c>
      <c r="AD214" s="54">
        <v>2000000</v>
      </c>
      <c r="AE214" s="61">
        <v>1801801.8018018019</v>
      </c>
      <c r="AF214" s="61">
        <v>2000000</v>
      </c>
      <c r="AG214" s="62" t="s">
        <v>38</v>
      </c>
      <c r="AH214" s="63" t="e">
        <f>[1]Data2025!W213</f>
        <v>#N/A</v>
      </c>
    </row>
    <row r="215" spans="1:34" ht="16.5" thickTop="1" thickBot="1">
      <c r="A215" s="41">
        <f>[1]Data2025!G214</f>
        <v>82</v>
      </c>
      <c r="B215" s="42" t="str">
        <f>[1]Data2025!K214</f>
        <v>BNU24</v>
      </c>
      <c r="C215" s="43" t="str">
        <f>[1]Data2025!D214</f>
        <v>07. 12. 01.</v>
      </c>
      <c r="D215" s="44" t="str">
        <f>[1]Data2025!C214</f>
        <v>5.1.02.02.01.0013</v>
      </c>
      <c r="E215" s="45">
        <f>[1]Data2025!E214</f>
        <v>45714</v>
      </c>
      <c r="F215" s="46" t="str">
        <f>[1]Data2025!F214</f>
        <v>28/02/2025</v>
      </c>
      <c r="G215" s="45" t="str">
        <f>[1]Data2025!H214</f>
        <v>28/02/2025</v>
      </c>
      <c r="H215" s="45" t="str">
        <f t="shared" si="11"/>
        <v>28/02/2025</v>
      </c>
      <c r="I215" s="47" t="str">
        <f>[1]Data2025!J214</f>
        <v>28/02/2025</v>
      </c>
      <c r="J215" s="48" t="str">
        <f>[1]Data2025!L214</f>
        <v>Amonius Dakhi</v>
      </c>
      <c r="K215" s="48" t="str">
        <f>[1]Data2025!M214</f>
        <v>Gaji Guru Tidak Tetap Sekolah</v>
      </c>
      <c r="L215" s="49">
        <f>[1]Data2025!N214</f>
        <v>24</v>
      </c>
      <c r="M215" s="49" t="str">
        <f>[1]Data2025!O214</f>
        <v>orang / jam pelajaran</v>
      </c>
      <c r="N215" s="50">
        <f>[1]Data2025!P214</f>
        <v>50000</v>
      </c>
      <c r="O215" s="51">
        <f>[1]Data2025!Q214</f>
        <v>1200000</v>
      </c>
      <c r="P215" s="52" t="s">
        <v>76</v>
      </c>
      <c r="Q215" s="53" t="e">
        <f>VLOOKUP(K215,[1]Sheet1!$C$1:$D$101,2,)</f>
        <v>#N/A</v>
      </c>
      <c r="R215" s="54">
        <v>2000000</v>
      </c>
      <c r="S215" s="55">
        <v>2002000</v>
      </c>
      <c r="T215" s="56">
        <f>[1]Data2025!T214</f>
        <v>0</v>
      </c>
      <c r="U215" s="57" t="s">
        <v>35</v>
      </c>
      <c r="V215" s="56" t="e">
        <f>[1]Data2025!V214</f>
        <v>#N/A</v>
      </c>
      <c r="W215" s="56" t="e">
        <f>[1]Data2025!X214</f>
        <v>#N/A</v>
      </c>
      <c r="X215" s="57" t="s">
        <v>78</v>
      </c>
      <c r="Y215" s="57" t="str">
        <f t="shared" si="12"/>
        <v>Honorarium</v>
      </c>
      <c r="Z215" s="58" t="str">
        <f t="shared" si="13"/>
        <v>Honorarium</v>
      </c>
      <c r="AA215" s="59" t="s">
        <v>73</v>
      </c>
      <c r="AB215" s="60">
        <v>2000000</v>
      </c>
      <c r="AC215" s="60">
        <v>2000000</v>
      </c>
      <c r="AD215" s="54">
        <v>2000000</v>
      </c>
      <c r="AE215" s="61">
        <v>1801801.8018018019</v>
      </c>
      <c r="AF215" s="61">
        <v>2000000</v>
      </c>
      <c r="AG215" s="62" t="s">
        <v>38</v>
      </c>
      <c r="AH215" s="63" t="e">
        <f>[1]Data2025!W214</f>
        <v>#N/A</v>
      </c>
    </row>
    <row r="216" spans="1:34" ht="16.5" thickTop="1" thickBot="1">
      <c r="A216" s="41">
        <f>[1]Data2025!G215</f>
        <v>83</v>
      </c>
      <c r="B216" s="42" t="str">
        <f>[1]Data2025!K215</f>
        <v>BNU25</v>
      </c>
      <c r="C216" s="43" t="str">
        <f>[1]Data2025!D215</f>
        <v>07. 12. 01.</v>
      </c>
      <c r="D216" s="44" t="str">
        <f>[1]Data2025!C215</f>
        <v>5.1.02.02.01.0013</v>
      </c>
      <c r="E216" s="45">
        <f>[1]Data2025!E215</f>
        <v>45714</v>
      </c>
      <c r="F216" s="46" t="str">
        <f>[1]Data2025!F215</f>
        <v>28/02/2025</v>
      </c>
      <c r="G216" s="45" t="str">
        <f>[1]Data2025!H215</f>
        <v>28/02/2025</v>
      </c>
      <c r="H216" s="45" t="str">
        <f t="shared" si="11"/>
        <v>28/02/2025</v>
      </c>
      <c r="I216" s="47" t="str">
        <f>[1]Data2025!J215</f>
        <v>28/02/2025</v>
      </c>
      <c r="J216" s="48" t="str">
        <f>[1]Data2025!L215</f>
        <v>NELPI KARIANA WATI GOHAE</v>
      </c>
      <c r="K216" s="48" t="str">
        <f>[1]Data2025!M215</f>
        <v>Gaji Guru Tidak Tetap Sekolah</v>
      </c>
      <c r="L216" s="49">
        <f>[1]Data2025!N215</f>
        <v>24</v>
      </c>
      <c r="M216" s="49" t="str">
        <f>[1]Data2025!O215</f>
        <v>orang / jam pelajaran</v>
      </c>
      <c r="N216" s="50">
        <f>[1]Data2025!P215</f>
        <v>50000</v>
      </c>
      <c r="O216" s="51">
        <f>[1]Data2025!Q215</f>
        <v>1200000</v>
      </c>
      <c r="P216" s="52" t="s">
        <v>76</v>
      </c>
      <c r="Q216" s="53" t="e">
        <f>VLOOKUP(K216,[1]Sheet1!$C$1:$D$101,2,)</f>
        <v>#N/A</v>
      </c>
      <c r="R216" s="54">
        <v>1000000</v>
      </c>
      <c r="S216" s="55">
        <v>1002000</v>
      </c>
      <c r="T216" s="56">
        <f>[1]Data2025!T215</f>
        <v>0</v>
      </c>
      <c r="U216" s="57" t="s">
        <v>35</v>
      </c>
      <c r="V216" s="56" t="e">
        <f>[1]Data2025!V215</f>
        <v>#N/A</v>
      </c>
      <c r="W216" s="56" t="e">
        <f>[1]Data2025!X215</f>
        <v>#N/A</v>
      </c>
      <c r="X216" s="57" t="s">
        <v>78</v>
      </c>
      <c r="Y216" s="57" t="str">
        <f t="shared" si="12"/>
        <v>Honorarium</v>
      </c>
      <c r="Z216" s="58" t="str">
        <f t="shared" si="13"/>
        <v>Honorarium</v>
      </c>
      <c r="AA216" s="59" t="s">
        <v>73</v>
      </c>
      <c r="AB216" s="60">
        <v>1000000</v>
      </c>
      <c r="AC216" s="60">
        <v>1000000</v>
      </c>
      <c r="AD216" s="54">
        <v>1000000</v>
      </c>
      <c r="AE216" s="61">
        <v>900900.90090090095</v>
      </c>
      <c r="AF216" s="61">
        <v>1000000</v>
      </c>
      <c r="AG216" s="62" t="s">
        <v>38</v>
      </c>
      <c r="AH216" s="63" t="e">
        <f>[1]Data2025!W215</f>
        <v>#N/A</v>
      </c>
    </row>
    <row r="217" spans="1:34" ht="26" thickTop="1" thickBot="1">
      <c r="A217" s="41">
        <f>[1]Data2025!G216</f>
        <v>84</v>
      </c>
      <c r="B217" s="42" t="str">
        <f>[1]Data2025!K216</f>
        <v>BNU26</v>
      </c>
      <c r="C217" s="43" t="str">
        <f>[1]Data2025!D216</f>
        <v>07. 12. 01.</v>
      </c>
      <c r="D217" s="44" t="str">
        <f>[1]Data2025!C216</f>
        <v>5.1.02.02.01.0013</v>
      </c>
      <c r="E217" s="45">
        <f>[1]Data2025!E216</f>
        <v>45714</v>
      </c>
      <c r="F217" s="46" t="str">
        <f>[1]Data2025!F216</f>
        <v>28/02/2025</v>
      </c>
      <c r="G217" s="45" t="str">
        <f>[1]Data2025!H216</f>
        <v>28/02/2025</v>
      </c>
      <c r="H217" s="45" t="str">
        <f t="shared" si="11"/>
        <v>28/02/2025</v>
      </c>
      <c r="I217" s="47" t="str">
        <f>[1]Data2025!J216</f>
        <v>28/02/2025</v>
      </c>
      <c r="J217" s="48" t="str">
        <f>[1]Data2025!L216</f>
        <v>MERCY GRACE KARTIKA SARI ZAGOTO (1558776677230122)</v>
      </c>
      <c r="K217" s="48" t="str">
        <f>[1]Data2025!M216</f>
        <v>Gaji Guru Tidak Tetap Sekolah</v>
      </c>
      <c r="L217" s="49">
        <f>[1]Data2025!N216</f>
        <v>35</v>
      </c>
      <c r="M217" s="49" t="str">
        <f>[1]Data2025!O216</f>
        <v>orang / jam pelajaran</v>
      </c>
      <c r="N217" s="50">
        <f>[1]Data2025!P216</f>
        <v>50000</v>
      </c>
      <c r="O217" s="51">
        <f>[1]Data2025!Q216</f>
        <v>1750000</v>
      </c>
      <c r="P217" s="52" t="s">
        <v>76</v>
      </c>
      <c r="Q217" s="53" t="e">
        <f>VLOOKUP(K217,[1]Sheet1!$C$1:$D$101,2,)</f>
        <v>#N/A</v>
      </c>
      <c r="R217" s="54">
        <v>1500000</v>
      </c>
      <c r="S217" s="55">
        <v>1510000</v>
      </c>
      <c r="T217" s="56">
        <f>[1]Data2025!T216</f>
        <v>0</v>
      </c>
      <c r="U217" s="57" t="s">
        <v>35</v>
      </c>
      <c r="V217" s="56" t="e">
        <f>[1]Data2025!V216</f>
        <v>#N/A</v>
      </c>
      <c r="W217" s="56" t="e">
        <f>[1]Data2025!X216</f>
        <v>#N/A</v>
      </c>
      <c r="X217" s="57" t="s">
        <v>78</v>
      </c>
      <c r="Y217" s="57" t="str">
        <f t="shared" si="12"/>
        <v>Honorarium</v>
      </c>
      <c r="Z217" s="58" t="str">
        <f t="shared" si="13"/>
        <v>Honorarium</v>
      </c>
      <c r="AA217" s="59" t="s">
        <v>80</v>
      </c>
      <c r="AB217" s="60">
        <v>300000</v>
      </c>
      <c r="AC217" s="60">
        <v>1500000</v>
      </c>
      <c r="AD217" s="54">
        <v>1500000</v>
      </c>
      <c r="AE217" s="61">
        <v>1351351.3513513515</v>
      </c>
      <c r="AF217" s="61">
        <v>1500000</v>
      </c>
      <c r="AG217" s="62" t="s">
        <v>38</v>
      </c>
      <c r="AH217" s="63" t="e">
        <f>[1]Data2025!W216</f>
        <v>#N/A</v>
      </c>
    </row>
    <row r="218" spans="1:34" ht="16.5" thickTop="1" thickBot="1">
      <c r="A218" s="41">
        <f>[1]Data2025!G217</f>
        <v>85</v>
      </c>
      <c r="B218" s="42" t="str">
        <f>[1]Data2025!K217</f>
        <v>BNU27</v>
      </c>
      <c r="C218" s="43" t="str">
        <f>[1]Data2025!D217</f>
        <v>07. 12. 02.</v>
      </c>
      <c r="D218" s="44" t="str">
        <f>[1]Data2025!C217</f>
        <v>5.1.02.02.01.0026</v>
      </c>
      <c r="E218" s="45">
        <f>[1]Data2025!E217</f>
        <v>45714</v>
      </c>
      <c r="F218" s="46" t="str">
        <f>[1]Data2025!F217</f>
        <v>28/02/2025</v>
      </c>
      <c r="G218" s="45" t="str">
        <f>[1]Data2025!H217</f>
        <v>28/02/2025</v>
      </c>
      <c r="H218" s="45" t="str">
        <f t="shared" si="11"/>
        <v>28/02/2025</v>
      </c>
      <c r="I218" s="47" t="str">
        <f>[1]Data2025!J217</f>
        <v>28/02/2025</v>
      </c>
      <c r="J218" s="48" t="str">
        <f>[1]Data2025!L217</f>
        <v>Estera Nehe</v>
      </c>
      <c r="K218" s="48" t="str">
        <f>[1]Data2025!M217</f>
        <v>Gaji Pegawai Tidak Tetap Sekolah</v>
      </c>
      <c r="L218" s="49">
        <f>[1]Data2025!N217</f>
        <v>1</v>
      </c>
      <c r="M218" s="49" t="str">
        <f>[1]Data2025!O217</f>
        <v>bulan</v>
      </c>
      <c r="N218" s="50">
        <f>[1]Data2025!P217</f>
        <v>2000000</v>
      </c>
      <c r="O218" s="51">
        <f>[1]Data2025!Q217</f>
        <v>2000000</v>
      </c>
      <c r="P218" s="52" t="s">
        <v>76</v>
      </c>
      <c r="Q218" s="53" t="e">
        <f>VLOOKUP(K218,[1]Sheet1!$C$1:$D$101,2,)</f>
        <v>#N/A</v>
      </c>
      <c r="R218" s="54">
        <v>900000</v>
      </c>
      <c r="S218" s="55">
        <v>1020000</v>
      </c>
      <c r="T218" s="56">
        <f>[1]Data2025!T217</f>
        <v>0</v>
      </c>
      <c r="U218" s="57" t="s">
        <v>60</v>
      </c>
      <c r="V218" s="56" t="e">
        <f>[1]Data2025!V217</f>
        <v>#N/A</v>
      </c>
      <c r="W218" s="56" t="e">
        <f>[1]Data2025!X217</f>
        <v>#N/A</v>
      </c>
      <c r="X218" s="57" t="s">
        <v>61</v>
      </c>
      <c r="Y218" s="57" t="str">
        <f t="shared" si="12"/>
        <v>Honorarium</v>
      </c>
      <c r="Z218" s="58" t="str">
        <f t="shared" si="13"/>
        <v>Honorarium</v>
      </c>
      <c r="AA218" s="59" t="s">
        <v>42</v>
      </c>
      <c r="AB218" s="60">
        <v>15000</v>
      </c>
      <c r="AC218" s="60">
        <v>900000</v>
      </c>
      <c r="AD218" s="54">
        <v>900000</v>
      </c>
      <c r="AE218" s="61">
        <v>810810.81081081077</v>
      </c>
      <c r="AF218" s="61">
        <v>900000</v>
      </c>
      <c r="AG218" s="62" t="s">
        <v>38</v>
      </c>
      <c r="AH218" s="63" t="e">
        <f>[1]Data2025!W217</f>
        <v>#N/A</v>
      </c>
    </row>
    <row r="219" spans="1:34" ht="16.5" thickTop="1" thickBot="1">
      <c r="A219" s="41">
        <f>[1]Data2025!G218</f>
        <v>86</v>
      </c>
      <c r="B219" s="42" t="str">
        <f>[1]Data2025!K218</f>
        <v>BNU28</v>
      </c>
      <c r="C219" s="43" t="str">
        <f>[1]Data2025!D218</f>
        <v>07. 12. 02.</v>
      </c>
      <c r="D219" s="44" t="str">
        <f>[1]Data2025!C218</f>
        <v>5.1.02.02.01.0026</v>
      </c>
      <c r="E219" s="45">
        <f>[1]Data2025!E218</f>
        <v>45714</v>
      </c>
      <c r="F219" s="46" t="str">
        <f>[1]Data2025!F218</f>
        <v>28/02/2025</v>
      </c>
      <c r="G219" s="45" t="str">
        <f>[1]Data2025!H218</f>
        <v>28/02/2025</v>
      </c>
      <c r="H219" s="45" t="str">
        <f t="shared" si="11"/>
        <v>28/02/2025</v>
      </c>
      <c r="I219" s="47" t="str">
        <f>[1]Data2025!J218</f>
        <v>28/02/2025</v>
      </c>
      <c r="J219" s="48" t="str">
        <f>[1]Data2025!L218</f>
        <v>Hatieli Buulolo</v>
      </c>
      <c r="K219" s="48" t="str">
        <f>[1]Data2025!M218</f>
        <v>Gaji Pegawai Tidak Tetap Sekolah</v>
      </c>
      <c r="L219" s="49">
        <f>[1]Data2025!N218</f>
        <v>1</v>
      </c>
      <c r="M219" s="49" t="str">
        <f>[1]Data2025!O218</f>
        <v>bulan</v>
      </c>
      <c r="N219" s="50">
        <f>[1]Data2025!P218</f>
        <v>2500000</v>
      </c>
      <c r="O219" s="51">
        <f>[1]Data2025!Q218</f>
        <v>2500000</v>
      </c>
      <c r="P219" s="52" t="s">
        <v>76</v>
      </c>
      <c r="Q219" s="53" t="e">
        <f>VLOOKUP(K219,[1]Sheet1!$C$1:$D$101,2,)</f>
        <v>#N/A</v>
      </c>
      <c r="R219" s="54">
        <v>1200000</v>
      </c>
      <c r="S219" s="55">
        <v>1400000</v>
      </c>
      <c r="T219" s="56">
        <f>[1]Data2025!T218</f>
        <v>0</v>
      </c>
      <c r="U219" s="57" t="s">
        <v>35</v>
      </c>
      <c r="V219" s="56" t="e">
        <f>[1]Data2025!V218</f>
        <v>#N/A</v>
      </c>
      <c r="W219" s="56" t="e">
        <f>[1]Data2025!X218</f>
        <v>#N/A</v>
      </c>
      <c r="X219" s="57" t="s">
        <v>36</v>
      </c>
      <c r="Y219" s="57" t="str">
        <f t="shared" si="12"/>
        <v>Honorarium</v>
      </c>
      <c r="Z219" s="58" t="str">
        <f t="shared" si="13"/>
        <v>Honorarium</v>
      </c>
      <c r="AA219" s="59" t="s">
        <v>42</v>
      </c>
      <c r="AB219" s="60">
        <v>12000</v>
      </c>
      <c r="AC219" s="60">
        <v>1200000</v>
      </c>
      <c r="AD219" s="54">
        <v>1200000</v>
      </c>
      <c r="AE219" s="61">
        <v>1081081.0810810812</v>
      </c>
      <c r="AF219" s="61">
        <v>1200000</v>
      </c>
      <c r="AG219" s="62" t="s">
        <v>38</v>
      </c>
      <c r="AH219" s="63" t="e">
        <f>[1]Data2025!W218</f>
        <v>#N/A</v>
      </c>
    </row>
    <row r="220" spans="1:34" ht="16.5" thickTop="1" thickBot="1">
      <c r="A220" s="41">
        <f>[1]Data2025!G219</f>
        <v>87</v>
      </c>
      <c r="B220" s="42" t="str">
        <f>[1]Data2025!K219</f>
        <v>BNU29</v>
      </c>
      <c r="C220" s="43" t="str">
        <f>[1]Data2025!D219</f>
        <v>07. 12. 02.</v>
      </c>
      <c r="D220" s="44" t="str">
        <f>[1]Data2025!C219</f>
        <v>5.1.02.02.01.0026</v>
      </c>
      <c r="E220" s="45">
        <f>[1]Data2025!E219</f>
        <v>45714</v>
      </c>
      <c r="F220" s="46" t="str">
        <f>[1]Data2025!F219</f>
        <v>28/02/2025</v>
      </c>
      <c r="G220" s="45" t="str">
        <f>[1]Data2025!H219</f>
        <v>28/02/2025</v>
      </c>
      <c r="H220" s="45" t="str">
        <f t="shared" si="11"/>
        <v>28/02/2025</v>
      </c>
      <c r="I220" s="47" t="str">
        <f>[1]Data2025!J219</f>
        <v>28/02/2025</v>
      </c>
      <c r="J220" s="48" t="str">
        <f>[1]Data2025!L219</f>
        <v>David J. Sitinjak</v>
      </c>
      <c r="K220" s="48" t="str">
        <f>[1]Data2025!M219</f>
        <v>Gaji Pegawai Tidak Tetap Sekolah</v>
      </c>
      <c r="L220" s="49">
        <f>[1]Data2025!N219</f>
        <v>1</v>
      </c>
      <c r="M220" s="49" t="str">
        <f>[1]Data2025!O219</f>
        <v>bulan</v>
      </c>
      <c r="N220" s="50">
        <f>[1]Data2025!P219</f>
        <v>2500000</v>
      </c>
      <c r="O220" s="51">
        <f>[1]Data2025!Q219</f>
        <v>2500000</v>
      </c>
      <c r="P220" s="52" t="s">
        <v>76</v>
      </c>
      <c r="Q220" s="53" t="e">
        <f>VLOOKUP(K220,[1]Sheet1!$C$1:$D$101,2,)</f>
        <v>#N/A</v>
      </c>
      <c r="R220" s="54">
        <v>1575000</v>
      </c>
      <c r="S220" s="55">
        <v>11136650</v>
      </c>
      <c r="T220" s="56">
        <f>[1]Data2025!T219</f>
        <v>0</v>
      </c>
      <c r="U220" s="57" t="s">
        <v>35</v>
      </c>
      <c r="V220" s="56" t="e">
        <f>[1]Data2025!V219</f>
        <v>#N/A</v>
      </c>
      <c r="W220" s="56" t="e">
        <f>[1]Data2025!X219</f>
        <v>#N/A</v>
      </c>
      <c r="X220" s="57" t="s">
        <v>36</v>
      </c>
      <c r="Y220" s="57" t="str">
        <f t="shared" si="12"/>
        <v>Honorarium</v>
      </c>
      <c r="Z220" s="58" t="str">
        <f t="shared" si="13"/>
        <v>Honorarium</v>
      </c>
      <c r="AA220" s="59" t="s">
        <v>49</v>
      </c>
      <c r="AB220" s="60">
        <v>350</v>
      </c>
      <c r="AC220" s="60">
        <v>1658650</v>
      </c>
      <c r="AD220" s="54">
        <v>1575000</v>
      </c>
      <c r="AE220" s="61">
        <v>1418918.9189189191</v>
      </c>
      <c r="AF220" s="61">
        <v>1575000</v>
      </c>
      <c r="AG220" s="62" t="s">
        <v>38</v>
      </c>
      <c r="AH220" s="63" t="e">
        <f>[1]Data2025!W219</f>
        <v>#N/A</v>
      </c>
    </row>
    <row r="221" spans="1:34" ht="16.5" thickTop="1" thickBot="1">
      <c r="A221" s="41">
        <f>[1]Data2025!G220</f>
        <v>88</v>
      </c>
      <c r="B221" s="42" t="str">
        <f>[1]Data2025!K220</f>
        <v>BNU30</v>
      </c>
      <c r="C221" s="43" t="str">
        <f>[1]Data2025!D220</f>
        <v>07. 12. 02.</v>
      </c>
      <c r="D221" s="44" t="str">
        <f>[1]Data2025!C220</f>
        <v>5.1.02.02.01.0026</v>
      </c>
      <c r="E221" s="45">
        <f>[1]Data2025!E220</f>
        <v>45714</v>
      </c>
      <c r="F221" s="46" t="str">
        <f>[1]Data2025!F220</f>
        <v>28/02/2025</v>
      </c>
      <c r="G221" s="45" t="str">
        <f>[1]Data2025!H220</f>
        <v>28/02/2025</v>
      </c>
      <c r="H221" s="45" t="str">
        <f t="shared" si="11"/>
        <v>28/02/2025</v>
      </c>
      <c r="I221" s="47" t="str">
        <f>[1]Data2025!J220</f>
        <v>28/02/2025</v>
      </c>
      <c r="J221" s="48" t="str">
        <f>[1]Data2025!L220</f>
        <v>Siona Ziraluo</v>
      </c>
      <c r="K221" s="48" t="str">
        <f>[1]Data2025!M220</f>
        <v>Gaji Pegawai Tidak Tetap Sekolah</v>
      </c>
      <c r="L221" s="49">
        <f>[1]Data2025!N220</f>
        <v>1</v>
      </c>
      <c r="M221" s="49" t="str">
        <f>[1]Data2025!O220</f>
        <v>bulan</v>
      </c>
      <c r="N221" s="50">
        <f>[1]Data2025!P220</f>
        <v>2000000</v>
      </c>
      <c r="O221" s="51">
        <f>[1]Data2025!Q220</f>
        <v>2000000</v>
      </c>
      <c r="P221" s="52" t="s">
        <v>76</v>
      </c>
      <c r="Q221" s="53" t="e">
        <f>VLOOKUP(K221,[1]Sheet1!$C$1:$D$101,2,)</f>
        <v>#N/A</v>
      </c>
      <c r="R221" s="54">
        <v>335000</v>
      </c>
      <c r="S221" s="55">
        <v>345000</v>
      </c>
      <c r="T221" s="56">
        <f>[1]Data2025!T220</f>
        <v>0</v>
      </c>
      <c r="U221" s="57" t="s">
        <v>35</v>
      </c>
      <c r="V221" s="56" t="e">
        <f>[1]Data2025!V220</f>
        <v>#N/A</v>
      </c>
      <c r="W221" s="56" t="e">
        <f>[1]Data2025!X220</f>
        <v>#N/A</v>
      </c>
      <c r="X221" s="57" t="s">
        <v>36</v>
      </c>
      <c r="Y221" s="57" t="str">
        <f t="shared" si="12"/>
        <v>Honorarium</v>
      </c>
      <c r="Z221" s="58" t="str">
        <f t="shared" si="13"/>
        <v>Honorarium</v>
      </c>
      <c r="AA221" s="59" t="s">
        <v>48</v>
      </c>
      <c r="AB221" s="60">
        <v>67000</v>
      </c>
      <c r="AC221" s="60">
        <v>335000</v>
      </c>
      <c r="AD221" s="54">
        <v>335000</v>
      </c>
      <c r="AE221" s="61">
        <v>301801.80180180183</v>
      </c>
      <c r="AF221" s="61">
        <v>335000</v>
      </c>
      <c r="AG221" s="62" t="s">
        <v>38</v>
      </c>
      <c r="AH221" s="63" t="e">
        <f>[1]Data2025!W220</f>
        <v>#N/A</v>
      </c>
    </row>
    <row r="222" spans="1:34" ht="16.5" thickTop="1" thickBot="1">
      <c r="A222" s="41">
        <f>[1]Data2025!G221</f>
        <v>89</v>
      </c>
      <c r="B222" s="42" t="str">
        <f>[1]Data2025!K221</f>
        <v>BNU31</v>
      </c>
      <c r="C222" s="43" t="str">
        <f>[1]Data2025!D221</f>
        <v>07. 12. 02.</v>
      </c>
      <c r="D222" s="44" t="str">
        <f>[1]Data2025!C221</f>
        <v>5.1.02.02.01.0026</v>
      </c>
      <c r="E222" s="45">
        <f>[1]Data2025!E221</f>
        <v>45714</v>
      </c>
      <c r="F222" s="46" t="str">
        <f>[1]Data2025!F221</f>
        <v>28/02/2025</v>
      </c>
      <c r="G222" s="45" t="str">
        <f>[1]Data2025!H221</f>
        <v>28/02/2025</v>
      </c>
      <c r="H222" s="45" t="str">
        <f t="shared" si="11"/>
        <v>28/02/2025</v>
      </c>
      <c r="I222" s="47" t="str">
        <f>[1]Data2025!J221</f>
        <v>28/02/2025</v>
      </c>
      <c r="J222" s="48" t="str">
        <f>[1]Data2025!L221</f>
        <v>Merdina Ziraluo</v>
      </c>
      <c r="K222" s="48" t="str">
        <f>[1]Data2025!M221</f>
        <v>Gaji Pegawai Tidak Tetap Sekolah</v>
      </c>
      <c r="L222" s="49">
        <f>[1]Data2025!N221</f>
        <v>1</v>
      </c>
      <c r="M222" s="49" t="str">
        <f>[1]Data2025!O221</f>
        <v>bulan</v>
      </c>
      <c r="N222" s="50">
        <f>[1]Data2025!P221</f>
        <v>2500000</v>
      </c>
      <c r="O222" s="51">
        <f>[1]Data2025!Q221</f>
        <v>2500000</v>
      </c>
      <c r="P222" s="52" t="s">
        <v>76</v>
      </c>
      <c r="Q222" s="53" t="e">
        <f>VLOOKUP(K222,[1]Sheet1!$C$1:$D$101,2,)</f>
        <v>#N/A</v>
      </c>
      <c r="R222" s="54">
        <v>205500</v>
      </c>
      <c r="S222" s="55">
        <v>235500</v>
      </c>
      <c r="T222" s="56">
        <f>[1]Data2025!T221</f>
        <v>0</v>
      </c>
      <c r="U222" s="57" t="s">
        <v>35</v>
      </c>
      <c r="V222" s="56" t="e">
        <f>[1]Data2025!V221</f>
        <v>#N/A</v>
      </c>
      <c r="W222" s="56" t="e">
        <f>[1]Data2025!X221</f>
        <v>#N/A</v>
      </c>
      <c r="X222" s="57" t="s">
        <v>36</v>
      </c>
      <c r="Y222" s="57" t="str">
        <f t="shared" si="12"/>
        <v>Honorarium</v>
      </c>
      <c r="Z222" s="58" t="str">
        <f t="shared" si="13"/>
        <v>Honorarium</v>
      </c>
      <c r="AA222" s="59" t="s">
        <v>42</v>
      </c>
      <c r="AB222" s="60">
        <v>13700</v>
      </c>
      <c r="AC222" s="60">
        <v>205500</v>
      </c>
      <c r="AD222" s="54">
        <v>205500</v>
      </c>
      <c r="AE222" s="61">
        <v>185135.13513513515</v>
      </c>
      <c r="AF222" s="61">
        <v>205500</v>
      </c>
      <c r="AG222" s="62" t="s">
        <v>38</v>
      </c>
      <c r="AH222" s="63" t="e">
        <f>[1]Data2025!W221</f>
        <v>#N/A</v>
      </c>
    </row>
    <row r="223" spans="1:34" ht="16.5" thickTop="1" thickBot="1">
      <c r="A223" s="41">
        <f>[1]Data2025!G222</f>
        <v>90</v>
      </c>
      <c r="B223" s="42" t="str">
        <f>[1]Data2025!K222</f>
        <v>BNU32</v>
      </c>
      <c r="C223" s="43" t="str">
        <f>[1]Data2025!D222</f>
        <v>07. 12. 02.</v>
      </c>
      <c r="D223" s="44" t="str">
        <f>[1]Data2025!C222</f>
        <v>5.1.02.02.01.0026</v>
      </c>
      <c r="E223" s="45">
        <f>[1]Data2025!E222</f>
        <v>45714</v>
      </c>
      <c r="F223" s="46" t="str">
        <f>[1]Data2025!F222</f>
        <v>28/02/2025</v>
      </c>
      <c r="G223" s="45" t="str">
        <f>[1]Data2025!H222</f>
        <v>28/02/2025</v>
      </c>
      <c r="H223" s="45" t="str">
        <f t="shared" si="11"/>
        <v>28/02/2025</v>
      </c>
      <c r="I223" s="47" t="str">
        <f>[1]Data2025!J222</f>
        <v>28/02/2025</v>
      </c>
      <c r="J223" s="48" t="str">
        <f>[1]Data2025!L222</f>
        <v>Oksilia Buulolo, S.S</v>
      </c>
      <c r="K223" s="48" t="str">
        <f>[1]Data2025!M222</f>
        <v>Gaji Pegawai Tidak Tetap Sekolah</v>
      </c>
      <c r="L223" s="49">
        <f>[1]Data2025!N222</f>
        <v>1</v>
      </c>
      <c r="M223" s="49" t="str">
        <f>[1]Data2025!O222</f>
        <v>bulan/orang</v>
      </c>
      <c r="N223" s="50">
        <f>[1]Data2025!P222</f>
        <v>2000000</v>
      </c>
      <c r="O223" s="51">
        <f>[1]Data2025!Q222</f>
        <v>2000000</v>
      </c>
      <c r="P223" s="52" t="s">
        <v>76</v>
      </c>
      <c r="Q223" s="53" t="e">
        <f>VLOOKUP(K223,[1]Sheet1!$C$1:$D$101,2,)</f>
        <v>#N/A</v>
      </c>
      <c r="R223" s="54">
        <v>121000</v>
      </c>
      <c r="S223" s="55">
        <v>141000</v>
      </c>
      <c r="T223" s="56">
        <f>[1]Data2025!T222</f>
        <v>0</v>
      </c>
      <c r="U223" s="57" t="s">
        <v>35</v>
      </c>
      <c r="V223" s="56" t="e">
        <f>[1]Data2025!V222</f>
        <v>#N/A</v>
      </c>
      <c r="W223" s="56" t="e">
        <f>[1]Data2025!X222</f>
        <v>#N/A</v>
      </c>
      <c r="X223" s="57" t="s">
        <v>36</v>
      </c>
      <c r="Y223" s="57" t="str">
        <f t="shared" si="12"/>
        <v>Honorarium</v>
      </c>
      <c r="Z223" s="58" t="str">
        <f t="shared" si="13"/>
        <v>Honorarium</v>
      </c>
      <c r="AA223" s="59" t="s">
        <v>42</v>
      </c>
      <c r="AB223" s="60">
        <v>12100</v>
      </c>
      <c r="AC223" s="60">
        <v>121000</v>
      </c>
      <c r="AD223" s="54">
        <v>121000</v>
      </c>
      <c r="AE223" s="61">
        <v>109009.00900900901</v>
      </c>
      <c r="AF223" s="61">
        <v>121000</v>
      </c>
      <c r="AG223" s="62" t="s">
        <v>38</v>
      </c>
      <c r="AH223" s="63" t="e">
        <f>[1]Data2025!W222</f>
        <v>#N/A</v>
      </c>
    </row>
    <row r="224" spans="1:34" ht="16.5" thickTop="1" thickBot="1">
      <c r="A224" s="41">
        <f>[1]Data2025!G223</f>
        <v>91</v>
      </c>
      <c r="B224" s="42" t="str">
        <f>[1]Data2025!K223</f>
        <v>BNU33</v>
      </c>
      <c r="C224" s="43" t="str">
        <f>[1]Data2025!D223</f>
        <v>07. 12. 02.</v>
      </c>
      <c r="D224" s="44" t="str">
        <f>[1]Data2025!C223</f>
        <v>5.1.02.02.01.0026</v>
      </c>
      <c r="E224" s="45">
        <f>[1]Data2025!E223</f>
        <v>45714</v>
      </c>
      <c r="F224" s="46" t="str">
        <f>[1]Data2025!F223</f>
        <v>28/02/2025</v>
      </c>
      <c r="G224" s="45" t="str">
        <f>[1]Data2025!H223</f>
        <v>28/02/2025</v>
      </c>
      <c r="H224" s="45" t="str">
        <f t="shared" si="11"/>
        <v>28/02/2025</v>
      </c>
      <c r="I224" s="47" t="str">
        <f>[1]Data2025!J223</f>
        <v>28/02/2025</v>
      </c>
      <c r="J224" s="48" t="str">
        <f>[1]Data2025!L223</f>
        <v>Novika Efdimasari Halawa, S.S.I</v>
      </c>
      <c r="K224" s="48" t="str">
        <f>[1]Data2025!M223</f>
        <v>Gaji Pegawai Tidak Tetap Sekolah</v>
      </c>
      <c r="L224" s="49">
        <f>[1]Data2025!N223</f>
        <v>1</v>
      </c>
      <c r="M224" s="49" t="str">
        <f>[1]Data2025!O223</f>
        <v>bulan/orang</v>
      </c>
      <c r="N224" s="50">
        <f>[1]Data2025!P223</f>
        <v>2000000</v>
      </c>
      <c r="O224" s="51">
        <f>[1]Data2025!Q223</f>
        <v>2000000</v>
      </c>
      <c r="P224" s="52" t="s">
        <v>76</v>
      </c>
      <c r="Q224" s="53" t="e">
        <f>VLOOKUP(K224,[1]Sheet1!$C$1:$D$101,2,)</f>
        <v>#N/A</v>
      </c>
      <c r="R224" s="54">
        <v>45000</v>
      </c>
      <c r="S224" s="55">
        <v>51000</v>
      </c>
      <c r="T224" s="56">
        <f>[1]Data2025!T223</f>
        <v>0</v>
      </c>
      <c r="U224" s="57" t="s">
        <v>35</v>
      </c>
      <c r="V224" s="56" t="e">
        <f>[1]Data2025!V223</f>
        <v>#N/A</v>
      </c>
      <c r="W224" s="56" t="e">
        <f>[1]Data2025!X223</f>
        <v>#N/A</v>
      </c>
      <c r="X224" s="57" t="s">
        <v>36</v>
      </c>
      <c r="Y224" s="57" t="str">
        <f t="shared" si="12"/>
        <v>Honorarium</v>
      </c>
      <c r="Z224" s="58" t="str">
        <f t="shared" si="13"/>
        <v>Honorarium</v>
      </c>
      <c r="AA224" s="59" t="s">
        <v>42</v>
      </c>
      <c r="AB224" s="60">
        <v>15000</v>
      </c>
      <c r="AC224" s="60">
        <v>45000</v>
      </c>
      <c r="AD224" s="54">
        <v>45000</v>
      </c>
      <c r="AE224" s="61">
        <v>40540.54054054054</v>
      </c>
      <c r="AF224" s="61">
        <v>45000</v>
      </c>
      <c r="AG224" s="62" t="s">
        <v>38</v>
      </c>
      <c r="AH224" s="63" t="e">
        <f>[1]Data2025!W223</f>
        <v>#N/A</v>
      </c>
    </row>
    <row r="225" spans="1:34" ht="16.5" thickTop="1" thickBot="1">
      <c r="A225" s="41">
        <f>[1]Data2025!G224</f>
        <v>92</v>
      </c>
      <c r="B225" s="42" t="str">
        <f>[1]Data2025!K224</f>
        <v>BNU34</v>
      </c>
      <c r="C225" s="43" t="str">
        <f>[1]Data2025!D224</f>
        <v>07. 12. 04.</v>
      </c>
      <c r="D225" s="44" t="str">
        <f>[1]Data2025!C224</f>
        <v>5.1.02.02.01.0016</v>
      </c>
      <c r="E225" s="45">
        <f>[1]Data2025!E224</f>
        <v>45714</v>
      </c>
      <c r="F225" s="46" t="str">
        <f>[1]Data2025!F224</f>
        <v>28/02/2025</v>
      </c>
      <c r="G225" s="45" t="str">
        <f>[1]Data2025!H224</f>
        <v>28/02/2025</v>
      </c>
      <c r="H225" s="45" t="str">
        <f t="shared" si="11"/>
        <v>28/02/2025</v>
      </c>
      <c r="I225" s="47" t="str">
        <f>[1]Data2025!J224</f>
        <v>28/02/2025</v>
      </c>
      <c r="J225" s="48" t="str">
        <f>[1]Data2025!L224</f>
        <v>Zefrianus Zai</v>
      </c>
      <c r="K225" s="48" t="str">
        <f>[1]Data2025!M224</f>
        <v>Gaji Pegawai Tidak Tetap Sekolah</v>
      </c>
      <c r="L225" s="49">
        <f>[1]Data2025!N224</f>
        <v>1</v>
      </c>
      <c r="M225" s="49" t="str">
        <f>[1]Data2025!O224</f>
        <v>bulan/orang</v>
      </c>
      <c r="N225" s="50">
        <f>[1]Data2025!P224</f>
        <v>2000000</v>
      </c>
      <c r="O225" s="51">
        <f>[1]Data2025!Q224</f>
        <v>2000000</v>
      </c>
      <c r="P225" s="52" t="s">
        <v>76</v>
      </c>
      <c r="Q225" s="53" t="e">
        <f>VLOOKUP(K225,[1]Sheet1!$C$1:$D$101,2,)</f>
        <v>#N/A</v>
      </c>
      <c r="R225" s="54">
        <v>300000</v>
      </c>
      <c r="S225" s="55">
        <v>320000</v>
      </c>
      <c r="T225" s="56">
        <f>[1]Data2025!T224</f>
        <v>0</v>
      </c>
      <c r="U225" s="57" t="s">
        <v>35</v>
      </c>
      <c r="V225" s="56" t="e">
        <f>[1]Data2025!V224</f>
        <v>#N/A</v>
      </c>
      <c r="W225" s="56" t="e">
        <f>[1]Data2025!X224</f>
        <v>#N/A</v>
      </c>
      <c r="X225" s="57" t="s">
        <v>36</v>
      </c>
      <c r="Y225" s="57" t="str">
        <f t="shared" si="12"/>
        <v>Honorarium</v>
      </c>
      <c r="Z225" s="58" t="str">
        <f t="shared" si="13"/>
        <v>Honorarium</v>
      </c>
      <c r="AA225" s="59" t="s">
        <v>48</v>
      </c>
      <c r="AB225" s="60">
        <v>30000</v>
      </c>
      <c r="AC225" s="60">
        <v>300000</v>
      </c>
      <c r="AD225" s="54">
        <v>300000</v>
      </c>
      <c r="AE225" s="61">
        <v>270270.2702702703</v>
      </c>
      <c r="AF225" s="61">
        <v>300000</v>
      </c>
      <c r="AG225" s="62" t="s">
        <v>38</v>
      </c>
      <c r="AH225" s="63" t="e">
        <f>[1]Data2025!W224</f>
        <v>#N/A</v>
      </c>
    </row>
    <row r="226" spans="1:34" ht="16.5" thickTop="1" thickBot="1">
      <c r="A226" s="41">
        <f>[1]Data2025!G225</f>
        <v>93</v>
      </c>
      <c r="B226" s="42" t="str">
        <f>[1]Data2025!K225</f>
        <v>BPU39</v>
      </c>
      <c r="C226" s="43" t="str">
        <f>[1]Data2025!D225</f>
        <v>07. 12. 04.</v>
      </c>
      <c r="D226" s="44" t="str">
        <f>[1]Data2025!C225</f>
        <v>5.1.02.02.01.0030</v>
      </c>
      <c r="E226" s="45">
        <f>[1]Data2025!E225</f>
        <v>45714</v>
      </c>
      <c r="F226" s="46" t="str">
        <f>[1]Data2025!F225</f>
        <v>28/02/2025</v>
      </c>
      <c r="G226" s="45" t="str">
        <f>[1]Data2025!H225</f>
        <v>28/02/2025</v>
      </c>
      <c r="H226" s="45" t="str">
        <f t="shared" si="11"/>
        <v>28/02/2025</v>
      </c>
      <c r="I226" s="47" t="str">
        <f>[1]Data2025!J225</f>
        <v>28/02/2025</v>
      </c>
      <c r="J226" s="48" t="str">
        <f>[1]Data2025!L225</f>
        <v>Thomas Hondro</v>
      </c>
      <c r="K226" s="48" t="str">
        <f>[1]Data2025!M225</f>
        <v>Gaji Pegawai Tidak Tetap Sekolah</v>
      </c>
      <c r="L226" s="49">
        <f>[1]Data2025!N225</f>
        <v>1</v>
      </c>
      <c r="M226" s="49" t="str">
        <f>[1]Data2025!O225</f>
        <v>bulan</v>
      </c>
      <c r="N226" s="50">
        <f>[1]Data2025!P225</f>
        <v>1000000</v>
      </c>
      <c r="O226" s="51">
        <f>[1]Data2025!Q225</f>
        <v>1000000</v>
      </c>
      <c r="P226" s="52" t="s">
        <v>76</v>
      </c>
      <c r="Q226" s="53" t="e">
        <f>VLOOKUP(K226,[1]Sheet1!$C$1:$D$101,2,)</f>
        <v>#N/A</v>
      </c>
      <c r="R226" s="54">
        <v>60000</v>
      </c>
      <c r="S226" s="55">
        <v>70000</v>
      </c>
      <c r="T226" s="56">
        <f>[1]Data2025!T225</f>
        <v>0</v>
      </c>
      <c r="U226" s="57" t="s">
        <v>35</v>
      </c>
      <c r="V226" s="56" t="e">
        <f>[1]Data2025!V225</f>
        <v>#N/A</v>
      </c>
      <c r="W226" s="56" t="e">
        <f>[1]Data2025!X225</f>
        <v>#N/A</v>
      </c>
      <c r="X226" s="57" t="s">
        <v>36</v>
      </c>
      <c r="Y226" s="57" t="str">
        <f t="shared" si="12"/>
        <v>Honorarium</v>
      </c>
      <c r="Z226" s="58" t="str">
        <f t="shared" si="13"/>
        <v>Honorarium</v>
      </c>
      <c r="AA226" s="59" t="s">
        <v>42</v>
      </c>
      <c r="AB226" s="60">
        <v>12000</v>
      </c>
      <c r="AC226" s="60">
        <v>60000</v>
      </c>
      <c r="AD226" s="54">
        <v>60000</v>
      </c>
      <c r="AE226" s="61">
        <v>54054.054054054053</v>
      </c>
      <c r="AF226" s="61">
        <v>60000</v>
      </c>
      <c r="AG226" s="62" t="s">
        <v>38</v>
      </c>
      <c r="AH226" s="63" t="e">
        <f>[1]Data2025!W225</f>
        <v>#N/A</v>
      </c>
    </row>
    <row r="227" spans="1:34" ht="16.5" thickTop="1" thickBot="1">
      <c r="A227" s="41">
        <f>[1]Data2025!G226</f>
        <v>0</v>
      </c>
      <c r="B227" s="42" t="e">
        <f>[1]Data2025!K226</f>
        <v>#N/A</v>
      </c>
      <c r="C227" s="43" t="str">
        <f>[1]Data2025!D226</f>
        <v>05. 08. 02.</v>
      </c>
      <c r="D227" s="44" t="str">
        <f>[1]Data2025!C226</f>
        <v>5.1.02.01.01.0036</v>
      </c>
      <c r="E227" s="45">
        <f>[1]Data2025!E226</f>
        <v>45687</v>
      </c>
      <c r="F227" s="46" t="str">
        <f>[1]Data2025!F226</f>
        <v>01/02/2025</v>
      </c>
      <c r="G227" s="45" t="str">
        <f>[1]Data2025!H226</f>
        <v>09/04/2025</v>
      </c>
      <c r="H227" s="45" t="str">
        <f t="shared" si="11"/>
        <v>09/04/2025</v>
      </c>
      <c r="I227" s="47" t="str">
        <f>[1]Data2025!J226</f>
        <v>10/04/2025</v>
      </c>
      <c r="J227" s="48" t="str">
        <f>[1]Data2025!L226</f>
        <v>Meja Siswa</v>
      </c>
      <c r="K227" s="48" t="str">
        <f>[1]Data2025!M226</f>
        <v>Meja Siswa</v>
      </c>
      <c r="L227" s="49">
        <f>[1]Data2025!N226</f>
        <v>148</v>
      </c>
      <c r="M227" s="49" t="str">
        <f>[1]Data2025!O226</f>
        <v>unit</v>
      </c>
      <c r="N227" s="50">
        <f>[1]Data2025!P226</f>
        <v>400000</v>
      </c>
      <c r="O227" s="51">
        <f>[1]Data2025!Q226</f>
        <v>59200000</v>
      </c>
      <c r="P227" s="52" t="s">
        <v>81</v>
      </c>
      <c r="Q227" s="53" t="e">
        <f>VLOOKUP(K227,[1]Sheet1!$C$1:$D$101,2,)</f>
        <v>#N/A</v>
      </c>
      <c r="R227" s="54">
        <v>150000</v>
      </c>
      <c r="S227" s="55">
        <v>174000</v>
      </c>
      <c r="T227" s="56">
        <f>[1]Data2025!T226</f>
        <v>0</v>
      </c>
      <c r="U227" s="57" t="s">
        <v>35</v>
      </c>
      <c r="V227" s="56" t="e">
        <f>[1]Data2025!V226</f>
        <v>#N/A</v>
      </c>
      <c r="W227" s="56" t="e">
        <f>[1]Data2025!X226</f>
        <v>#N/A</v>
      </c>
      <c r="X227" s="57" t="s">
        <v>36</v>
      </c>
      <c r="Y227" s="57" t="str">
        <f t="shared" si="12"/>
        <v>Peralatan Sekolah</v>
      </c>
      <c r="Z227" s="58" t="str">
        <f t="shared" si="13"/>
        <v>Peralatan Sekolah</v>
      </c>
      <c r="AA227" s="59" t="s">
        <v>42</v>
      </c>
      <c r="AB227" s="60">
        <v>12500</v>
      </c>
      <c r="AC227" s="60">
        <v>150000</v>
      </c>
      <c r="AD227" s="54">
        <v>150000</v>
      </c>
      <c r="AE227" s="61">
        <v>135135.13513513515</v>
      </c>
      <c r="AF227" s="61">
        <v>150000</v>
      </c>
      <c r="AG227" s="62" t="s">
        <v>38</v>
      </c>
      <c r="AH227" s="63" t="e">
        <f>[1]Data2025!W226</f>
        <v>#N/A</v>
      </c>
    </row>
    <row r="228" spans="1:34" ht="16.5" thickTop="1" thickBot="1">
      <c r="A228" s="41">
        <f>[1]Data2025!G227</f>
        <v>0</v>
      </c>
      <c r="B228" s="42" t="e">
        <f>[1]Data2025!K227</f>
        <v>#N/A</v>
      </c>
      <c r="C228" s="43" t="str">
        <f>[1]Data2025!D227</f>
        <v>05. 08. 02.</v>
      </c>
      <c r="D228" s="44" t="str">
        <f>[1]Data2025!C227</f>
        <v>5.1.02.01.01.0036</v>
      </c>
      <c r="E228" s="45">
        <f>[1]Data2025!E227</f>
        <v>45754</v>
      </c>
      <c r="F228" s="46" t="str">
        <f>[1]Data2025!F227</f>
        <v>09/04/2025</v>
      </c>
      <c r="G228" s="45" t="str">
        <f>[1]Data2025!H227</f>
        <v>09/04/2025</v>
      </c>
      <c r="H228" s="45" t="str">
        <f t="shared" si="11"/>
        <v>09/04/2025</v>
      </c>
      <c r="I228" s="47" t="str">
        <f>[1]Data2025!J227</f>
        <v>10/04/2025</v>
      </c>
      <c r="J228" s="48" t="str">
        <f>[1]Data2025!L227</f>
        <v>Jasa Angkutan Meja Siswa</v>
      </c>
      <c r="K228" s="48" t="str">
        <f>[1]Data2025!M227</f>
        <v>Bayar Jasa angkut meja siswa</v>
      </c>
      <c r="L228" s="49">
        <f>[1]Data2025!N227</f>
        <v>1</v>
      </c>
      <c r="M228" s="49" t="str">
        <f>[1]Data2025!O227</f>
        <v>kegiatan</v>
      </c>
      <c r="N228" s="50">
        <f>[1]Data2025!P227</f>
        <v>4500000</v>
      </c>
      <c r="O228" s="51">
        <f>[1]Data2025!Q227</f>
        <v>4500000</v>
      </c>
      <c r="P228" s="52" t="s">
        <v>53</v>
      </c>
      <c r="Q228" s="53" t="e">
        <f>VLOOKUP(K228,[1]Sheet1!$C$1:$D$101,2,)</f>
        <v>#N/A</v>
      </c>
      <c r="R228" s="54">
        <v>60000</v>
      </c>
      <c r="S228" s="55">
        <v>70000</v>
      </c>
      <c r="T228" s="56">
        <f>[1]Data2025!T227</f>
        <v>0</v>
      </c>
      <c r="U228" s="57" t="s">
        <v>35</v>
      </c>
      <c r="V228" s="56" t="e">
        <f>[1]Data2025!V227</f>
        <v>#N/A</v>
      </c>
      <c r="W228" s="56" t="e">
        <f>[1]Data2025!X227</f>
        <v>#N/A</v>
      </c>
      <c r="X228" s="57" t="s">
        <v>36</v>
      </c>
      <c r="Y228" s="57" t="str">
        <f t="shared" si="12"/>
        <v>Jasa Angkutan</v>
      </c>
      <c r="Z228" s="58" t="str">
        <f t="shared" si="13"/>
        <v>Jasa Angkutan</v>
      </c>
      <c r="AA228" s="59" t="s">
        <v>42</v>
      </c>
      <c r="AB228" s="60">
        <v>12000</v>
      </c>
      <c r="AC228" s="60">
        <v>60000</v>
      </c>
      <c r="AD228" s="54">
        <v>60000</v>
      </c>
      <c r="AE228" s="61">
        <v>54054.054054054053</v>
      </c>
      <c r="AF228" s="61">
        <v>60000</v>
      </c>
      <c r="AG228" s="62" t="s">
        <v>38</v>
      </c>
      <c r="AH228" s="63" t="e">
        <f>[1]Data2025!W227</f>
        <v>#N/A</v>
      </c>
    </row>
    <row r="229" spans="1:34" ht="16.5" thickTop="1" thickBot="1">
      <c r="A229" s="41">
        <f>[1]Data2025!G228</f>
        <v>0</v>
      </c>
      <c r="B229" s="42">
        <f>[1]Data2025!K228</f>
        <v>0</v>
      </c>
      <c r="C229" s="43">
        <f>[1]Data2025!D228</f>
        <v>0</v>
      </c>
      <c r="D229" s="44">
        <f>[1]Data2025!C228</f>
        <v>0</v>
      </c>
      <c r="E229" s="45">
        <f>[1]Data2025!E228</f>
        <v>0</v>
      </c>
      <c r="F229" s="46">
        <f>[1]Data2025!F228</f>
        <v>0</v>
      </c>
      <c r="G229" s="45">
        <f>[1]Data2025!H228</f>
        <v>0</v>
      </c>
      <c r="H229" s="45">
        <f t="shared" si="11"/>
        <v>0</v>
      </c>
      <c r="I229" s="47">
        <f>[1]Data2025!J228</f>
        <v>0</v>
      </c>
      <c r="J229" s="48">
        <f>[1]Data2025!L228</f>
        <v>0</v>
      </c>
      <c r="K229" s="48">
        <f>[1]Data2025!M228</f>
        <v>0</v>
      </c>
      <c r="L229" s="49">
        <f>[1]Data2025!N228</f>
        <v>0</v>
      </c>
      <c r="M229" s="49">
        <f>[1]Data2025!O228</f>
        <v>0</v>
      </c>
      <c r="N229" s="50">
        <f>[1]Data2025!P228</f>
        <v>0</v>
      </c>
      <c r="O229" s="51">
        <f>[1]Data2025!Q228</f>
        <v>0</v>
      </c>
      <c r="P229" s="52" t="s">
        <v>54</v>
      </c>
      <c r="Q229" s="53" t="e">
        <f>VLOOKUP(K229,[1]Sheet1!$C$1:$D$101,2,)</f>
        <v>#N/A</v>
      </c>
      <c r="R229" s="54">
        <v>350000</v>
      </c>
      <c r="S229" s="55">
        <v>360000</v>
      </c>
      <c r="T229" s="56">
        <f>[1]Data2025!T228</f>
        <v>0</v>
      </c>
      <c r="U229" s="57" t="s">
        <v>35</v>
      </c>
      <c r="V229" s="56" t="e">
        <f>[1]Data2025!V228</f>
        <v>#N/A</v>
      </c>
      <c r="W229" s="56" t="e">
        <f>[1]Data2025!X228</f>
        <v>#N/A</v>
      </c>
      <c r="X229" s="57" t="s">
        <v>36</v>
      </c>
      <c r="Y229" s="57" t="str">
        <f t="shared" si="12"/>
        <v>Alat Kebersihan</v>
      </c>
      <c r="Z229" s="58" t="str">
        <f t="shared" si="13"/>
        <v>Alat Kebersihan</v>
      </c>
      <c r="AA229" s="59" t="s">
        <v>55</v>
      </c>
      <c r="AB229" s="60">
        <v>70000</v>
      </c>
      <c r="AC229" s="60">
        <v>350000</v>
      </c>
      <c r="AD229" s="54">
        <v>350000</v>
      </c>
      <c r="AE229" s="61">
        <v>315315.31531531533</v>
      </c>
      <c r="AF229" s="61">
        <v>350000</v>
      </c>
      <c r="AG229" s="62" t="s">
        <v>38</v>
      </c>
      <c r="AH229" s="63" t="e">
        <f>[1]Data2025!W228</f>
        <v>#N/A</v>
      </c>
    </row>
    <row r="230" spans="1:34" s="40" customFormat="1" ht="38.5" thickTop="1" thickBot="1">
      <c r="A230" s="17">
        <f>[1]Data2025!G229</f>
        <v>94</v>
      </c>
      <c r="B230" s="18" t="str">
        <f>[1]Data2025!K229</f>
        <v>BPU40</v>
      </c>
      <c r="C230" s="19" t="str">
        <f>[1]Data2025!D229</f>
        <v>02. 02. 01.</v>
      </c>
      <c r="D230" s="20" t="str">
        <f>[1]Data2025!C229</f>
        <v>5.1.02.01.01.0052</v>
      </c>
      <c r="E230" s="21">
        <f>[1]Data2025!E229</f>
        <v>45717</v>
      </c>
      <c r="F230" s="22" t="str">
        <f>[1]Data2025!F229</f>
        <v>03/03/2025</v>
      </c>
      <c r="G230" s="21" t="str">
        <f>[1]Data2025!H229</f>
        <v>03/03/2025</v>
      </c>
      <c r="H230" s="21" t="str">
        <f t="shared" si="11"/>
        <v>03/03/2025</v>
      </c>
      <c r="I230" s="23" t="str">
        <f>[1]Data2025!J229</f>
        <v>14/03/2025</v>
      </c>
      <c r="J230" s="24" t="str">
        <f>[1]Data2025!L229</f>
        <v>Kudapan pada Kegiatan Sosialisasi pemberdayaan perpustakaan terutama untuk pengembangan minat baca peserta didik</v>
      </c>
      <c r="K230" s="24" t="str">
        <f>[1]Data2025!M229</f>
        <v>Kue Besar</v>
      </c>
      <c r="L230" s="25">
        <f>[1]Data2025!N229</f>
        <v>75</v>
      </c>
      <c r="M230" s="25" t="str">
        <f>[1]Data2025!O229</f>
        <v>kotak</v>
      </c>
      <c r="N230" s="26">
        <f>[1]Data2025!P229</f>
        <v>15000</v>
      </c>
      <c r="O230" s="27">
        <f>[1]Data2025!Q229</f>
        <v>1125000</v>
      </c>
      <c r="P230" s="28" t="s">
        <v>58</v>
      </c>
      <c r="Q230" s="29" t="str">
        <f>VLOOKUP(K230,[1]Sheet1!$C$1:$D$101,2,)</f>
        <v>Kue (bahan tepung terigu, gula, telur, mentega; berat 100gr, panjang 15cm, lebar 8 cm)</v>
      </c>
      <c r="R230" s="30">
        <v>2250000</v>
      </c>
      <c r="S230" s="31">
        <v>2550000</v>
      </c>
      <c r="T230" s="32" t="str">
        <f>[1]Data2025!T229</f>
        <v>Rumah Roti Helena</v>
      </c>
      <c r="U230" s="33" t="s">
        <v>60</v>
      </c>
      <c r="V230" s="32" t="str">
        <f>[1]Data2025!V229</f>
        <v>Fudi Supiyanto</v>
      </c>
      <c r="W230" s="32" t="str">
        <f>[1]Data2025!X229</f>
        <v>Jln Ahmad Yani No.89 Kel. Pasar Telukdalam, Nias Selatan</v>
      </c>
      <c r="X230" s="33" t="s">
        <v>61</v>
      </c>
      <c r="Y230" s="33" t="str">
        <f t="shared" si="12"/>
        <v>Kudapan</v>
      </c>
      <c r="Z230" s="34" t="str">
        <f t="shared" si="13"/>
        <v>Kudapan</v>
      </c>
      <c r="AA230" s="35" t="s">
        <v>37</v>
      </c>
      <c r="AB230" s="36">
        <v>15000</v>
      </c>
      <c r="AC230" s="36">
        <v>2250000</v>
      </c>
      <c r="AD230" s="30">
        <v>2250000</v>
      </c>
      <c r="AE230" s="37">
        <v>2027027.027027027</v>
      </c>
      <c r="AF230" s="37">
        <v>2250000</v>
      </c>
      <c r="AG230" s="38" t="s">
        <v>38</v>
      </c>
      <c r="AH230" s="39" t="str">
        <f>[1]Data2025!W229</f>
        <v>082164895397</v>
      </c>
    </row>
    <row r="231" spans="1:34" ht="26" thickTop="1" thickBot="1">
      <c r="A231" s="41">
        <f>[1]Data2025!G230</f>
        <v>95</v>
      </c>
      <c r="B231" s="42" t="str">
        <f>[1]Data2025!K230</f>
        <v>BPU41</v>
      </c>
      <c r="C231" s="43" t="str">
        <f>[1]Data2025!D230</f>
        <v>02. 02. 01.</v>
      </c>
      <c r="D231" s="44" t="str">
        <f>[1]Data2025!C230</f>
        <v>5.1.02.01.01.0052</v>
      </c>
      <c r="E231" s="45">
        <f>[1]Data2025!E230</f>
        <v>45717</v>
      </c>
      <c r="F231" s="46" t="str">
        <f>[1]Data2025!F230</f>
        <v>03/03/2025</v>
      </c>
      <c r="G231" s="45" t="str">
        <f>[1]Data2025!H230</f>
        <v>03/03/2025</v>
      </c>
      <c r="H231" s="45" t="str">
        <f t="shared" si="11"/>
        <v>03/03/2025</v>
      </c>
      <c r="I231" s="47" t="str">
        <f>[1]Data2025!J230</f>
        <v>14/03/2025</v>
      </c>
      <c r="J231" s="48" t="str">
        <f>[1]Data2025!L230</f>
        <v>Nasi Kotak  pada kegiatan Peningkatan kompetensi guru untuk pembelajaran berorientasi pada peserta didik</v>
      </c>
      <c r="K231" s="48" t="str">
        <f>[1]Data2025!M230</f>
        <v>Nasi Kotak</v>
      </c>
      <c r="L231" s="49">
        <f>[1]Data2025!N230</f>
        <v>75</v>
      </c>
      <c r="M231" s="49" t="str">
        <f>[1]Data2025!O230</f>
        <v>kotak</v>
      </c>
      <c r="N231" s="50">
        <f>[1]Data2025!P230</f>
        <v>40000</v>
      </c>
      <c r="O231" s="51">
        <f>[1]Data2025!Q230</f>
        <v>3000000</v>
      </c>
      <c r="P231" s="52" t="s">
        <v>59</v>
      </c>
      <c r="Q231" s="53" t="str">
        <f>VLOOKUP(K231,[1]Sheet1!$C$1:$D$101,2,)</f>
        <v>Nasi Kotak (isi: Nasi putih;Sop daging; Sayur; Berat 1000gr; Dimensi; (PxLxT) 25cmx25cmx10cm)</v>
      </c>
      <c r="R231" s="54">
        <v>6000000</v>
      </c>
      <c r="S231" s="55">
        <v>6300000</v>
      </c>
      <c r="T231" s="56" t="str">
        <f>[1]Data2025!T230</f>
        <v>Resto JFC Esther</v>
      </c>
      <c r="U231" s="57" t="s">
        <v>62</v>
      </c>
      <c r="V231" s="56" t="str">
        <f>[1]Data2025!V230</f>
        <v>Limaati Daeli</v>
      </c>
      <c r="W231" s="56" t="str">
        <f>[1]Data2025!X230</f>
        <v>Jl. Saonigeho Km. 2 Telukdalam - Nias Selatan</v>
      </c>
      <c r="X231" s="57" t="s">
        <v>63</v>
      </c>
      <c r="Y231" s="57" t="str">
        <f t="shared" si="12"/>
        <v>Konsumsi</v>
      </c>
      <c r="Z231" s="58" t="str">
        <f t="shared" si="13"/>
        <v>Konsumsi</v>
      </c>
      <c r="AA231" s="59" t="s">
        <v>37</v>
      </c>
      <c r="AB231" s="60">
        <v>40000</v>
      </c>
      <c r="AC231" s="60">
        <v>6000000</v>
      </c>
      <c r="AD231" s="54">
        <v>6000000</v>
      </c>
      <c r="AE231" s="61">
        <v>5405405.4054054059</v>
      </c>
      <c r="AF231" s="61">
        <v>6000000</v>
      </c>
      <c r="AG231" s="62" t="s">
        <v>38</v>
      </c>
      <c r="AH231" s="63" t="str">
        <f>[1]Data2025!W230</f>
        <v>085297578868</v>
      </c>
    </row>
    <row r="232" spans="1:34" s="40" customFormat="1" ht="16.5" thickTop="1" thickBot="1">
      <c r="A232" s="17">
        <f>[1]Data2025!G231</f>
        <v>103</v>
      </c>
      <c r="B232" s="18" t="str">
        <f>[1]Data2025!K231</f>
        <v>BPU43</v>
      </c>
      <c r="C232" s="19" t="str">
        <f>[1]Data2025!D231</f>
        <v>03. 03. 14.</v>
      </c>
      <c r="D232" s="20" t="str">
        <f>[1]Data2025!C231</f>
        <v>5.1.02.01.01.0052</v>
      </c>
      <c r="E232" s="21">
        <f>[1]Data2025!E231</f>
        <v>45729</v>
      </c>
      <c r="F232" s="22" t="str">
        <f>[1]Data2025!F231</f>
        <v>15/03/2025</v>
      </c>
      <c r="G232" s="21" t="str">
        <f>[1]Data2025!H231</f>
        <v>15/03/2025</v>
      </c>
      <c r="H232" s="21" t="str">
        <f t="shared" si="11"/>
        <v>15/03/2025</v>
      </c>
      <c r="I232" s="23" t="str">
        <f>[1]Data2025!J231</f>
        <v>15/03/2025</v>
      </c>
      <c r="J232" s="24" t="str">
        <f>[1]Data2025!L231</f>
        <v>Kudapan pada Kegiatan rubrik/Ibadah Bulanan</v>
      </c>
      <c r="K232" s="24" t="str">
        <f>[1]Data2025!M231</f>
        <v>Kue Besar</v>
      </c>
      <c r="L232" s="25">
        <f>[1]Data2025!N231</f>
        <v>100</v>
      </c>
      <c r="M232" s="25" t="str">
        <f>[1]Data2025!O231</f>
        <v>kotak</v>
      </c>
      <c r="N232" s="26">
        <f>[1]Data2025!P231</f>
        <v>15000</v>
      </c>
      <c r="O232" s="27">
        <f>[1]Data2025!Q231</f>
        <v>1500000</v>
      </c>
      <c r="P232" s="28" t="s">
        <v>58</v>
      </c>
      <c r="Q232" s="29" t="str">
        <f>VLOOKUP(K232,[1]Sheet1!$C$1:$D$101,2,)</f>
        <v>Kue (bahan tepung terigu, gula, telur, mentega; berat 100gr, panjang 15cm, lebar 8 cm)</v>
      </c>
      <c r="R232" s="30">
        <v>55000</v>
      </c>
      <c r="S232" s="31">
        <v>65000</v>
      </c>
      <c r="T232" s="32" t="str">
        <f>[1]Data2025!T231</f>
        <v>Rumah Roti Helena</v>
      </c>
      <c r="U232" s="33" t="s">
        <v>35</v>
      </c>
      <c r="V232" s="32" t="str">
        <f>[1]Data2025!V231</f>
        <v>Fudi Supiyanto</v>
      </c>
      <c r="W232" s="32" t="str">
        <f>[1]Data2025!X231</f>
        <v>Jln Ahmad Yani No.89 Kel. Pasar Telukdalam, Nias Selatan</v>
      </c>
      <c r="X232" s="33" t="s">
        <v>36</v>
      </c>
      <c r="Y232" s="33" t="str">
        <f t="shared" si="12"/>
        <v>Kudapan</v>
      </c>
      <c r="Z232" s="34" t="str">
        <f t="shared" si="13"/>
        <v>Kudapan</v>
      </c>
      <c r="AA232" s="35" t="s">
        <v>37</v>
      </c>
      <c r="AB232" s="36">
        <v>11000</v>
      </c>
      <c r="AC232" s="36">
        <v>55000</v>
      </c>
      <c r="AD232" s="30">
        <v>55000</v>
      </c>
      <c r="AE232" s="37">
        <v>49549.549549549549</v>
      </c>
      <c r="AF232" s="37">
        <v>55000</v>
      </c>
      <c r="AG232" s="38" t="s">
        <v>38</v>
      </c>
      <c r="AH232" s="39" t="str">
        <f>[1]Data2025!W231</f>
        <v>082164895397</v>
      </c>
    </row>
    <row r="233" spans="1:34" ht="16.5" thickTop="1" thickBot="1">
      <c r="A233" s="41">
        <f>[1]Data2025!G232</f>
        <v>109</v>
      </c>
      <c r="B233" s="42" t="str">
        <f>[1]Data2025!K232</f>
        <v>BPU47</v>
      </c>
      <c r="C233" s="43" t="str">
        <f>[1]Data2025!D232</f>
        <v>03. 03. 21.</v>
      </c>
      <c r="D233" s="44" t="str">
        <f>[1]Data2025!C232</f>
        <v>5.1.02.01.01.0026</v>
      </c>
      <c r="E233" s="45">
        <f>[1]Data2025!E232</f>
        <v>45734</v>
      </c>
      <c r="F233" s="46" t="str">
        <f>[1]Data2025!F232</f>
        <v>20/03/2025</v>
      </c>
      <c r="G233" s="45" t="str">
        <f>[1]Data2025!H232</f>
        <v>20/03/2025</v>
      </c>
      <c r="H233" s="45" t="str">
        <f t="shared" si="11"/>
        <v>20/03/2025</v>
      </c>
      <c r="I233" s="47" t="str">
        <f>[1]Data2025!J232</f>
        <v>20/03/2025</v>
      </c>
      <c r="J233" s="48" t="str">
        <f>[1]Data2025!L232</f>
        <v>Spanduk Uk. 1 x 6 meter-</v>
      </c>
      <c r="K233" s="48" t="str">
        <f>[1]Data2025!M232</f>
        <v>Spanduk Uk. 1 x 6 meter-</v>
      </c>
      <c r="L233" s="49">
        <f>[1]Data2025!N232</f>
        <v>2</v>
      </c>
      <c r="M233" s="49" t="str">
        <f>[1]Data2025!O232</f>
        <v>buah</v>
      </c>
      <c r="N233" s="50">
        <f>[1]Data2025!P232</f>
        <v>300000</v>
      </c>
      <c r="O233" s="51">
        <f>[1]Data2025!Q232</f>
        <v>600000</v>
      </c>
      <c r="P233" s="52" t="s">
        <v>64</v>
      </c>
      <c r="Q233" s="53" t="e">
        <f>VLOOKUP(K233,[1]Sheet1!$C$1:$D$101,2,)</f>
        <v>#N/A</v>
      </c>
      <c r="R233" s="54">
        <v>95000</v>
      </c>
      <c r="S233" s="55">
        <v>97000</v>
      </c>
      <c r="T233" s="56" t="str">
        <f>[1]Data2025!T232</f>
        <v>UD. BALIZATO</v>
      </c>
      <c r="U233" s="57" t="s">
        <v>35</v>
      </c>
      <c r="V233" s="56" t="str">
        <f>[1]Data2025!V232</f>
        <v>Pieter B.P. Loi</v>
      </c>
      <c r="W233" s="56" t="str">
        <f>[1]Data2025!X232</f>
        <v>Jl. Diponegoro Kel. Pasar Telukdalam - Nias Selatan</v>
      </c>
      <c r="X233" s="57" t="s">
        <v>36</v>
      </c>
      <c r="Y233" s="57" t="str">
        <f t="shared" si="12"/>
        <v>Spanduk</v>
      </c>
      <c r="Z233" s="58" t="str">
        <f t="shared" si="13"/>
        <v>Spanduk</v>
      </c>
      <c r="AA233" s="59" t="s">
        <v>40</v>
      </c>
      <c r="AB233" s="60">
        <v>95000</v>
      </c>
      <c r="AC233" s="60">
        <v>95000</v>
      </c>
      <c r="AD233" s="54">
        <v>95000</v>
      </c>
      <c r="AE233" s="61">
        <v>85585.585585585592</v>
      </c>
      <c r="AF233" s="61">
        <v>95000</v>
      </c>
      <c r="AG233" s="62" t="s">
        <v>38</v>
      </c>
      <c r="AH233" s="63" t="str">
        <f>[1]Data2025!W232</f>
        <v>082166506229</v>
      </c>
    </row>
    <row r="234" spans="1:34" ht="26" thickTop="1" thickBot="1">
      <c r="A234" s="41">
        <f>[1]Data2025!G233</f>
        <v>110</v>
      </c>
      <c r="B234" s="42" t="str">
        <f>[1]Data2025!K233</f>
        <v>BPU49</v>
      </c>
      <c r="C234" s="43" t="str">
        <f>[1]Data2025!D233</f>
        <v>04. 06. 13.</v>
      </c>
      <c r="D234" s="44" t="str">
        <f>[1]Data2025!C233</f>
        <v>5.1.02.01.01.0052</v>
      </c>
      <c r="E234" s="45">
        <f>[1]Data2025!E233</f>
        <v>45734</v>
      </c>
      <c r="F234" s="46" t="str">
        <f>[1]Data2025!F233</f>
        <v>20/03/2025</v>
      </c>
      <c r="G234" s="45" t="str">
        <f>[1]Data2025!H233</f>
        <v>20/03/2025</v>
      </c>
      <c r="H234" s="45" t="str">
        <f t="shared" si="11"/>
        <v>20/03/2025</v>
      </c>
      <c r="I234" s="47" t="str">
        <f>[1]Data2025!J233</f>
        <v>20/03/2025</v>
      </c>
      <c r="J234" s="48" t="str">
        <f>[1]Data2025!L233</f>
        <v>Nasi Kotak pada kegiatan Peningkatan kompetensi guru untuk pembelajaran berorientasi pada peserta didik</v>
      </c>
      <c r="K234" s="48" t="str">
        <f>[1]Data2025!M233</f>
        <v>Nasi Kotak</v>
      </c>
      <c r="L234" s="49">
        <f>[1]Data2025!N233</f>
        <v>75</v>
      </c>
      <c r="M234" s="49" t="str">
        <f>[1]Data2025!O233</f>
        <v>kotak</v>
      </c>
      <c r="N234" s="50">
        <f>[1]Data2025!P233</f>
        <v>40000</v>
      </c>
      <c r="O234" s="51">
        <f>[1]Data2025!Q233</f>
        <v>3000000</v>
      </c>
      <c r="P234" s="52" t="s">
        <v>59</v>
      </c>
      <c r="Q234" s="53" t="str">
        <f>VLOOKUP(K234,[1]Sheet1!$C$1:$D$101,2,)</f>
        <v>Nasi Kotak (isi: Nasi putih;Sop daging; Sayur; Berat 1000gr; Dimensi; (PxLxT) 25cmx25cmx10cm)</v>
      </c>
      <c r="R234" s="54">
        <v>550000</v>
      </c>
      <c r="S234" s="55">
        <v>750000</v>
      </c>
      <c r="T234" s="56" t="str">
        <f>[1]Data2025!T233</f>
        <v>Resto JFC Esther</v>
      </c>
      <c r="U234" s="57" t="s">
        <v>35</v>
      </c>
      <c r="V234" s="56" t="str">
        <f>[1]Data2025!V233</f>
        <v>Limaati Daeli</v>
      </c>
      <c r="W234" s="56" t="str">
        <f>[1]Data2025!X233</f>
        <v>Jl. Saonigeho Km. 2 Telukdalam - Nias Selatan</v>
      </c>
      <c r="X234" s="57" t="s">
        <v>36</v>
      </c>
      <c r="Y234" s="57" t="str">
        <f t="shared" si="12"/>
        <v>Konsumsi</v>
      </c>
      <c r="Z234" s="58" t="str">
        <f t="shared" si="13"/>
        <v>Konsumsi</v>
      </c>
      <c r="AA234" s="59" t="s">
        <v>42</v>
      </c>
      <c r="AB234" s="60">
        <v>5500</v>
      </c>
      <c r="AC234" s="60">
        <v>550000</v>
      </c>
      <c r="AD234" s="54">
        <v>550000</v>
      </c>
      <c r="AE234" s="61">
        <v>495495.4954954955</v>
      </c>
      <c r="AF234" s="61">
        <v>550000</v>
      </c>
      <c r="AG234" s="62" t="s">
        <v>38</v>
      </c>
      <c r="AH234" s="63" t="str">
        <f>[1]Data2025!W233</f>
        <v>085297578868</v>
      </c>
    </row>
    <row r="235" spans="1:34" s="40" customFormat="1" ht="26" thickTop="1" thickBot="1">
      <c r="A235" s="17">
        <f>[1]Data2025!G234</f>
        <v>111</v>
      </c>
      <c r="B235" s="18" t="str">
        <f>[1]Data2025!K234</f>
        <v>BPU48</v>
      </c>
      <c r="C235" s="19" t="str">
        <f>[1]Data2025!D234</f>
        <v>04. 06. 13.</v>
      </c>
      <c r="D235" s="20" t="str">
        <f>[1]Data2025!C234</f>
        <v>5.1.02.01.01.0052</v>
      </c>
      <c r="E235" s="21">
        <f>[1]Data2025!E234</f>
        <v>45734</v>
      </c>
      <c r="F235" s="22" t="str">
        <f>[1]Data2025!F234</f>
        <v>20/03/2025</v>
      </c>
      <c r="G235" s="21" t="str">
        <f>[1]Data2025!H234</f>
        <v>20/03/2025</v>
      </c>
      <c r="H235" s="21" t="str">
        <f t="shared" si="11"/>
        <v>20/03/2025</v>
      </c>
      <c r="I235" s="23" t="str">
        <f>[1]Data2025!J234</f>
        <v>20/03/2025</v>
      </c>
      <c r="J235" s="24" t="str">
        <f>[1]Data2025!L234</f>
        <v>Kudapan Peningkatan kompetensi guru untuk pembelajaran berorientasi pada peserta didik</v>
      </c>
      <c r="K235" s="24" t="str">
        <f>[1]Data2025!M234</f>
        <v>Kue Besar</v>
      </c>
      <c r="L235" s="25">
        <f>[1]Data2025!N234</f>
        <v>75</v>
      </c>
      <c r="M235" s="25" t="str">
        <f>[1]Data2025!O234</f>
        <v>kotak</v>
      </c>
      <c r="N235" s="26">
        <f>[1]Data2025!P234</f>
        <v>15000</v>
      </c>
      <c r="O235" s="27">
        <f>[1]Data2025!Q234</f>
        <v>1125000</v>
      </c>
      <c r="P235" s="28" t="s">
        <v>58</v>
      </c>
      <c r="Q235" s="29" t="str">
        <f>VLOOKUP(K235,[1]Sheet1!$C$1:$D$101,2,)</f>
        <v>Kue (bahan tepung terigu, gula, telur, mentega; berat 100gr, panjang 15cm, lebar 8 cm)</v>
      </c>
      <c r="R235" s="30">
        <v>120000</v>
      </c>
      <c r="S235" s="31">
        <v>124000</v>
      </c>
      <c r="T235" s="32" t="str">
        <f>[1]Data2025!T234</f>
        <v>Rumah Roti Helena</v>
      </c>
      <c r="U235" s="33" t="s">
        <v>35</v>
      </c>
      <c r="V235" s="32" t="str">
        <f>[1]Data2025!V234</f>
        <v>Fudi Supiyanto</v>
      </c>
      <c r="W235" s="32" t="str">
        <f>[1]Data2025!X234</f>
        <v>Jln Ahmad Yani No.89 Kel. Pasar Telukdalam, Nias Selatan</v>
      </c>
      <c r="X235" s="33" t="s">
        <v>36</v>
      </c>
      <c r="Y235" s="33" t="str">
        <f t="shared" si="12"/>
        <v>Kudapan</v>
      </c>
      <c r="Z235" s="34" t="str">
        <f t="shared" si="13"/>
        <v>Kudapan</v>
      </c>
      <c r="AA235" s="35" t="s">
        <v>44</v>
      </c>
      <c r="AB235" s="36">
        <v>60000</v>
      </c>
      <c r="AC235" s="36">
        <v>120000</v>
      </c>
      <c r="AD235" s="30">
        <v>120000</v>
      </c>
      <c r="AE235" s="37">
        <v>108108.10810810811</v>
      </c>
      <c r="AF235" s="37">
        <v>120000</v>
      </c>
      <c r="AG235" s="38" t="s">
        <v>38</v>
      </c>
      <c r="AH235" s="39" t="str">
        <f>[1]Data2025!W234</f>
        <v>082164895397</v>
      </c>
    </row>
    <row r="236" spans="1:34" s="40" customFormat="1" ht="26" thickTop="1" thickBot="1">
      <c r="A236" s="17">
        <f>[1]Data2025!G235</f>
        <v>96</v>
      </c>
      <c r="B236" s="18" t="str">
        <f>[1]Data2025!K235</f>
        <v>BPU42</v>
      </c>
      <c r="C236" s="19" t="str">
        <f>[1]Data2025!D235</f>
        <v>05. 05. 02.</v>
      </c>
      <c r="D236" s="20" t="str">
        <f>[1]Data2025!C235</f>
        <v>5.1.02.01.01.0052</v>
      </c>
      <c r="E236" s="21">
        <f>[1]Data2025!E235</f>
        <v>45717</v>
      </c>
      <c r="F236" s="22" t="str">
        <f>[1]Data2025!F235</f>
        <v>03/03/2025</v>
      </c>
      <c r="G236" s="21" t="str">
        <f>[1]Data2025!H235</f>
        <v>03/03/2025</v>
      </c>
      <c r="H236" s="21" t="str">
        <f t="shared" si="11"/>
        <v>03/03/2025</v>
      </c>
      <c r="I236" s="23" t="str">
        <f>[1]Data2025!J235</f>
        <v>03/03/2025</v>
      </c>
      <c r="J236" s="24" t="str">
        <f>[1]Data2025!L235</f>
        <v>Air Mineral pada pelaksanaan kegiatan bulanan Gerakan Bersih Lingkungan Sekolah</v>
      </c>
      <c r="K236" s="24" t="str">
        <f>[1]Data2025!M235</f>
        <v>Aqua Cup</v>
      </c>
      <c r="L236" s="25">
        <f>[1]Data2025!N235</f>
        <v>25</v>
      </c>
      <c r="M236" s="25" t="str">
        <f>[1]Data2025!O235</f>
        <v>dus</v>
      </c>
      <c r="N236" s="26">
        <f>[1]Data2025!P235</f>
        <v>50000</v>
      </c>
      <c r="O236" s="27">
        <f>[1]Data2025!Q235</f>
        <v>1250000</v>
      </c>
      <c r="P236" s="28" t="s">
        <v>34</v>
      </c>
      <c r="Q236" s="29" t="str">
        <f>VLOOKUP(K236,[1]Sheet1!$C$1:$D$101,2,)</f>
        <v>Aqua Cup (Diameter: 6.3cm. Tinggi: 9.5cm)</v>
      </c>
      <c r="R236" s="30">
        <v>40000</v>
      </c>
      <c r="S236" s="31">
        <v>44000</v>
      </c>
      <c r="T236" s="32" t="str">
        <f>[1]Data2025!T235</f>
        <v>Rumah Roti Helena</v>
      </c>
      <c r="U236" s="33" t="s">
        <v>35</v>
      </c>
      <c r="V236" s="32" t="str">
        <f>[1]Data2025!V235</f>
        <v>Fudi Supiyanto</v>
      </c>
      <c r="W236" s="32" t="str">
        <f>[1]Data2025!X235</f>
        <v>Jln Ahmad Yani No.89 Kel. Pasar Telukdalam, Nias Selatan</v>
      </c>
      <c r="X236" s="33" t="s">
        <v>36</v>
      </c>
      <c r="Y236" s="33" t="str">
        <f t="shared" si="12"/>
        <v>Air Mineral</v>
      </c>
      <c r="Z236" s="34" t="str">
        <f t="shared" si="13"/>
        <v>Air Mineral</v>
      </c>
      <c r="AA236" s="35" t="s">
        <v>42</v>
      </c>
      <c r="AB236" s="36">
        <v>20000</v>
      </c>
      <c r="AC236" s="36">
        <v>40000</v>
      </c>
      <c r="AD236" s="30">
        <v>40000</v>
      </c>
      <c r="AE236" s="37">
        <v>36036.036036036036</v>
      </c>
      <c r="AF236" s="37">
        <v>40000</v>
      </c>
      <c r="AG236" s="38" t="s">
        <v>38</v>
      </c>
      <c r="AH236" s="39" t="str">
        <f>[1]Data2025!W235</f>
        <v>082164895397</v>
      </c>
    </row>
    <row r="237" spans="1:34" ht="16.5" thickTop="1" thickBot="1">
      <c r="A237" s="41">
        <f>[1]Data2025!G236</f>
        <v>104</v>
      </c>
      <c r="B237" s="42" t="str">
        <f>[1]Data2025!K236</f>
        <v>BPU44</v>
      </c>
      <c r="C237" s="43" t="str">
        <f>[1]Data2025!D236</f>
        <v>05. 08. 02.</v>
      </c>
      <c r="D237" s="44" t="str">
        <f>[1]Data2025!C236</f>
        <v>5.1.02.01.01.0012</v>
      </c>
      <c r="E237" s="45">
        <f>[1]Data2025!E236</f>
        <v>45731</v>
      </c>
      <c r="F237" s="46" t="str">
        <f>[1]Data2025!F236</f>
        <v>17/03/2025</v>
      </c>
      <c r="G237" s="45" t="str">
        <f>[1]Data2025!H236</f>
        <v>18/03/2025</v>
      </c>
      <c r="H237" s="45" t="str">
        <f t="shared" si="11"/>
        <v>18/03/2025</v>
      </c>
      <c r="I237" s="47" t="str">
        <f>[1]Data2025!J236</f>
        <v>18/03/2025</v>
      </c>
      <c r="J237" s="48" t="str">
        <f>[1]Data2025!L236</f>
        <v>Jasa Pebaikan Pagar Besi Sekolah</v>
      </c>
      <c r="K237" s="48">
        <f>[1]Data2025!M236</f>
        <v>0</v>
      </c>
      <c r="L237" s="49">
        <f>[1]Data2025!N236</f>
        <v>1</v>
      </c>
      <c r="M237" s="49" t="str">
        <f>[1]Data2025!O236</f>
        <v>kegiatan</v>
      </c>
      <c r="N237" s="50">
        <f>[1]Data2025!P236</f>
        <v>4000000</v>
      </c>
      <c r="O237" s="51">
        <f>[1]Data2025!Q236</f>
        <v>4000000</v>
      </c>
      <c r="P237" s="52" t="s">
        <v>39</v>
      </c>
      <c r="Q237" s="53" t="e">
        <f>VLOOKUP(K237,[1]Sheet1!$C$1:$D$101,2,)</f>
        <v>#N/A</v>
      </c>
      <c r="R237" s="54">
        <v>155000</v>
      </c>
      <c r="S237" s="55">
        <v>165000</v>
      </c>
      <c r="T237" s="56">
        <f>[1]Data2025!T236</f>
        <v>0</v>
      </c>
      <c r="U237" s="57" t="s">
        <v>35</v>
      </c>
      <c r="V237" s="56" t="e">
        <f>[1]Data2025!V236</f>
        <v>#N/A</v>
      </c>
      <c r="W237" s="56" t="e">
        <f>[1]Data2025!X236</f>
        <v>#N/A</v>
      </c>
      <c r="X237" s="57" t="s">
        <v>36</v>
      </c>
      <c r="Y237" s="57" t="str">
        <f t="shared" si="12"/>
        <v>Pemeliharaan</v>
      </c>
      <c r="Z237" s="58" t="str">
        <f t="shared" si="13"/>
        <v>Pemeliharaan</v>
      </c>
      <c r="AA237" s="59" t="s">
        <v>44</v>
      </c>
      <c r="AB237" s="60">
        <v>31000</v>
      </c>
      <c r="AC237" s="60">
        <v>155000</v>
      </c>
      <c r="AD237" s="54">
        <v>155000</v>
      </c>
      <c r="AE237" s="61">
        <v>139639.63963963964</v>
      </c>
      <c r="AF237" s="61">
        <v>155000</v>
      </c>
      <c r="AG237" s="62" t="s">
        <v>38</v>
      </c>
      <c r="AH237" s="63" t="e">
        <f>[1]Data2025!W236</f>
        <v>#N/A</v>
      </c>
    </row>
    <row r="238" spans="1:34" ht="16.5" thickTop="1" thickBot="1">
      <c r="A238" s="41">
        <f>[1]Data2025!G237</f>
        <v>105</v>
      </c>
      <c r="B238" s="42" t="str">
        <f>[1]Data2025!K237</f>
        <v>BNU55</v>
      </c>
      <c r="C238" s="43" t="str">
        <f>[1]Data2025!D237</f>
        <v>05. 08. 02.</v>
      </c>
      <c r="D238" s="44" t="str">
        <f>[1]Data2025!C237</f>
        <v>5.1.02.01.01.0036</v>
      </c>
      <c r="E238" s="45">
        <f>[1]Data2025!E237</f>
        <v>45731</v>
      </c>
      <c r="F238" s="46" t="str">
        <f>[1]Data2025!F237</f>
        <v>17/03/2025</v>
      </c>
      <c r="G238" s="45" t="str">
        <f>[1]Data2025!H237</f>
        <v>18/03/2025</v>
      </c>
      <c r="H238" s="45" t="str">
        <f t="shared" si="11"/>
        <v>18/03/2025</v>
      </c>
      <c r="I238" s="47" t="str">
        <f>[1]Data2025!J237</f>
        <v>25/03/2025</v>
      </c>
      <c r="J238" s="48" t="str">
        <f>[1]Data2025!L237</f>
        <v>Pengadaan Kursi Guru</v>
      </c>
      <c r="K238" s="48" t="str">
        <f>[1]Data2025!M237</f>
        <v>Kursi Guru</v>
      </c>
      <c r="L238" s="49">
        <f>[1]Data2025!N237</f>
        <v>30</v>
      </c>
      <c r="M238" s="49" t="str">
        <f>[1]Data2025!O237</f>
        <v>unit</v>
      </c>
      <c r="N238" s="50">
        <f>[1]Data2025!P237</f>
        <v>680000</v>
      </c>
      <c r="O238" s="51">
        <f>[1]Data2025!Q237</f>
        <v>20400000</v>
      </c>
      <c r="P238" s="52" t="s">
        <v>81</v>
      </c>
      <c r="Q238" s="53" t="e">
        <f>VLOOKUP(K238,[1]Sheet1!$C$1:$D$101,2,)</f>
        <v>#N/A</v>
      </c>
      <c r="R238" s="54">
        <v>40000</v>
      </c>
      <c r="S238" s="55">
        <v>44000</v>
      </c>
      <c r="T238" s="56" t="str">
        <f>[1]Data2025!T237</f>
        <v>CV. Marsatu Jaya Badiri</v>
      </c>
      <c r="U238" s="57" t="s">
        <v>35</v>
      </c>
      <c r="V238" s="56" t="str">
        <f>[1]Data2025!V237</f>
        <v>Marusaha S. Simanjuntak</v>
      </c>
      <c r="W238" s="56" t="str">
        <f>[1]Data2025!X237</f>
        <v>Jl. Oswald Siahaan No. 6A Aek Tolang Pandan</v>
      </c>
      <c r="X238" s="57" t="s">
        <v>36</v>
      </c>
      <c r="Y238" s="57" t="str">
        <f t="shared" si="12"/>
        <v>Peralatan Sekolah</v>
      </c>
      <c r="Z238" s="58" t="str">
        <f t="shared" si="13"/>
        <v>Peralatan Sekolah</v>
      </c>
      <c r="AA238" s="59" t="s">
        <v>47</v>
      </c>
      <c r="AB238" s="60">
        <v>20000</v>
      </c>
      <c r="AC238" s="60">
        <v>40000</v>
      </c>
      <c r="AD238" s="54">
        <v>40000</v>
      </c>
      <c r="AE238" s="61">
        <v>36036.036036036036</v>
      </c>
      <c r="AF238" s="61">
        <v>40000</v>
      </c>
      <c r="AG238" s="62" t="s">
        <v>82</v>
      </c>
      <c r="AH238" s="63" t="str">
        <f>[1]Data2025!W237</f>
        <v>085261247862</v>
      </c>
    </row>
    <row r="239" spans="1:34" ht="16.5" thickTop="1" thickBot="1">
      <c r="A239" s="41">
        <f>[1]Data2025!G238</f>
        <v>0</v>
      </c>
      <c r="B239" s="42" t="e">
        <f>[1]Data2025!K238</f>
        <v>#N/A</v>
      </c>
      <c r="C239" s="43" t="str">
        <f>[1]Data2025!D238</f>
        <v>05. 08. 02.</v>
      </c>
      <c r="D239" s="44" t="str">
        <f>[1]Data2025!C238</f>
        <v>5.1.02.01.01.0036</v>
      </c>
      <c r="E239" s="45">
        <f>[1]Data2025!E238</f>
        <v>45717</v>
      </c>
      <c r="F239" s="46" t="str">
        <f>[1]Data2025!F238</f>
        <v>03/03/2025</v>
      </c>
      <c r="G239" s="45" t="str">
        <f>[1]Data2025!H238</f>
        <v>23/04/2025</v>
      </c>
      <c r="H239" s="45" t="str">
        <f t="shared" si="11"/>
        <v>23/04/2025</v>
      </c>
      <c r="I239" s="47" t="str">
        <f>[1]Data2025!J238</f>
        <v>23/04/2025</v>
      </c>
      <c r="J239" s="48" t="str">
        <f>[1]Data2025!L238</f>
        <v>Pengadaan Meja Guru</v>
      </c>
      <c r="K239" s="48" t="str">
        <f>[1]Data2025!M238</f>
        <v>Meja Guru</v>
      </c>
      <c r="L239" s="49">
        <f>[1]Data2025!N238</f>
        <v>4</v>
      </c>
      <c r="M239" s="49" t="str">
        <f>[1]Data2025!O238</f>
        <v>buah</v>
      </c>
      <c r="N239" s="50">
        <f>[1]Data2025!P238</f>
        <v>2352500</v>
      </c>
      <c r="O239" s="51">
        <f>[1]Data2025!Q238</f>
        <v>9410000</v>
      </c>
      <c r="P239" s="52" t="s">
        <v>81</v>
      </c>
      <c r="Q239" s="53" t="e">
        <f>VLOOKUP(K239,[1]Sheet1!$C$1:$D$101,2,)</f>
        <v>#N/A</v>
      </c>
      <c r="R239" s="54">
        <v>396000</v>
      </c>
      <c r="S239" s="55">
        <v>420000</v>
      </c>
      <c r="T239" s="56">
        <f>[1]Data2025!T238</f>
        <v>0</v>
      </c>
      <c r="U239" s="57" t="s">
        <v>35</v>
      </c>
      <c r="V239" s="56" t="e">
        <f>[1]Data2025!V238</f>
        <v>#N/A</v>
      </c>
      <c r="W239" s="56" t="e">
        <f>[1]Data2025!X238</f>
        <v>#N/A</v>
      </c>
      <c r="X239" s="57" t="s">
        <v>36</v>
      </c>
      <c r="Y239" s="57" t="str">
        <f t="shared" si="12"/>
        <v>Peralatan Sekolah</v>
      </c>
      <c r="Z239" s="58" t="str">
        <f t="shared" si="13"/>
        <v>Peralatan Sekolah</v>
      </c>
      <c r="AA239" s="59" t="s">
        <v>48</v>
      </c>
      <c r="AB239" s="60">
        <v>33000</v>
      </c>
      <c r="AC239" s="60">
        <v>396000</v>
      </c>
      <c r="AD239" s="54">
        <v>396000</v>
      </c>
      <c r="AE239" s="61">
        <v>356756.75675675675</v>
      </c>
      <c r="AF239" s="61">
        <v>396000</v>
      </c>
      <c r="AG239" s="62" t="s">
        <v>38</v>
      </c>
      <c r="AH239" s="63" t="e">
        <f>[1]Data2025!W238</f>
        <v>#N/A</v>
      </c>
    </row>
    <row r="240" spans="1:34" ht="16.5" thickTop="1" thickBot="1">
      <c r="A240" s="41">
        <f>[1]Data2025!G239</f>
        <v>106</v>
      </c>
      <c r="B240" s="42" t="str">
        <f>[1]Data2025!K239</f>
        <v>BPU54</v>
      </c>
      <c r="C240" s="43" t="str">
        <f>[1]Data2025!D239</f>
        <v>05. 08. 02.</v>
      </c>
      <c r="D240" s="44" t="str">
        <f>[1]Data2025!C239</f>
        <v>5.1.02.01.01.0036</v>
      </c>
      <c r="E240" s="45">
        <f>[1]Data2025!E239</f>
        <v>45739</v>
      </c>
      <c r="F240" s="46" t="str">
        <f>[1]Data2025!F239</f>
        <v>25/03/2025</v>
      </c>
      <c r="G240" s="45" t="str">
        <f>[1]Data2025!H239</f>
        <v>25/03/2025</v>
      </c>
      <c r="H240" s="45" t="str">
        <f t="shared" si="11"/>
        <v>25/03/2025</v>
      </c>
      <c r="I240" s="47" t="str">
        <f>[1]Data2025!J239</f>
        <v>25/03/2025</v>
      </c>
      <c r="J240" s="48" t="str">
        <f>[1]Data2025!L239</f>
        <v>Jasa Angkutan Kursi Guru</v>
      </c>
      <c r="K240" s="48" t="str">
        <f>[1]Data2025!M239</f>
        <v>Bayar Jasa angkut kursi guru</v>
      </c>
      <c r="L240" s="49">
        <f>[1]Data2025!N239</f>
        <v>1</v>
      </c>
      <c r="M240" s="49" t="str">
        <f>[1]Data2025!O239</f>
        <v>kegiatan</v>
      </c>
      <c r="N240" s="50">
        <f>[1]Data2025!P239</f>
        <v>3000000</v>
      </c>
      <c r="O240" s="51">
        <f>[1]Data2025!Q239</f>
        <v>3000000</v>
      </c>
      <c r="P240" s="52" t="s">
        <v>53</v>
      </c>
      <c r="Q240" s="53" t="e">
        <f>VLOOKUP(K240,[1]Sheet1!$C$1:$D$101,2,)</f>
        <v>#N/A</v>
      </c>
      <c r="R240" s="54">
        <v>75000</v>
      </c>
      <c r="S240" s="55">
        <v>85000</v>
      </c>
      <c r="T240" s="56">
        <f>[1]Data2025!T239</f>
        <v>0</v>
      </c>
      <c r="U240" s="57" t="s">
        <v>35</v>
      </c>
      <c r="V240" s="56" t="e">
        <f>[1]Data2025!V239</f>
        <v>#N/A</v>
      </c>
      <c r="W240" s="56" t="e">
        <f>[1]Data2025!X239</f>
        <v>#N/A</v>
      </c>
      <c r="X240" s="57" t="s">
        <v>36</v>
      </c>
      <c r="Y240" s="57" t="str">
        <f t="shared" si="12"/>
        <v>Jasa Angkutan</v>
      </c>
      <c r="Z240" s="58" t="str">
        <f t="shared" si="13"/>
        <v>Jasa Angkutan</v>
      </c>
      <c r="AA240" s="59" t="s">
        <v>42</v>
      </c>
      <c r="AB240" s="60">
        <v>15000</v>
      </c>
      <c r="AC240" s="60">
        <v>75000</v>
      </c>
      <c r="AD240" s="54">
        <v>75000</v>
      </c>
      <c r="AE240" s="61">
        <v>67567.567567567574</v>
      </c>
      <c r="AF240" s="61">
        <v>75000</v>
      </c>
      <c r="AG240" s="62" t="s">
        <v>38</v>
      </c>
      <c r="AH240" s="63" t="e">
        <f>[1]Data2025!W239</f>
        <v>#N/A</v>
      </c>
    </row>
    <row r="241" spans="1:37" ht="16.5" thickTop="1" thickBot="1">
      <c r="A241" s="41">
        <f>[1]Data2025!G240</f>
        <v>114</v>
      </c>
      <c r="B241" s="42" t="str">
        <f>[1]Data2025!K240</f>
        <v>BPU53</v>
      </c>
      <c r="C241" s="43" t="str">
        <f>[1]Data2025!D240</f>
        <v>06. 05. 02.</v>
      </c>
      <c r="D241" s="44" t="str">
        <f>[1]Data2025!C240</f>
        <v>5.1.02.01.01.0052</v>
      </c>
      <c r="E241" s="45">
        <f>[1]Data2025!E240</f>
        <v>45735</v>
      </c>
      <c r="F241" s="46" t="str">
        <f>[1]Data2025!F240</f>
        <v>21/03/2025</v>
      </c>
      <c r="G241" s="45" t="str">
        <f>[1]Data2025!H240</f>
        <v>22/03/2025</v>
      </c>
      <c r="H241" s="45" t="str">
        <f t="shared" si="11"/>
        <v>22/03/2025</v>
      </c>
      <c r="I241" s="47" t="str">
        <f>[1]Data2025!J240</f>
        <v>22/03/2025</v>
      </c>
      <c r="J241" s="48" t="str">
        <f>[1]Data2025!L240</f>
        <v>Kudapan Rapat Rutin Bulanan</v>
      </c>
      <c r="K241" s="48" t="str">
        <f>[1]Data2025!M240</f>
        <v>Kue Besar</v>
      </c>
      <c r="L241" s="49">
        <f>[1]Data2025!N240</f>
        <v>60</v>
      </c>
      <c r="M241" s="49" t="str">
        <f>[1]Data2025!O240</f>
        <v>buah</v>
      </c>
      <c r="N241" s="50">
        <f>[1]Data2025!P240</f>
        <v>15000</v>
      </c>
      <c r="O241" s="51">
        <f>[1]Data2025!Q240</f>
        <v>900000</v>
      </c>
      <c r="P241" s="52" t="s">
        <v>58</v>
      </c>
      <c r="Q241" s="53" t="str">
        <f>VLOOKUP(K241,[1]Sheet1!$C$1:$D$101,2,)</f>
        <v>Kue (bahan tepung terigu, gula, telur, mentega; berat 100gr, panjang 15cm, lebar 8 cm)</v>
      </c>
      <c r="R241" s="54">
        <v>300000</v>
      </c>
      <c r="S241" s="55">
        <v>310000</v>
      </c>
      <c r="T241" s="56">
        <f>[1]Data2025!T240</f>
        <v>0</v>
      </c>
      <c r="U241" s="57" t="s">
        <v>35</v>
      </c>
      <c r="V241" s="56" t="e">
        <f>[1]Data2025!V240</f>
        <v>#N/A</v>
      </c>
      <c r="W241" s="56" t="e">
        <f>[1]Data2025!X240</f>
        <v>#N/A</v>
      </c>
      <c r="X241" s="57" t="s">
        <v>36</v>
      </c>
      <c r="Y241" s="57" t="str">
        <f t="shared" si="12"/>
        <v>Kudapan</v>
      </c>
      <c r="Z241" s="58" t="str">
        <f t="shared" si="13"/>
        <v>Kudapan</v>
      </c>
      <c r="AA241" s="59" t="s">
        <v>44</v>
      </c>
      <c r="AB241" s="60">
        <v>60000</v>
      </c>
      <c r="AC241" s="60">
        <v>300000</v>
      </c>
      <c r="AD241" s="54">
        <v>300000</v>
      </c>
      <c r="AE241" s="61">
        <v>270270.2702702703</v>
      </c>
      <c r="AF241" s="61">
        <v>300000</v>
      </c>
      <c r="AG241" s="62" t="s">
        <v>38</v>
      </c>
      <c r="AH241" s="63" t="e">
        <f>[1]Data2025!W240</f>
        <v>#N/A</v>
      </c>
    </row>
    <row r="242" spans="1:37" ht="38.5" thickTop="1" thickBot="1">
      <c r="A242" s="41">
        <f>[1]Data2025!G241</f>
        <v>107</v>
      </c>
      <c r="B242" s="42" t="str">
        <f>[1]Data2025!K241</f>
        <v>BPU45</v>
      </c>
      <c r="C242" s="43" t="str">
        <f>[1]Data2025!D241</f>
        <v>06. 05. 05.</v>
      </c>
      <c r="D242" s="44" t="str">
        <f>[1]Data2025!C241</f>
        <v>5.1.02.01.01.0055</v>
      </c>
      <c r="E242" s="45">
        <f>[1]Data2025!E241</f>
        <v>45731</v>
      </c>
      <c r="F242" s="46" t="str">
        <f>[1]Data2025!F241</f>
        <v>17/03/2025</v>
      </c>
      <c r="G242" s="45" t="str">
        <f>[1]Data2025!H241</f>
        <v>18/03/2025</v>
      </c>
      <c r="H242" s="45" t="str">
        <f t="shared" si="11"/>
        <v>18/03/2025</v>
      </c>
      <c r="I242" s="47" t="str">
        <f>[1]Data2025!J241</f>
        <v>18/03/2025</v>
      </c>
      <c r="J242" s="48" t="str">
        <f>[1]Data2025!L241</f>
        <v>Satuan Biaya Konsumsi Makanan dan Minuman Fasilitas Pelayanan Urusan Pendidikan Biasa, Kudapan (Snack) - Provinsi Sumatera Utara--</v>
      </c>
      <c r="K242" s="48" t="str">
        <f>[1]Data2025!M241</f>
        <v>Nasi Kotak</v>
      </c>
      <c r="L242" s="49">
        <f>[1]Data2025!N241</f>
        <v>12</v>
      </c>
      <c r="M242" s="49" t="str">
        <f>[1]Data2025!O241</f>
        <v>kotak</v>
      </c>
      <c r="N242" s="50">
        <f>[1]Data2025!P241</f>
        <v>15000</v>
      </c>
      <c r="O242" s="51">
        <f>[1]Data2025!Q241</f>
        <v>180000</v>
      </c>
      <c r="P242" s="52" t="s">
        <v>59</v>
      </c>
      <c r="Q242" s="53" t="str">
        <f>VLOOKUP(K242,[1]Sheet1!$C$1:$D$101,2,)</f>
        <v>Nasi Kotak (isi: Nasi putih;Sop daging; Sayur; Berat 1000gr; Dimensi; (PxLxT) 25cmx25cmx10cm)</v>
      </c>
      <c r="R242" s="54">
        <v>37500</v>
      </c>
      <c r="S242" s="55">
        <v>47500</v>
      </c>
      <c r="T242" s="56" t="str">
        <f>[1]Data2025!T241</f>
        <v>Resto JFC Esther</v>
      </c>
      <c r="U242" s="57" t="s">
        <v>35</v>
      </c>
      <c r="V242" s="56" t="str">
        <f>[1]Data2025!V241</f>
        <v>Limaati Daeli</v>
      </c>
      <c r="W242" s="56" t="str">
        <f>[1]Data2025!X241</f>
        <v>Jl. Saonigeho Km. 2 Telukdalam - Nias Selatan</v>
      </c>
      <c r="X242" s="57" t="s">
        <v>36</v>
      </c>
      <c r="Y242" s="57" t="str">
        <f t="shared" si="12"/>
        <v>Konsumsi</v>
      </c>
      <c r="Z242" s="58" t="str">
        <f t="shared" si="13"/>
        <v>Konsumsi</v>
      </c>
      <c r="AA242" s="59" t="s">
        <v>37</v>
      </c>
      <c r="AB242" s="60">
        <v>7500</v>
      </c>
      <c r="AC242" s="60">
        <v>37500</v>
      </c>
      <c r="AD242" s="54">
        <v>37500</v>
      </c>
      <c r="AE242" s="61">
        <v>33783.783783783787</v>
      </c>
      <c r="AF242" s="61">
        <v>37500</v>
      </c>
      <c r="AG242" s="62" t="s">
        <v>38</v>
      </c>
      <c r="AH242" s="63" t="str">
        <f>[1]Data2025!W241</f>
        <v>085297578868</v>
      </c>
      <c r="AI242" s="92"/>
      <c r="AJ242" s="92"/>
    </row>
    <row r="243" spans="1:37" ht="38.5" thickTop="1" thickBot="1">
      <c r="A243" s="41">
        <f>[1]Data2025!G242</f>
        <v>108</v>
      </c>
      <c r="B243" s="42" t="str">
        <f>[1]Data2025!K242</f>
        <v>BPU46</v>
      </c>
      <c r="C243" s="43" t="str">
        <f>[1]Data2025!D242</f>
        <v>06. 05. 05.</v>
      </c>
      <c r="D243" s="44" t="str">
        <f>[1]Data2025!C242</f>
        <v>5.1.02.01.01.0055</v>
      </c>
      <c r="E243" s="45">
        <f>[1]Data2025!E242</f>
        <v>45731</v>
      </c>
      <c r="F243" s="46" t="str">
        <f>[1]Data2025!F242</f>
        <v>17/03/2025</v>
      </c>
      <c r="G243" s="45" t="str">
        <f>[1]Data2025!H242</f>
        <v>18/03/2025</v>
      </c>
      <c r="H243" s="45" t="str">
        <f t="shared" si="11"/>
        <v>18/03/2025</v>
      </c>
      <c r="I243" s="47" t="str">
        <f>[1]Data2025!J242</f>
        <v>18/03/2025</v>
      </c>
      <c r="J243" s="48" t="str">
        <f>[1]Data2025!L242</f>
        <v>Satuan Biaya Konsumsi Makanan dan Minuman Fasilitas Pelayanan Urusan Pendidikan Biasa, Makan - Provinsi Sumatera Utara--</v>
      </c>
      <c r="K243" s="48" t="str">
        <f>[1]Data2025!M242</f>
        <v>Nasi Kotak</v>
      </c>
      <c r="L243" s="49">
        <f>[1]Data2025!N242</f>
        <v>12</v>
      </c>
      <c r="M243" s="49" t="str">
        <f>[1]Data2025!O242</f>
        <v>kotak</v>
      </c>
      <c r="N243" s="50">
        <f>[1]Data2025!P242</f>
        <v>40000</v>
      </c>
      <c r="O243" s="51">
        <f>[1]Data2025!Q242</f>
        <v>480000</v>
      </c>
      <c r="P243" s="52" t="s">
        <v>59</v>
      </c>
      <c r="Q243" s="53" t="str">
        <f>VLOOKUP(K243,[1]Sheet1!$C$1:$D$101,2,)</f>
        <v>Nasi Kotak (isi: Nasi putih;Sop daging; Sayur; Berat 1000gr; Dimensi; (PxLxT) 25cmx25cmx10cm)</v>
      </c>
      <c r="R243" s="54">
        <v>69000</v>
      </c>
      <c r="S243" s="55">
        <v>75000</v>
      </c>
      <c r="T243" s="56" t="str">
        <f>[1]Data2025!T242</f>
        <v>Resto JFC Esther</v>
      </c>
      <c r="U243" s="57" t="s">
        <v>35</v>
      </c>
      <c r="V243" s="56" t="str">
        <f>[1]Data2025!V242</f>
        <v>Limaati Daeli</v>
      </c>
      <c r="W243" s="56" t="str">
        <f>[1]Data2025!X242</f>
        <v>Jl. Saonigeho Km. 2 Telukdalam - Nias Selatan</v>
      </c>
      <c r="X243" s="57" t="s">
        <v>36</v>
      </c>
      <c r="Y243" s="57" t="str">
        <f t="shared" si="12"/>
        <v>Konsumsi</v>
      </c>
      <c r="Z243" s="58" t="str">
        <f t="shared" si="13"/>
        <v>Konsumsi</v>
      </c>
      <c r="AA243" s="59" t="s">
        <v>44</v>
      </c>
      <c r="AB243" s="60">
        <v>23000</v>
      </c>
      <c r="AC243" s="60">
        <v>69000</v>
      </c>
      <c r="AD243" s="54">
        <v>69000</v>
      </c>
      <c r="AE243" s="61">
        <v>62162.16216216216</v>
      </c>
      <c r="AF243" s="61">
        <v>69000</v>
      </c>
      <c r="AG243" s="62" t="s">
        <v>38</v>
      </c>
      <c r="AH243" s="63" t="str">
        <f>[1]Data2025!W242</f>
        <v>085297578868</v>
      </c>
    </row>
    <row r="244" spans="1:37" ht="16.5" thickTop="1" thickBot="1">
      <c r="A244" s="41">
        <f>[1]Data2025!G243</f>
        <v>97</v>
      </c>
      <c r="B244" s="42" t="e">
        <f>[1]Data2025!K243</f>
        <v>#N/A</v>
      </c>
      <c r="C244" s="43" t="str">
        <f>[1]Data2025!D243</f>
        <v>06. 05. 08.</v>
      </c>
      <c r="D244" s="44" t="str">
        <f>[1]Data2025!C243</f>
        <v>5.1.02.01.01.0024</v>
      </c>
      <c r="E244" s="45">
        <f>[1]Data2025!E243</f>
        <v>45717</v>
      </c>
      <c r="F244" s="46" t="str">
        <f>[1]Data2025!F243</f>
        <v>03/03/2025</v>
      </c>
      <c r="G244" s="45" t="str">
        <f>[1]Data2025!H243</f>
        <v>03/03/2025</v>
      </c>
      <c r="H244" s="45" t="str">
        <f t="shared" si="11"/>
        <v>03/03/2025</v>
      </c>
      <c r="I244" s="47" t="str">
        <f>[1]Data2025!J243</f>
        <v>23/04/2025</v>
      </c>
      <c r="J244" s="48" t="str">
        <f>[1]Data2025!L243</f>
        <v>Plastik Mika</v>
      </c>
      <c r="K244" s="48" t="str">
        <f>[1]Data2025!M243</f>
        <v>Plastik Mika</v>
      </c>
      <c r="L244" s="49">
        <f>[1]Data2025!N243</f>
        <v>5</v>
      </c>
      <c r="M244" s="49" t="str">
        <f>[1]Data2025!O243</f>
        <v>bungkus</v>
      </c>
      <c r="N244" s="50">
        <f>[1]Data2025!P243</f>
        <v>60000</v>
      </c>
      <c r="O244" s="51">
        <f>[1]Data2025!Q243</f>
        <v>300000</v>
      </c>
      <c r="P244" s="52" t="s">
        <v>43</v>
      </c>
      <c r="Q244" s="53" t="str">
        <f>VLOOKUP(K244,[1]Sheet1!$C$1:$D$101,2,)</f>
        <v>Plastik Mika Jilid F4 (Length 21.0Cm, Width 33.0Cm, Height 7.0Cm, Weight 548Gr)</v>
      </c>
      <c r="R244" s="54">
        <v>125000</v>
      </c>
      <c r="S244" s="55">
        <v>135000</v>
      </c>
      <c r="T244" s="56">
        <f>[1]Data2025!T243</f>
        <v>0</v>
      </c>
      <c r="U244" s="57" t="s">
        <v>35</v>
      </c>
      <c r="V244" s="56" t="e">
        <f>[1]Data2025!V243</f>
        <v>#N/A</v>
      </c>
      <c r="W244" s="56" t="e">
        <f>[1]Data2025!X243</f>
        <v>#N/A</v>
      </c>
      <c r="X244" s="57" t="s">
        <v>36</v>
      </c>
      <c r="Y244" s="57" t="str">
        <f t="shared" si="12"/>
        <v>Alat Tulis Kantor (ATK)</v>
      </c>
      <c r="Z244" s="58" t="str">
        <f t="shared" si="13"/>
        <v>Alat Tulis Kantor (ATK)</v>
      </c>
      <c r="AA244" s="59" t="s">
        <v>49</v>
      </c>
      <c r="AB244" s="60">
        <v>25000</v>
      </c>
      <c r="AC244" s="60">
        <v>125000</v>
      </c>
      <c r="AD244" s="54">
        <v>125000</v>
      </c>
      <c r="AE244" s="61">
        <v>112612.61261261262</v>
      </c>
      <c r="AF244" s="61">
        <v>125000</v>
      </c>
      <c r="AG244" s="62" t="s">
        <v>38</v>
      </c>
      <c r="AH244" s="63" t="e">
        <f>[1]Data2025!W243</f>
        <v>#N/A</v>
      </c>
    </row>
    <row r="245" spans="1:37" ht="26" thickTop="1" thickBot="1">
      <c r="A245" s="41">
        <f>[1]Data2025!G244</f>
        <v>97</v>
      </c>
      <c r="B245" s="42" t="e">
        <f>[1]Data2025!K244</f>
        <v>#N/A</v>
      </c>
      <c r="C245" s="43" t="str">
        <f>[1]Data2025!D244</f>
        <v>06. 05. 08.</v>
      </c>
      <c r="D245" s="44" t="str">
        <f>[1]Data2025!C244</f>
        <v>5.1.02.01.01.0024</v>
      </c>
      <c r="E245" s="45">
        <f>[1]Data2025!E244</f>
        <v>45717</v>
      </c>
      <c r="F245" s="46" t="str">
        <f>[1]Data2025!F244</f>
        <v>03/03/2025</v>
      </c>
      <c r="G245" s="45" t="str">
        <f>[1]Data2025!H244</f>
        <v>03/03/2025</v>
      </c>
      <c r="H245" s="45" t="str">
        <f t="shared" si="11"/>
        <v>03/03/2025</v>
      </c>
      <c r="I245" s="47" t="str">
        <f>[1]Data2025!J244</f>
        <v>23/04/2025</v>
      </c>
      <c r="J245" s="48" t="str">
        <f>[1]Data2025!L244</f>
        <v>Kertas Warna Blank Folio, Ukuran : 8,5 x 14",  70 gram</v>
      </c>
      <c r="K245" s="48" t="str">
        <f>[1]Data2025!M244</f>
        <v>Kertas Warna Blank Folio, Ukuran : 8,5 x 14",  70 gram</v>
      </c>
      <c r="L245" s="49">
        <f>[1]Data2025!N244</f>
        <v>2</v>
      </c>
      <c r="M245" s="49" t="str">
        <f>[1]Data2025!O244</f>
        <v>rim</v>
      </c>
      <c r="N245" s="50">
        <f>[1]Data2025!P244</f>
        <v>90000</v>
      </c>
      <c r="O245" s="51">
        <f>[1]Data2025!Q244</f>
        <v>180000</v>
      </c>
      <c r="P245" s="52" t="s">
        <v>43</v>
      </c>
      <c r="Q245" s="53" t="str">
        <f>VLOOKUP(K245,[1]Sheet1!$C$1:$D$101,2,)</f>
        <v>Kertas Hvs Warna 70 Gsm (Length 21.0Cm, Width 33.0Cm, Height 7.0Cm, Weight 2400Gr)</v>
      </c>
      <c r="R245" s="54">
        <v>209000</v>
      </c>
      <c r="S245" s="55">
        <v>229000</v>
      </c>
      <c r="T245" s="56">
        <f>[1]Data2025!T244</f>
        <v>0</v>
      </c>
      <c r="U245" s="57" t="s">
        <v>35</v>
      </c>
      <c r="V245" s="56" t="e">
        <f>[1]Data2025!V244</f>
        <v>#N/A</v>
      </c>
      <c r="W245" s="56" t="e">
        <f>[1]Data2025!X244</f>
        <v>#N/A</v>
      </c>
      <c r="X245" s="57" t="s">
        <v>36</v>
      </c>
      <c r="Y245" s="57" t="str">
        <f t="shared" si="12"/>
        <v>Alat Tulis Kantor (ATK)</v>
      </c>
      <c r="Z245" s="58" t="str">
        <f t="shared" si="13"/>
        <v>Alat Tulis Kantor (ATK)</v>
      </c>
      <c r="AA245" s="59" t="s">
        <v>42</v>
      </c>
      <c r="AB245" s="60">
        <v>20900</v>
      </c>
      <c r="AC245" s="60">
        <v>209000</v>
      </c>
      <c r="AD245" s="54">
        <v>209000</v>
      </c>
      <c r="AE245" s="61">
        <v>188288.28828828828</v>
      </c>
      <c r="AF245" s="61">
        <v>209000</v>
      </c>
      <c r="AG245" s="62" t="s">
        <v>38</v>
      </c>
      <c r="AH245" s="63" t="e">
        <f>[1]Data2025!W244</f>
        <v>#N/A</v>
      </c>
      <c r="AI245" s="92"/>
      <c r="AJ245" s="92"/>
      <c r="AK245" s="102">
        <f>SUM(O245:O252)</f>
        <v>3604000</v>
      </c>
    </row>
    <row r="246" spans="1:37" ht="16.5" thickTop="1" thickBot="1">
      <c r="A246" s="41">
        <f>[1]Data2025!G245</f>
        <v>97</v>
      </c>
      <c r="B246" s="42" t="e">
        <f>[1]Data2025!K245</f>
        <v>#N/A</v>
      </c>
      <c r="C246" s="43" t="str">
        <f>[1]Data2025!D245</f>
        <v>06. 05. 08.</v>
      </c>
      <c r="D246" s="44" t="str">
        <f>[1]Data2025!C245</f>
        <v>5.1.02.01.01.0024</v>
      </c>
      <c r="E246" s="45">
        <f>[1]Data2025!E245</f>
        <v>45717</v>
      </c>
      <c r="F246" s="46" t="str">
        <f>[1]Data2025!F245</f>
        <v>03/03/2025</v>
      </c>
      <c r="G246" s="45" t="str">
        <f>[1]Data2025!H245</f>
        <v>03/03/2025</v>
      </c>
      <c r="H246" s="45" t="str">
        <f t="shared" si="11"/>
        <v>03/03/2025</v>
      </c>
      <c r="I246" s="47" t="str">
        <f>[1]Data2025!J245</f>
        <v>23/04/2025</v>
      </c>
      <c r="J246" s="48" t="str">
        <f>[1]Data2025!L245</f>
        <v>Kertas Lain-Lain Kertas Buffalo</v>
      </c>
      <c r="K246" s="48" t="str">
        <f>[1]Data2025!M245</f>
        <v>Kertas Lain-Lain Kertas Buffalo</v>
      </c>
      <c r="L246" s="49">
        <f>[1]Data2025!N245</f>
        <v>5</v>
      </c>
      <c r="M246" s="49" t="str">
        <f>[1]Data2025!O245</f>
        <v>bungkus</v>
      </c>
      <c r="N246" s="50">
        <f>[1]Data2025!P245</f>
        <v>31000</v>
      </c>
      <c r="O246" s="51">
        <f>[1]Data2025!Q245</f>
        <v>155000</v>
      </c>
      <c r="P246" s="52" t="s">
        <v>43</v>
      </c>
      <c r="Q246" s="53" t="str">
        <f>VLOOKUP(K246,[1]Sheet1!$C$1:$D$101,2,)</f>
        <v>Kertas Buffalo F4 (Length 21.0Cm, Width 33.0Cm, Height 7.0Cm, Weight 1006Gr)</v>
      </c>
      <c r="R246" s="54">
        <v>10000</v>
      </c>
      <c r="S246" s="55">
        <v>14000</v>
      </c>
      <c r="T246" s="56">
        <f>[1]Data2025!T245</f>
        <v>0</v>
      </c>
      <c r="U246" s="57" t="s">
        <v>35</v>
      </c>
      <c r="V246" s="56" t="e">
        <f>[1]Data2025!V245</f>
        <v>#N/A</v>
      </c>
      <c r="W246" s="56" t="e">
        <f>[1]Data2025!X245</f>
        <v>#N/A</v>
      </c>
      <c r="X246" s="57" t="s">
        <v>36</v>
      </c>
      <c r="Y246" s="57" t="str">
        <f t="shared" si="12"/>
        <v>Alat Tulis Kantor (ATK)</v>
      </c>
      <c r="Z246" s="58" t="str">
        <f t="shared" si="13"/>
        <v>Alat Tulis Kantor (ATK)</v>
      </c>
      <c r="AA246" s="59" t="s">
        <v>37</v>
      </c>
      <c r="AB246" s="60">
        <v>5000</v>
      </c>
      <c r="AC246" s="60">
        <v>10000</v>
      </c>
      <c r="AD246" s="54">
        <v>10000</v>
      </c>
      <c r="AE246" s="61">
        <v>9009.0090090090089</v>
      </c>
      <c r="AF246" s="61">
        <v>10000</v>
      </c>
      <c r="AG246" s="62" t="s">
        <v>38</v>
      </c>
      <c r="AH246" s="63" t="e">
        <f>[1]Data2025!W245</f>
        <v>#N/A</v>
      </c>
    </row>
    <row r="247" spans="1:37" ht="26" thickTop="1" thickBot="1">
      <c r="A247" s="41">
        <f>[1]Data2025!G246</f>
        <v>97</v>
      </c>
      <c r="B247" s="42" t="e">
        <f>[1]Data2025!K246</f>
        <v>#N/A</v>
      </c>
      <c r="C247" s="43" t="str">
        <f>[1]Data2025!D246</f>
        <v>06. 05. 08.</v>
      </c>
      <c r="D247" s="44" t="str">
        <f>[1]Data2025!C246</f>
        <v>5.1.02.01.01.0024</v>
      </c>
      <c r="E247" s="45">
        <f>[1]Data2025!E246</f>
        <v>45717</v>
      </c>
      <c r="F247" s="46" t="str">
        <f>[1]Data2025!F246</f>
        <v>03/03/2025</v>
      </c>
      <c r="G247" s="45" t="str">
        <f>[1]Data2025!H246</f>
        <v>03/03/2025</v>
      </c>
      <c r="H247" s="45" t="str">
        <f t="shared" si="11"/>
        <v>03/03/2025</v>
      </c>
      <c r="I247" s="47" t="str">
        <f>[1]Data2025!J246</f>
        <v>23/04/2025</v>
      </c>
      <c r="J247" s="48" t="str">
        <f>[1]Data2025!L246</f>
        <v>Kertas Post-It Warna Warni  Sign Here</v>
      </c>
      <c r="K247" s="48" t="str">
        <f>[1]Data2025!M246</f>
        <v>Kertas Post-It Warna Warni  Sign Here</v>
      </c>
      <c r="L247" s="49">
        <f>[1]Data2025!N246</f>
        <v>5</v>
      </c>
      <c r="M247" s="49" t="str">
        <f>[1]Data2025!O246</f>
        <v>buah</v>
      </c>
      <c r="N247" s="50">
        <f>[1]Data2025!P246</f>
        <v>22800</v>
      </c>
      <c r="O247" s="51">
        <f>[1]Data2025!Q246</f>
        <v>114000</v>
      </c>
      <c r="P247" s="52" t="s">
        <v>43</v>
      </c>
      <c r="Q247" s="53" t="str">
        <f>VLOOKUP(K247,[1]Sheet1!$C$1:$D$101,2,)</f>
        <v>Post It Warna Warni (Length 7.0Cm, Width 7.0Cm, Height 7.0Cm, Weight 44Gr)</v>
      </c>
      <c r="R247" s="54">
        <v>235000</v>
      </c>
      <c r="S247" s="55">
        <v>237000</v>
      </c>
      <c r="T247" s="56">
        <f>[1]Data2025!T246</f>
        <v>0</v>
      </c>
      <c r="U247" s="57" t="s">
        <v>35</v>
      </c>
      <c r="V247" s="56" t="e">
        <f>[1]Data2025!V246</f>
        <v>#N/A</v>
      </c>
      <c r="W247" s="56" t="e">
        <f>[1]Data2025!X246</f>
        <v>#N/A</v>
      </c>
      <c r="X247" s="57" t="s">
        <v>36</v>
      </c>
      <c r="Y247" s="57" t="str">
        <f t="shared" si="12"/>
        <v>Alat Tulis Kantor (ATK)</v>
      </c>
      <c r="Z247" s="58" t="str">
        <f t="shared" si="13"/>
        <v>Alat Tulis Kantor (ATK)</v>
      </c>
      <c r="AA247" s="59" t="s">
        <v>40</v>
      </c>
      <c r="AB247" s="60">
        <v>235000</v>
      </c>
      <c r="AC247" s="60">
        <v>235000</v>
      </c>
      <c r="AD247" s="54">
        <v>235000</v>
      </c>
      <c r="AE247" s="61">
        <v>211711.71171171172</v>
      </c>
      <c r="AF247" s="61">
        <v>235000</v>
      </c>
      <c r="AG247" s="62" t="s">
        <v>38</v>
      </c>
      <c r="AH247" s="63" t="e">
        <f>[1]Data2025!W246</f>
        <v>#N/A</v>
      </c>
    </row>
    <row r="248" spans="1:37" ht="26" thickTop="1" thickBot="1">
      <c r="A248" s="41">
        <f>[1]Data2025!G247</f>
        <v>97</v>
      </c>
      <c r="B248" s="42" t="e">
        <f>[1]Data2025!K247</f>
        <v>#N/A</v>
      </c>
      <c r="C248" s="43" t="str">
        <f>[1]Data2025!D247</f>
        <v>06. 05. 08.</v>
      </c>
      <c r="D248" s="44" t="str">
        <f>[1]Data2025!C247</f>
        <v>5.1.02.01.01.0024</v>
      </c>
      <c r="E248" s="45">
        <f>[1]Data2025!E247</f>
        <v>45717</v>
      </c>
      <c r="F248" s="46" t="str">
        <f>[1]Data2025!F247</f>
        <v>03/03/2025</v>
      </c>
      <c r="G248" s="45" t="str">
        <f>[1]Data2025!H247</f>
        <v>03/03/2025</v>
      </c>
      <c r="H248" s="45" t="str">
        <f t="shared" si="11"/>
        <v>03/03/2025</v>
      </c>
      <c r="I248" s="47" t="str">
        <f>[1]Data2025!J247</f>
        <v>23/04/2025</v>
      </c>
      <c r="J248" s="48" t="str">
        <f>[1]Data2025!L247</f>
        <v>Kertas HVS 60 gram Merk : Paper One HVS F4 uk. 8.27"x11.69"</v>
      </c>
      <c r="K248" s="48" t="str">
        <f>[1]Data2025!M247</f>
        <v>Kertas HVS 60 gram Merk : Paper One HVS F4 uk. 8.27"x11.69"</v>
      </c>
      <c r="L248" s="49">
        <f>[1]Data2025!N247</f>
        <v>10</v>
      </c>
      <c r="M248" s="49" t="str">
        <f>[1]Data2025!O247</f>
        <v>rim</v>
      </c>
      <c r="N248" s="50">
        <f>[1]Data2025!P247</f>
        <v>48500</v>
      </c>
      <c r="O248" s="51">
        <f>[1]Data2025!Q247</f>
        <v>485000</v>
      </c>
      <c r="P248" s="52" t="s">
        <v>43</v>
      </c>
      <c r="Q248" s="53" t="str">
        <f>VLOOKUP(K248,[1]Sheet1!$C$1:$D$101,2,)</f>
        <v>Kertas Hvs 60Gsm Paper One F4 (Length 33.0Cm, Width 21.0Cm, Height 7.0Cm, Weight 1400Gr)</v>
      </c>
      <c r="R248" s="54">
        <v>450000</v>
      </c>
      <c r="S248" s="55">
        <v>454000</v>
      </c>
      <c r="T248" s="56">
        <f>[1]Data2025!T247</f>
        <v>0</v>
      </c>
      <c r="U248" s="57" t="s">
        <v>35</v>
      </c>
      <c r="V248" s="56" t="e">
        <f>[1]Data2025!V247</f>
        <v>#N/A</v>
      </c>
      <c r="W248" s="56" t="e">
        <f>[1]Data2025!X247</f>
        <v>#N/A</v>
      </c>
      <c r="X248" s="57" t="s">
        <v>36</v>
      </c>
      <c r="Y248" s="57" t="str">
        <f t="shared" si="12"/>
        <v>Alat Tulis Kantor (ATK)</v>
      </c>
      <c r="Z248" s="58" t="str">
        <f t="shared" si="13"/>
        <v>Alat Tulis Kantor (ATK)</v>
      </c>
      <c r="AA248" s="59" t="s">
        <v>40</v>
      </c>
      <c r="AB248" s="60">
        <v>225000</v>
      </c>
      <c r="AC248" s="60">
        <v>450000</v>
      </c>
      <c r="AD248" s="54">
        <v>450000</v>
      </c>
      <c r="AE248" s="61">
        <v>405405.40540540538</v>
      </c>
      <c r="AF248" s="61">
        <v>450000</v>
      </c>
      <c r="AG248" s="62" t="s">
        <v>38</v>
      </c>
      <c r="AH248" s="63" t="e">
        <f>[1]Data2025!W247</f>
        <v>#N/A</v>
      </c>
    </row>
    <row r="249" spans="1:37" ht="38.5" thickTop="1" thickBot="1">
      <c r="A249" s="41">
        <f>[1]Data2025!G248</f>
        <v>97</v>
      </c>
      <c r="B249" s="42" t="e">
        <f>[1]Data2025!K248</f>
        <v>#N/A</v>
      </c>
      <c r="C249" s="43" t="str">
        <f>[1]Data2025!D248</f>
        <v>06. 05. 08.</v>
      </c>
      <c r="D249" s="44" t="str">
        <f>[1]Data2025!C248</f>
        <v>5.1.02.01.01.0024</v>
      </c>
      <c r="E249" s="45">
        <f>[1]Data2025!E248</f>
        <v>45717</v>
      </c>
      <c r="F249" s="46" t="str">
        <f>[1]Data2025!F248</f>
        <v>03/03/2025</v>
      </c>
      <c r="G249" s="45" t="str">
        <f>[1]Data2025!H248</f>
        <v>03/03/2025</v>
      </c>
      <c r="H249" s="45" t="str">
        <f t="shared" si="11"/>
        <v>03/03/2025</v>
      </c>
      <c r="I249" s="47" t="str">
        <f>[1]Data2025!J248</f>
        <v>23/04/2025</v>
      </c>
      <c r="J249" s="48" t="str">
        <f>[1]Data2025!L248</f>
        <v>Kertas HVS 80 gram Merk : Paper One A4, Ukuran : 8,27" x 11,69", Isi : 500 lembar</v>
      </c>
      <c r="K249" s="48" t="str">
        <f>[1]Data2025!M248</f>
        <v>Kertas HVS 80 gram Merk : Paper One A4, Ukuran : 8,27" x 11,69", Isi : 500 lembar</v>
      </c>
      <c r="L249" s="49">
        <f>[1]Data2025!N248</f>
        <v>40</v>
      </c>
      <c r="M249" s="49" t="str">
        <f>[1]Data2025!O248</f>
        <v>rim</v>
      </c>
      <c r="N249" s="50">
        <f>[1]Data2025!P248</f>
        <v>50000</v>
      </c>
      <c r="O249" s="51">
        <f>[1]Data2025!Q248</f>
        <v>2000000</v>
      </c>
      <c r="P249" s="52" t="s">
        <v>43</v>
      </c>
      <c r="Q249" s="53" t="str">
        <f>VLOOKUP(K249,[1]Sheet1!$C$1:$D$101,2,)</f>
        <v>Kertas Hvs 80 Gram Merk : Paper One A4, Ukuran : 8,27" X 11,69", Isi : 500 Lembar</v>
      </c>
      <c r="R249" s="54">
        <v>440000</v>
      </c>
      <c r="S249" s="55">
        <v>448000</v>
      </c>
      <c r="T249" s="56">
        <f>[1]Data2025!T248</f>
        <v>0</v>
      </c>
      <c r="U249" s="57" t="s">
        <v>35</v>
      </c>
      <c r="V249" s="56" t="e">
        <f>[1]Data2025!V248</f>
        <v>#N/A</v>
      </c>
      <c r="W249" s="56" t="e">
        <f>[1]Data2025!X248</f>
        <v>#N/A</v>
      </c>
      <c r="X249" s="57" t="s">
        <v>36</v>
      </c>
      <c r="Y249" s="57" t="str">
        <f t="shared" si="12"/>
        <v>Alat Tulis Kantor (ATK)</v>
      </c>
      <c r="Z249" s="58" t="str">
        <f t="shared" si="13"/>
        <v>Alat Tulis Kantor (ATK)</v>
      </c>
      <c r="AA249" s="59" t="s">
        <v>48</v>
      </c>
      <c r="AB249" s="60">
        <v>110000</v>
      </c>
      <c r="AC249" s="60">
        <v>440000</v>
      </c>
      <c r="AD249" s="54">
        <v>440000</v>
      </c>
      <c r="AE249" s="61">
        <v>396396.39639639639</v>
      </c>
      <c r="AF249" s="61">
        <v>440000</v>
      </c>
      <c r="AG249" s="62" t="s">
        <v>38</v>
      </c>
      <c r="AH249" s="63" t="e">
        <f>[1]Data2025!W248</f>
        <v>#N/A</v>
      </c>
    </row>
    <row r="250" spans="1:37" ht="16.5" thickTop="1" thickBot="1">
      <c r="A250" s="41">
        <f>[1]Data2025!G249</f>
        <v>97</v>
      </c>
      <c r="B250" s="42" t="e">
        <f>[1]Data2025!K249</f>
        <v>#N/A</v>
      </c>
      <c r="C250" s="43" t="str">
        <f>[1]Data2025!D249</f>
        <v>06. 05. 08.</v>
      </c>
      <c r="D250" s="44" t="str">
        <f>[1]Data2025!C249</f>
        <v>5.1.02.01.01.0024</v>
      </c>
      <c r="E250" s="45">
        <f>[1]Data2025!E249</f>
        <v>45717</v>
      </c>
      <c r="F250" s="46" t="str">
        <f>[1]Data2025!F249</f>
        <v>03/03/2025</v>
      </c>
      <c r="G250" s="45" t="str">
        <f>[1]Data2025!H249</f>
        <v>03/03/2025</v>
      </c>
      <c r="H250" s="45" t="str">
        <f t="shared" si="11"/>
        <v>03/03/2025</v>
      </c>
      <c r="I250" s="47" t="str">
        <f>[1]Data2025!J249</f>
        <v>23/04/2025</v>
      </c>
      <c r="J250" s="48" t="str">
        <f>[1]Data2025!L249</f>
        <v>Kertas StensiI</v>
      </c>
      <c r="K250" s="48" t="str">
        <f>[1]Data2025!M249</f>
        <v>Kertas StensiI</v>
      </c>
      <c r="L250" s="49">
        <f>[1]Data2025!N249</f>
        <v>10</v>
      </c>
      <c r="M250" s="49" t="str">
        <f>[1]Data2025!O249</f>
        <v>bungkus</v>
      </c>
      <c r="N250" s="50">
        <f>[1]Data2025!P249</f>
        <v>50000</v>
      </c>
      <c r="O250" s="51">
        <f>[1]Data2025!Q249</f>
        <v>500000</v>
      </c>
      <c r="P250" s="52" t="s">
        <v>43</v>
      </c>
      <c r="Q250" s="53" t="str">
        <f>VLOOKUP(K250,[1]Sheet1!$C$1:$D$101,2,)</f>
        <v>Kertas Stencil Folio (Length 33.0Cm, Width 21.0Cm, Height 5.0Cm, Weight 1400Gr)</v>
      </c>
      <c r="R250" s="54">
        <v>426000</v>
      </c>
      <c r="S250" s="55">
        <v>450000</v>
      </c>
      <c r="T250" s="56">
        <f>[1]Data2025!T249</f>
        <v>0</v>
      </c>
      <c r="U250" s="57" t="s">
        <v>35</v>
      </c>
      <c r="V250" s="56" t="e">
        <f>[1]Data2025!V249</f>
        <v>#N/A</v>
      </c>
      <c r="W250" s="56" t="e">
        <f>[1]Data2025!X249</f>
        <v>#N/A</v>
      </c>
      <c r="X250" s="57" t="s">
        <v>36</v>
      </c>
      <c r="Y250" s="57" t="str">
        <f t="shared" si="12"/>
        <v>Alat Tulis Kantor (ATK)</v>
      </c>
      <c r="Z250" s="58" t="str">
        <f t="shared" si="13"/>
        <v>Alat Tulis Kantor (ATK)</v>
      </c>
      <c r="AA250" s="59" t="s">
        <v>42</v>
      </c>
      <c r="AB250" s="60">
        <v>35500</v>
      </c>
      <c r="AC250" s="60">
        <v>426000</v>
      </c>
      <c r="AD250" s="54">
        <v>426000</v>
      </c>
      <c r="AE250" s="61">
        <v>383783.78378378379</v>
      </c>
      <c r="AF250" s="61">
        <v>426000</v>
      </c>
      <c r="AG250" s="62" t="s">
        <v>38</v>
      </c>
      <c r="AH250" s="63" t="e">
        <f>[1]Data2025!W249</f>
        <v>#N/A</v>
      </c>
    </row>
    <row r="251" spans="1:37" ht="16.5" thickTop="1" thickBot="1">
      <c r="A251" s="41">
        <f>[1]Data2025!G250</f>
        <v>97</v>
      </c>
      <c r="B251" s="42" t="e">
        <f>[1]Data2025!K250</f>
        <v>#N/A</v>
      </c>
      <c r="C251" s="43" t="str">
        <f>[1]Data2025!D250</f>
        <v>06. 05. 08.</v>
      </c>
      <c r="D251" s="44" t="str">
        <f>[1]Data2025!C250</f>
        <v>5.1.02.01.01.0024</v>
      </c>
      <c r="E251" s="45">
        <f>[1]Data2025!E250</f>
        <v>45717</v>
      </c>
      <c r="F251" s="46" t="str">
        <f>[1]Data2025!F250</f>
        <v>03/03/2025</v>
      </c>
      <c r="G251" s="45" t="str">
        <f>[1]Data2025!H250</f>
        <v>03/03/2025</v>
      </c>
      <c r="H251" s="45" t="str">
        <f t="shared" si="11"/>
        <v>03/03/2025</v>
      </c>
      <c r="I251" s="47" t="str">
        <f>[1]Data2025!J250</f>
        <v>23/04/2025</v>
      </c>
      <c r="J251" s="48" t="str">
        <f>[1]Data2025!L250</f>
        <v>Kertas Label</v>
      </c>
      <c r="K251" s="48" t="str">
        <f>[1]Data2025!M250</f>
        <v>Kertas Label</v>
      </c>
      <c r="L251" s="49">
        <f>[1]Data2025!N250</f>
        <v>5</v>
      </c>
      <c r="M251" s="49" t="str">
        <f>[1]Data2025!O250</f>
        <v>lembar</v>
      </c>
      <c r="N251" s="50">
        <f>[1]Data2025!P250</f>
        <v>25000</v>
      </c>
      <c r="O251" s="51">
        <f>[1]Data2025!Q250</f>
        <v>125000</v>
      </c>
      <c r="P251" s="52" t="s">
        <v>43</v>
      </c>
      <c r="Q251" s="53" t="str">
        <f>VLOOKUP(K251,[1]Sheet1!$C$1:$D$101,2,)</f>
        <v>KERTAS LEBEL KOTAK (Length 5.0cm, Width 5.0cm, Height 7.0cm, Weight 5gr)</v>
      </c>
      <c r="R251" s="54">
        <v>50000</v>
      </c>
      <c r="S251" s="55">
        <v>54000</v>
      </c>
      <c r="T251" s="56">
        <f>[1]Data2025!T250</f>
        <v>0</v>
      </c>
      <c r="U251" s="57" t="s">
        <v>35</v>
      </c>
      <c r="V251" s="56" t="e">
        <f>[1]Data2025!V250</f>
        <v>#N/A</v>
      </c>
      <c r="W251" s="56" t="e">
        <f>[1]Data2025!X250</f>
        <v>#N/A</v>
      </c>
      <c r="X251" s="57" t="s">
        <v>36</v>
      </c>
      <c r="Y251" s="57" t="str">
        <f t="shared" si="12"/>
        <v>Alat Tulis Kantor (ATK)</v>
      </c>
      <c r="Z251" s="58" t="str">
        <f t="shared" si="13"/>
        <v>Alat Tulis Kantor (ATK)</v>
      </c>
      <c r="AA251" s="59" t="s">
        <v>42</v>
      </c>
      <c r="AB251" s="60">
        <v>25000</v>
      </c>
      <c r="AC251" s="60">
        <v>50000</v>
      </c>
      <c r="AD251" s="54">
        <v>50000</v>
      </c>
      <c r="AE251" s="61">
        <v>45045.045045045044</v>
      </c>
      <c r="AF251" s="61">
        <v>50000</v>
      </c>
      <c r="AG251" s="62" t="s">
        <v>38</v>
      </c>
      <c r="AH251" s="63" t="e">
        <f>[1]Data2025!W250</f>
        <v>#N/A</v>
      </c>
    </row>
    <row r="252" spans="1:37" ht="26" thickTop="1" thickBot="1">
      <c r="A252" s="41">
        <f>[1]Data2025!G251</f>
        <v>97</v>
      </c>
      <c r="B252" s="42" t="e">
        <f>[1]Data2025!K251</f>
        <v>#N/A</v>
      </c>
      <c r="C252" s="43" t="str">
        <f>[1]Data2025!D251</f>
        <v>06. 05. 08.</v>
      </c>
      <c r="D252" s="44" t="str">
        <f>[1]Data2025!C251</f>
        <v>5.1.02.01.01.0024</v>
      </c>
      <c r="E252" s="45">
        <f>[1]Data2025!E251</f>
        <v>45717</v>
      </c>
      <c r="F252" s="46" t="str">
        <f>[1]Data2025!F251</f>
        <v>03/03/2025</v>
      </c>
      <c r="G252" s="45" t="str">
        <f>[1]Data2025!H251</f>
        <v>03/03/2025</v>
      </c>
      <c r="H252" s="45" t="str">
        <f t="shared" si="11"/>
        <v>03/03/2025</v>
      </c>
      <c r="I252" s="47" t="str">
        <f>[1]Data2025!J251</f>
        <v>23/04/2025</v>
      </c>
      <c r="J252" s="48" t="str">
        <f>[1]Data2025!L251</f>
        <v>Amplop Coklat Merk : GSU Ukuran : 1/2 folio, bergaris</v>
      </c>
      <c r="K252" s="48" t="str">
        <f>[1]Data2025!M251</f>
        <v>Amplop Coklat Merk : GSU Ukuran : 1/2 folio, bergaris</v>
      </c>
      <c r="L252" s="49">
        <f>[1]Data2025!N251</f>
        <v>1</v>
      </c>
      <c r="M252" s="49" t="str">
        <f>[1]Data2025!O251</f>
        <v>bungkus</v>
      </c>
      <c r="N252" s="50">
        <f>[1]Data2025!P251</f>
        <v>45000</v>
      </c>
      <c r="O252" s="51">
        <f>[1]Data2025!Q251</f>
        <v>45000</v>
      </c>
      <c r="P252" s="52" t="s">
        <v>43</v>
      </c>
      <c r="Q252" s="53" t="str">
        <f>VLOOKUP(K252,[1]Sheet1!$C$1:$D$101,2,)</f>
        <v>Amplop Coklat (Merk : GSU Ukuran : 1/2 folio, bergaris)</v>
      </c>
      <c r="R252" s="54">
        <v>45000</v>
      </c>
      <c r="S252" s="55">
        <v>47000</v>
      </c>
      <c r="T252" s="56">
        <f>[1]Data2025!T251</f>
        <v>0</v>
      </c>
      <c r="U252" s="57" t="s">
        <v>35</v>
      </c>
      <c r="V252" s="56" t="e">
        <f>[1]Data2025!V251</f>
        <v>#N/A</v>
      </c>
      <c r="W252" s="56" t="e">
        <f>[1]Data2025!X251</f>
        <v>#N/A</v>
      </c>
      <c r="X252" s="57" t="s">
        <v>36</v>
      </c>
      <c r="Y252" s="57" t="str">
        <f t="shared" si="12"/>
        <v>Alat Tulis Kantor (ATK)</v>
      </c>
      <c r="Z252" s="58" t="str">
        <f t="shared" si="13"/>
        <v>Alat Tulis Kantor (ATK)</v>
      </c>
      <c r="AA252" s="59" t="s">
        <v>44</v>
      </c>
      <c r="AB252" s="60">
        <v>45000</v>
      </c>
      <c r="AC252" s="60">
        <v>45000</v>
      </c>
      <c r="AD252" s="54">
        <v>45000</v>
      </c>
      <c r="AE252" s="61">
        <v>40540.54054054054</v>
      </c>
      <c r="AF252" s="61">
        <v>45000</v>
      </c>
      <c r="AG252" s="62" t="s">
        <v>38</v>
      </c>
      <c r="AH252" s="63" t="e">
        <f>[1]Data2025!W251</f>
        <v>#N/A</v>
      </c>
    </row>
    <row r="253" spans="1:37" ht="26" thickTop="1" thickBot="1">
      <c r="A253" s="41">
        <f>[1]Data2025!G252</f>
        <v>97</v>
      </c>
      <c r="B253" s="42" t="e">
        <f>[1]Data2025!K252</f>
        <v>#N/A</v>
      </c>
      <c r="C253" s="43" t="str">
        <f>[1]Data2025!D252</f>
        <v>06. 05. 08.</v>
      </c>
      <c r="D253" s="44" t="str">
        <f>[1]Data2025!C252</f>
        <v>5.1.02.01.01.0024</v>
      </c>
      <c r="E253" s="45">
        <f>[1]Data2025!E252</f>
        <v>45717</v>
      </c>
      <c r="F253" s="46" t="str">
        <f>[1]Data2025!F252</f>
        <v>03/03/2025</v>
      </c>
      <c r="G253" s="45" t="str">
        <f>[1]Data2025!H252</f>
        <v>03/03/2025</v>
      </c>
      <c r="H253" s="45" t="str">
        <f t="shared" si="11"/>
        <v>03/03/2025</v>
      </c>
      <c r="I253" s="47" t="str">
        <f>[1]Data2025!J252</f>
        <v>23/04/2025</v>
      </c>
      <c r="J253" s="48" t="str">
        <f>[1]Data2025!L252</f>
        <v>Amplop Coklat Merk : Garda Ukuran Cabinet</v>
      </c>
      <c r="K253" s="48" t="str">
        <f>[1]Data2025!M252</f>
        <v>Amplop Coklat Merk : Garda Ukuran Cabinet</v>
      </c>
      <c r="L253" s="49">
        <f>[1]Data2025!N252</f>
        <v>3</v>
      </c>
      <c r="M253" s="49" t="str">
        <f>[1]Data2025!O252</f>
        <v>bungkus</v>
      </c>
      <c r="N253" s="50">
        <f>[1]Data2025!P252</f>
        <v>23000</v>
      </c>
      <c r="O253" s="51">
        <f>[1]Data2025!Q252</f>
        <v>69000</v>
      </c>
      <c r="P253" s="52" t="s">
        <v>43</v>
      </c>
      <c r="Q253" s="53" t="str">
        <f>VLOOKUP(K253,[1]Sheet1!$C$1:$D$101,2,)</f>
        <v>Amplop (Merk : Amplop Garda Ukuran : Super Kabinet Warna : Coklat polos Isi / Pack :100 pcs Ukuran : 14 cm x 27 cm)</v>
      </c>
      <c r="R253" s="54">
        <v>77500</v>
      </c>
      <c r="S253" s="55">
        <v>87500</v>
      </c>
      <c r="T253" s="56">
        <f>[1]Data2025!T252</f>
        <v>0</v>
      </c>
      <c r="U253" s="57" t="s">
        <v>35</v>
      </c>
      <c r="V253" s="56" t="e">
        <f>[1]Data2025!V252</f>
        <v>#N/A</v>
      </c>
      <c r="W253" s="56" t="e">
        <f>[1]Data2025!X252</f>
        <v>#N/A</v>
      </c>
      <c r="X253" s="57" t="s">
        <v>36</v>
      </c>
      <c r="Y253" s="57" t="str">
        <f t="shared" si="12"/>
        <v>Alat Tulis Kantor (ATK)</v>
      </c>
      <c r="Z253" s="58" t="str">
        <f t="shared" si="13"/>
        <v>Alat Tulis Kantor (ATK)</v>
      </c>
      <c r="AA253" s="59" t="s">
        <v>42</v>
      </c>
      <c r="AB253" s="60">
        <v>15500</v>
      </c>
      <c r="AC253" s="60">
        <v>77500</v>
      </c>
      <c r="AD253" s="54">
        <v>77500</v>
      </c>
      <c r="AE253" s="61">
        <v>69819.819819819822</v>
      </c>
      <c r="AF253" s="61">
        <v>77500</v>
      </c>
      <c r="AG253" s="62" t="s">
        <v>38</v>
      </c>
      <c r="AH253" s="63" t="e">
        <f>[1]Data2025!W252</f>
        <v>#N/A</v>
      </c>
      <c r="AI253" s="92"/>
      <c r="AJ253" s="92"/>
    </row>
    <row r="254" spans="1:37" ht="26" thickTop="1" thickBot="1">
      <c r="A254" s="41">
        <f>[1]Data2025!G253</f>
        <v>97</v>
      </c>
      <c r="B254" s="42" t="e">
        <f>[1]Data2025!K253</f>
        <v>#N/A</v>
      </c>
      <c r="C254" s="43" t="str">
        <f>[1]Data2025!D253</f>
        <v>06. 05. 08.</v>
      </c>
      <c r="D254" s="44" t="str">
        <f>[1]Data2025!C253</f>
        <v>5.1.02.01.01.0024</v>
      </c>
      <c r="E254" s="45">
        <f>[1]Data2025!E253</f>
        <v>45717</v>
      </c>
      <c r="F254" s="46" t="str">
        <f>[1]Data2025!F253</f>
        <v>03/03/2025</v>
      </c>
      <c r="G254" s="45" t="str">
        <f>[1]Data2025!H253</f>
        <v>03/03/2025</v>
      </c>
      <c r="H254" s="45" t="str">
        <f t="shared" si="11"/>
        <v>03/03/2025</v>
      </c>
      <c r="I254" s="47" t="str">
        <f>[1]Data2025!J253</f>
        <v>23/04/2025</v>
      </c>
      <c r="J254" s="48" t="str">
        <f>[1]Data2025!L253</f>
        <v>Amplop Coklat Merk : GSU Ukuran Folio polos</v>
      </c>
      <c r="K254" s="48" t="str">
        <f>[1]Data2025!M253</f>
        <v>Amplop Coklat Merk : GSU Ukuran Folio polos</v>
      </c>
      <c r="L254" s="49">
        <f>[1]Data2025!N253</f>
        <v>2</v>
      </c>
      <c r="M254" s="49" t="str">
        <f>[1]Data2025!O253</f>
        <v>bungkus</v>
      </c>
      <c r="N254" s="50">
        <f>[1]Data2025!P253</f>
        <v>60000</v>
      </c>
      <c r="O254" s="51">
        <f>[1]Data2025!Q253</f>
        <v>120000</v>
      </c>
      <c r="P254" s="52" t="s">
        <v>43</v>
      </c>
      <c r="Q254" s="53" t="str">
        <f>VLOOKUP(K254,[1]Sheet1!$C$1:$D$101,2,)</f>
        <v>Amplop Coklat Folio (Berat: 1000 gram. Panjang: 25 cm. Lebar: 5 cm. Tinggi: 35 cm)</v>
      </c>
      <c r="R254" s="54">
        <v>30000</v>
      </c>
      <c r="S254" s="55">
        <v>40000</v>
      </c>
      <c r="T254" s="56">
        <f>[1]Data2025!T253</f>
        <v>0</v>
      </c>
      <c r="U254" s="57" t="s">
        <v>35</v>
      </c>
      <c r="V254" s="56" t="e">
        <f>[1]Data2025!V253</f>
        <v>#N/A</v>
      </c>
      <c r="W254" s="56" t="e">
        <f>[1]Data2025!X253</f>
        <v>#N/A</v>
      </c>
      <c r="X254" s="57" t="s">
        <v>36</v>
      </c>
      <c r="Y254" s="57" t="str">
        <f t="shared" si="12"/>
        <v>Alat Tulis Kantor (ATK)</v>
      </c>
      <c r="Z254" s="58" t="str">
        <f t="shared" si="13"/>
        <v>Alat Tulis Kantor (ATK)</v>
      </c>
      <c r="AA254" s="59" t="s">
        <v>37</v>
      </c>
      <c r="AB254" s="60">
        <v>6000</v>
      </c>
      <c r="AC254" s="60">
        <v>30000</v>
      </c>
      <c r="AD254" s="54">
        <v>30000</v>
      </c>
      <c r="AE254" s="61">
        <v>27027.027027027027</v>
      </c>
      <c r="AF254" s="61">
        <v>30000</v>
      </c>
      <c r="AG254" s="62" t="s">
        <v>38</v>
      </c>
      <c r="AH254" s="63" t="e">
        <f>[1]Data2025!W253</f>
        <v>#N/A</v>
      </c>
    </row>
    <row r="255" spans="1:37" ht="26" thickTop="1" thickBot="1">
      <c r="A255" s="41">
        <f>[1]Data2025!G254</f>
        <v>97</v>
      </c>
      <c r="B255" s="42" t="e">
        <f>[1]Data2025!K254</f>
        <v>#N/A</v>
      </c>
      <c r="C255" s="43" t="str">
        <f>[1]Data2025!D254</f>
        <v>06. 05. 08.</v>
      </c>
      <c r="D255" s="44" t="str">
        <f>[1]Data2025!C254</f>
        <v>5.1.02.01.01.0024</v>
      </c>
      <c r="E255" s="45">
        <f>[1]Data2025!E254</f>
        <v>45717</v>
      </c>
      <c r="F255" s="46" t="str">
        <f>[1]Data2025!F254</f>
        <v>03/03/2025</v>
      </c>
      <c r="G255" s="45" t="str">
        <f>[1]Data2025!H254</f>
        <v>03/03/2025</v>
      </c>
      <c r="H255" s="45" t="str">
        <f t="shared" si="11"/>
        <v>03/03/2025</v>
      </c>
      <c r="I255" s="47" t="str">
        <f>[1]Data2025!J254</f>
        <v>23/04/2025</v>
      </c>
      <c r="J255" s="48" t="str">
        <f>[1]Data2025!L254</f>
        <v>Amplop Panjang Putih Polos Merk : Jaya Ukuran : 11 x 23 cm</v>
      </c>
      <c r="K255" s="48" t="str">
        <f>[1]Data2025!M254</f>
        <v>Amplop Panjang Putih Polos Merk : Jaya Ukuran : 11 x 23 cm</v>
      </c>
      <c r="L255" s="49">
        <f>[1]Data2025!N254</f>
        <v>1</v>
      </c>
      <c r="M255" s="49" t="str">
        <f>[1]Data2025!O254</f>
        <v>kotak</v>
      </c>
      <c r="N255" s="50">
        <f>[1]Data2025!P254</f>
        <v>48000</v>
      </c>
      <c r="O255" s="51">
        <f>[1]Data2025!Q254</f>
        <v>48000</v>
      </c>
      <c r="P255" s="52" t="s">
        <v>43</v>
      </c>
      <c r="Q255" s="53" t="str">
        <f>VLOOKUP(K255,[1]Sheet1!$C$1:$D$101,2,)</f>
        <v xml:space="preserve"> Amplop Panjang Putih Polos (Merk : Jaya Ukuran : 11 x 23 cm)</v>
      </c>
      <c r="R255" s="54">
        <v>125000</v>
      </c>
      <c r="S255" s="55">
        <v>135000</v>
      </c>
      <c r="T255" s="56">
        <f>[1]Data2025!T254</f>
        <v>0</v>
      </c>
      <c r="U255" s="57" t="s">
        <v>35</v>
      </c>
      <c r="V255" s="56" t="e">
        <f>[1]Data2025!V254</f>
        <v>#N/A</v>
      </c>
      <c r="W255" s="56" t="e">
        <f>[1]Data2025!X254</f>
        <v>#N/A</v>
      </c>
      <c r="X255" s="57" t="s">
        <v>36</v>
      </c>
      <c r="Y255" s="57" t="str">
        <f t="shared" si="12"/>
        <v>Alat Tulis Kantor (ATK)</v>
      </c>
      <c r="Z255" s="58" t="str">
        <f t="shared" si="13"/>
        <v>Alat Tulis Kantor (ATK)</v>
      </c>
      <c r="AA255" s="59" t="s">
        <v>42</v>
      </c>
      <c r="AB255" s="60">
        <v>25000</v>
      </c>
      <c r="AC255" s="60">
        <v>125000</v>
      </c>
      <c r="AD255" s="54">
        <v>125000</v>
      </c>
      <c r="AE255" s="61">
        <v>112612.61261261262</v>
      </c>
      <c r="AF255" s="61">
        <v>125000</v>
      </c>
      <c r="AG255" s="62" t="s">
        <v>38</v>
      </c>
      <c r="AH255" s="63" t="e">
        <f>[1]Data2025!W254</f>
        <v>#N/A</v>
      </c>
      <c r="AI255" s="92"/>
      <c r="AJ255" s="92"/>
    </row>
    <row r="256" spans="1:37" ht="16.5" thickTop="1" thickBot="1">
      <c r="A256" s="41">
        <f>[1]Data2025!G255</f>
        <v>97</v>
      </c>
      <c r="B256" s="42" t="e">
        <f>[1]Data2025!K255</f>
        <v>#N/A</v>
      </c>
      <c r="C256" s="43" t="str">
        <f>[1]Data2025!D255</f>
        <v>06. 05. 08.</v>
      </c>
      <c r="D256" s="44" t="str">
        <f>[1]Data2025!C255</f>
        <v>5.1.02.01.01.0024</v>
      </c>
      <c r="E256" s="45">
        <f>[1]Data2025!E255</f>
        <v>45717</v>
      </c>
      <c r="F256" s="46" t="str">
        <f>[1]Data2025!F255</f>
        <v>03/03/2025</v>
      </c>
      <c r="G256" s="45" t="str">
        <f>[1]Data2025!H255</f>
        <v>03/03/2025</v>
      </c>
      <c r="H256" s="45" t="str">
        <f t="shared" si="11"/>
        <v>03/03/2025</v>
      </c>
      <c r="I256" s="47" t="str">
        <f>[1]Data2025!J255</f>
        <v>23/04/2025</v>
      </c>
      <c r="J256" s="48" t="str">
        <f>[1]Data2025!L255</f>
        <v>Ballpoint Boldiner Standar</v>
      </c>
      <c r="K256" s="48" t="str">
        <f>[1]Data2025!M255</f>
        <v>Ballpoint Boldiner Standar</v>
      </c>
      <c r="L256" s="49">
        <f>[1]Data2025!N255</f>
        <v>2</v>
      </c>
      <c r="M256" s="49" t="str">
        <f>[1]Data2025!O255</f>
        <v>lusin</v>
      </c>
      <c r="N256" s="50">
        <f>[1]Data2025!P255</f>
        <v>225000</v>
      </c>
      <c r="O256" s="51">
        <f>[1]Data2025!Q255</f>
        <v>450000</v>
      </c>
      <c r="P256" s="52" t="s">
        <v>43</v>
      </c>
      <c r="Q256" s="53" t="str">
        <f>VLOOKUP(K256,[1]Sheet1!$C$1:$D$101,2,)</f>
        <v xml:space="preserve">Ballpoint Boldiner Standar  (Satuan. 300 Gram ; Dimensi Ukuran. 15X5X7.5Cm. (Berat Volume: 0.09Kg) </v>
      </c>
      <c r="R256" s="54">
        <v>500000</v>
      </c>
      <c r="S256" s="55">
        <v>520000</v>
      </c>
      <c r="T256" s="56">
        <f>[1]Data2025!T255</f>
        <v>0</v>
      </c>
      <c r="U256" s="57" t="s">
        <v>35</v>
      </c>
      <c r="V256" s="56" t="e">
        <f>[1]Data2025!V255</f>
        <v>#N/A</v>
      </c>
      <c r="W256" s="56" t="e">
        <f>[1]Data2025!X255</f>
        <v>#N/A</v>
      </c>
      <c r="X256" s="57" t="s">
        <v>36</v>
      </c>
      <c r="Y256" s="57" t="str">
        <f t="shared" si="12"/>
        <v>Alat Tulis Kantor (ATK)</v>
      </c>
      <c r="Z256" s="58" t="str">
        <f t="shared" si="13"/>
        <v>Alat Tulis Kantor (ATK)</v>
      </c>
      <c r="AA256" s="59" t="s">
        <v>44</v>
      </c>
      <c r="AB256" s="60">
        <v>50000</v>
      </c>
      <c r="AC256" s="60">
        <v>500000</v>
      </c>
      <c r="AD256" s="54">
        <v>500000</v>
      </c>
      <c r="AE256" s="61">
        <v>450450.45045045047</v>
      </c>
      <c r="AF256" s="61">
        <v>500000</v>
      </c>
      <c r="AG256" s="62" t="s">
        <v>38</v>
      </c>
      <c r="AH256" s="63" t="e">
        <f>[1]Data2025!W255</f>
        <v>#N/A</v>
      </c>
    </row>
    <row r="257" spans="1:36" ht="16.5" thickTop="1" thickBot="1">
      <c r="A257" s="41">
        <f>[1]Data2025!G256</f>
        <v>97</v>
      </c>
      <c r="B257" s="42" t="e">
        <f>[1]Data2025!K256</f>
        <v>#N/A</v>
      </c>
      <c r="C257" s="43" t="str">
        <f>[1]Data2025!D256</f>
        <v>06. 05. 08.</v>
      </c>
      <c r="D257" s="44" t="str">
        <f>[1]Data2025!C256</f>
        <v>5.1.02.01.01.0024</v>
      </c>
      <c r="E257" s="45">
        <f>[1]Data2025!E256</f>
        <v>45717</v>
      </c>
      <c r="F257" s="46" t="str">
        <f>[1]Data2025!F256</f>
        <v>03/03/2025</v>
      </c>
      <c r="G257" s="45" t="str">
        <f>[1]Data2025!H256</f>
        <v>03/03/2025</v>
      </c>
      <c r="H257" s="45" t="str">
        <f t="shared" si="11"/>
        <v>03/03/2025</v>
      </c>
      <c r="I257" s="47" t="str">
        <f>[1]Data2025!J256</f>
        <v>23/04/2025</v>
      </c>
      <c r="J257" s="48" t="str">
        <f>[1]Data2025!L256</f>
        <v>Ballpoint Drawing Pen 0,1 Snowman</v>
      </c>
      <c r="K257" s="48" t="str">
        <f>[1]Data2025!M256</f>
        <v>Ballpoint Drawing Pen 0,1 Snowman</v>
      </c>
      <c r="L257" s="49">
        <f>[1]Data2025!N256</f>
        <v>1</v>
      </c>
      <c r="M257" s="49" t="str">
        <f>[1]Data2025!O256</f>
        <v>lusin</v>
      </c>
      <c r="N257" s="50">
        <f>[1]Data2025!P256</f>
        <v>95000</v>
      </c>
      <c r="O257" s="51">
        <f>[1]Data2025!Q256</f>
        <v>95000</v>
      </c>
      <c r="P257" s="52" t="s">
        <v>43</v>
      </c>
      <c r="Q257" s="53" t="str">
        <f>VLOOKUP(K257,[1]Sheet1!$C$1:$D$101,2,)</f>
        <v>Ballpoint Drawing Pen 0,5 Snowman (Length 5.0Cm, Width 5.0Cm, Height 5.0Cm, Weight 5Gr)</v>
      </c>
      <c r="R257" s="54">
        <v>240000</v>
      </c>
      <c r="S257" s="55">
        <v>244000</v>
      </c>
      <c r="T257" s="56">
        <f>[1]Data2025!T256</f>
        <v>0</v>
      </c>
      <c r="U257" s="57" t="s">
        <v>35</v>
      </c>
      <c r="V257" s="56" t="e">
        <f>[1]Data2025!V256</f>
        <v>#N/A</v>
      </c>
      <c r="W257" s="56" t="e">
        <f>[1]Data2025!X256</f>
        <v>#N/A</v>
      </c>
      <c r="X257" s="57" t="s">
        <v>36</v>
      </c>
      <c r="Y257" s="57" t="str">
        <f t="shared" si="12"/>
        <v>Alat Tulis Kantor (ATK)</v>
      </c>
      <c r="Z257" s="58" t="str">
        <f t="shared" si="13"/>
        <v>Alat Tulis Kantor (ATK)</v>
      </c>
      <c r="AA257" s="59" t="s">
        <v>40</v>
      </c>
      <c r="AB257" s="60">
        <v>120000</v>
      </c>
      <c r="AC257" s="60">
        <v>240000</v>
      </c>
      <c r="AD257" s="54">
        <v>240000</v>
      </c>
      <c r="AE257" s="61">
        <v>216216.21621621621</v>
      </c>
      <c r="AF257" s="61">
        <v>240000</v>
      </c>
      <c r="AG257" s="62" t="s">
        <v>38</v>
      </c>
      <c r="AH257" s="63" t="e">
        <f>[1]Data2025!W256</f>
        <v>#N/A</v>
      </c>
      <c r="AI257" s="92"/>
      <c r="AJ257" s="92"/>
    </row>
    <row r="258" spans="1:36" ht="16.5" thickTop="1" thickBot="1">
      <c r="A258" s="41">
        <f>[1]Data2025!G257</f>
        <v>97</v>
      </c>
      <c r="B258" s="42" t="e">
        <f>[1]Data2025!K257</f>
        <v>#N/A</v>
      </c>
      <c r="C258" s="43" t="str">
        <f>[1]Data2025!D257</f>
        <v>06. 05. 08.</v>
      </c>
      <c r="D258" s="44" t="str">
        <f>[1]Data2025!C257</f>
        <v>5.1.02.01.01.0024</v>
      </c>
      <c r="E258" s="45">
        <f>[1]Data2025!E257</f>
        <v>45717</v>
      </c>
      <c r="F258" s="46" t="str">
        <f>[1]Data2025!F257</f>
        <v>03/03/2025</v>
      </c>
      <c r="G258" s="45" t="str">
        <f>[1]Data2025!H257</f>
        <v>03/03/2025</v>
      </c>
      <c r="H258" s="45" t="str">
        <f t="shared" si="11"/>
        <v>03/03/2025</v>
      </c>
      <c r="I258" s="47" t="str">
        <f>[1]Data2025!J257</f>
        <v>23/04/2025</v>
      </c>
      <c r="J258" s="48" t="str">
        <f>[1]Data2025!L257</f>
        <v>Ballpoint Standard AE7</v>
      </c>
      <c r="K258" s="48" t="str">
        <f>[1]Data2025!M257</f>
        <v>Ballpoint Standard AE7</v>
      </c>
      <c r="L258" s="49">
        <f>[1]Data2025!N257</f>
        <v>2</v>
      </c>
      <c r="M258" s="49" t="str">
        <f>[1]Data2025!O257</f>
        <v>lusin</v>
      </c>
      <c r="N258" s="50">
        <f>[1]Data2025!P257</f>
        <v>20000</v>
      </c>
      <c r="O258" s="51">
        <f>[1]Data2025!Q257</f>
        <v>40000</v>
      </c>
      <c r="P258" s="52" t="s">
        <v>43</v>
      </c>
      <c r="Q258" s="53" t="str">
        <f>VLOOKUP(K258,[1]Sheet1!$C$1:$D$101,2,)</f>
        <v>Ballpoint Standard AE7 (Jenis Barang: Pulpen Merk: Standard Tipe: AE-7 Ukuran: 0.5 mm; Warna Tinta, hitam)</v>
      </c>
      <c r="R258" s="54">
        <v>30000</v>
      </c>
      <c r="S258" s="55">
        <v>34000</v>
      </c>
      <c r="T258" s="56">
        <f>[1]Data2025!T257</f>
        <v>0</v>
      </c>
      <c r="U258" s="57" t="s">
        <v>35</v>
      </c>
      <c r="V258" s="56" t="e">
        <f>[1]Data2025!V257</f>
        <v>#N/A</v>
      </c>
      <c r="W258" s="56" t="e">
        <f>[1]Data2025!X257</f>
        <v>#N/A</v>
      </c>
      <c r="X258" s="57" t="s">
        <v>36</v>
      </c>
      <c r="Y258" s="57" t="str">
        <f t="shared" si="12"/>
        <v>Alat Tulis Kantor (ATK)</v>
      </c>
      <c r="Z258" s="58" t="str">
        <f t="shared" si="13"/>
        <v>Alat Tulis Kantor (ATK)</v>
      </c>
      <c r="AA258" s="59" t="s">
        <v>42</v>
      </c>
      <c r="AB258" s="60">
        <v>15000</v>
      </c>
      <c r="AC258" s="60">
        <v>30000</v>
      </c>
      <c r="AD258" s="54">
        <v>30000</v>
      </c>
      <c r="AE258" s="61">
        <v>27027.027027027027</v>
      </c>
      <c r="AF258" s="61">
        <v>30000</v>
      </c>
      <c r="AG258" s="62" t="s">
        <v>38</v>
      </c>
      <c r="AH258" s="63" t="e">
        <f>[1]Data2025!W257</f>
        <v>#N/A</v>
      </c>
    </row>
    <row r="259" spans="1:36" ht="16.5" thickTop="1" thickBot="1">
      <c r="A259" s="41">
        <f>[1]Data2025!G258</f>
        <v>97</v>
      </c>
      <c r="B259" s="42" t="e">
        <f>[1]Data2025!K258</f>
        <v>#N/A</v>
      </c>
      <c r="C259" s="43" t="str">
        <f>[1]Data2025!D258</f>
        <v>06. 05. 08.</v>
      </c>
      <c r="D259" s="44" t="str">
        <f>[1]Data2025!C258</f>
        <v>5.1.02.01.01.0024</v>
      </c>
      <c r="E259" s="45">
        <f>[1]Data2025!E258</f>
        <v>45717</v>
      </c>
      <c r="F259" s="46" t="str">
        <f>[1]Data2025!F258</f>
        <v>03/03/2025</v>
      </c>
      <c r="G259" s="45" t="str">
        <f>[1]Data2025!H258</f>
        <v>03/03/2025</v>
      </c>
      <c r="H259" s="45" t="str">
        <f t="shared" si="11"/>
        <v>03/03/2025</v>
      </c>
      <c r="I259" s="47" t="str">
        <f>[1]Data2025!J258</f>
        <v>23/04/2025</v>
      </c>
      <c r="J259" s="48" t="str">
        <f>[1]Data2025!L258</f>
        <v>Ballpoint Pilot G2</v>
      </c>
      <c r="K259" s="48" t="str">
        <f>[1]Data2025!M258</f>
        <v>Ballpoint Pilot G2</v>
      </c>
      <c r="L259" s="49">
        <f>[1]Data2025!N258</f>
        <v>1</v>
      </c>
      <c r="M259" s="49" t="str">
        <f>[1]Data2025!O258</f>
        <v>lusin</v>
      </c>
      <c r="N259" s="50">
        <f>[1]Data2025!P258</f>
        <v>235000</v>
      </c>
      <c r="O259" s="51">
        <f>[1]Data2025!Q258</f>
        <v>235000</v>
      </c>
      <c r="P259" s="52" t="s">
        <v>43</v>
      </c>
      <c r="Q259" s="53" t="str">
        <f>VLOOKUP(K259,[1]Sheet1!$C$1:$D$101,2,)</f>
        <v>Ballpoint Pilot G2 (Length 5.0Cm, Width 5.0Cm, Height 5.0Cm, Weight 5Gr)</v>
      </c>
      <c r="R259" s="54">
        <v>200000</v>
      </c>
      <c r="S259" s="55">
        <v>220000</v>
      </c>
      <c r="T259" s="56">
        <f>[1]Data2025!T258</f>
        <v>0</v>
      </c>
      <c r="U259" s="57" t="s">
        <v>35</v>
      </c>
      <c r="V259" s="56" t="e">
        <f>[1]Data2025!V258</f>
        <v>#N/A</v>
      </c>
      <c r="W259" s="56" t="e">
        <f>[1]Data2025!X258</f>
        <v>#N/A</v>
      </c>
      <c r="X259" s="57" t="s">
        <v>36</v>
      </c>
      <c r="Y259" s="57" t="str">
        <f t="shared" si="12"/>
        <v>Alat Tulis Kantor (ATK)</v>
      </c>
      <c r="Z259" s="58" t="str">
        <f t="shared" si="13"/>
        <v>Alat Tulis Kantor (ATK)</v>
      </c>
      <c r="AA259" s="59" t="s">
        <v>37</v>
      </c>
      <c r="AB259" s="60">
        <v>20000</v>
      </c>
      <c r="AC259" s="60">
        <v>200000</v>
      </c>
      <c r="AD259" s="54">
        <v>200000</v>
      </c>
      <c r="AE259" s="61">
        <v>180180.18018018018</v>
      </c>
      <c r="AF259" s="61">
        <v>200000</v>
      </c>
      <c r="AG259" s="62" t="s">
        <v>38</v>
      </c>
      <c r="AH259" s="63" t="e">
        <f>[1]Data2025!W258</f>
        <v>#N/A</v>
      </c>
    </row>
    <row r="260" spans="1:36" ht="16.5" thickTop="1" thickBot="1">
      <c r="A260" s="41">
        <f>[1]Data2025!G259</f>
        <v>97</v>
      </c>
      <c r="B260" s="42" t="e">
        <f>[1]Data2025!K259</f>
        <v>#N/A</v>
      </c>
      <c r="C260" s="43" t="str">
        <f>[1]Data2025!D259</f>
        <v>06. 05. 08.</v>
      </c>
      <c r="D260" s="44" t="str">
        <f>[1]Data2025!C259</f>
        <v>5.1.02.01.01.0024</v>
      </c>
      <c r="E260" s="45">
        <f>[1]Data2025!E259</f>
        <v>45717</v>
      </c>
      <c r="F260" s="46" t="str">
        <f>[1]Data2025!F259</f>
        <v>03/03/2025</v>
      </c>
      <c r="G260" s="45" t="str">
        <f>[1]Data2025!H259</f>
        <v>03/03/2025</v>
      </c>
      <c r="H260" s="45" t="str">
        <f t="shared" si="11"/>
        <v>03/03/2025</v>
      </c>
      <c r="I260" s="47" t="str">
        <f>[1]Data2025!J259</f>
        <v>23/04/2025</v>
      </c>
      <c r="J260" s="48" t="str">
        <f>[1]Data2025!L259</f>
        <v>Binder Klip  nomor 107</v>
      </c>
      <c r="K260" s="48" t="str">
        <f>[1]Data2025!M259</f>
        <v>Binder Klip  nomor 107</v>
      </c>
      <c r="L260" s="49">
        <f>[1]Data2025!N259</f>
        <v>5</v>
      </c>
      <c r="M260" s="49" t="str">
        <f>[1]Data2025!O259</f>
        <v>kotak</v>
      </c>
      <c r="N260" s="50">
        <f>[1]Data2025!P259</f>
        <v>7800</v>
      </c>
      <c r="O260" s="51">
        <f>[1]Data2025!Q259</f>
        <v>39000</v>
      </c>
      <c r="P260" s="52" t="s">
        <v>43</v>
      </c>
      <c r="Q260" s="53" t="str">
        <f>VLOOKUP(K260,[1]Sheet1!$C$1:$D$101,2,)</f>
        <v>Binder Clip N0 107 (Length 5.0Cm, Width 5.0Cm, Height 5.0Cm, Weight 5Gr)</v>
      </c>
      <c r="R260" s="54">
        <v>440000</v>
      </c>
      <c r="S260" s="55">
        <v>448000</v>
      </c>
      <c r="T260" s="56">
        <f>[1]Data2025!T259</f>
        <v>0</v>
      </c>
      <c r="U260" s="57" t="s">
        <v>35</v>
      </c>
      <c r="V260" s="56" t="e">
        <f>[1]Data2025!V259</f>
        <v>#N/A</v>
      </c>
      <c r="W260" s="56" t="e">
        <f>[1]Data2025!X259</f>
        <v>#N/A</v>
      </c>
      <c r="X260" s="57" t="s">
        <v>36</v>
      </c>
      <c r="Y260" s="57" t="str">
        <f t="shared" si="12"/>
        <v>Alat Tulis Kantor (ATK)</v>
      </c>
      <c r="Z260" s="58" t="str">
        <f t="shared" si="13"/>
        <v>Alat Tulis Kantor (ATK)</v>
      </c>
      <c r="AA260" s="59" t="s">
        <v>48</v>
      </c>
      <c r="AB260" s="60">
        <v>110000</v>
      </c>
      <c r="AC260" s="60">
        <v>440000</v>
      </c>
      <c r="AD260" s="54">
        <v>440000</v>
      </c>
      <c r="AE260" s="61">
        <v>396396.39639639639</v>
      </c>
      <c r="AF260" s="61">
        <v>440000</v>
      </c>
      <c r="AG260" s="62" t="s">
        <v>38</v>
      </c>
      <c r="AH260" s="63" t="e">
        <f>[1]Data2025!W259</f>
        <v>#N/A</v>
      </c>
    </row>
    <row r="261" spans="1:36" ht="16.5" thickTop="1" thickBot="1">
      <c r="A261" s="41">
        <f>[1]Data2025!G260</f>
        <v>97</v>
      </c>
      <c r="B261" s="42" t="e">
        <f>[1]Data2025!K260</f>
        <v>#N/A</v>
      </c>
      <c r="C261" s="43" t="str">
        <f>[1]Data2025!D260</f>
        <v>06. 05. 08.</v>
      </c>
      <c r="D261" s="44" t="str">
        <f>[1]Data2025!C260</f>
        <v>5.1.02.01.01.0024</v>
      </c>
      <c r="E261" s="45">
        <f>[1]Data2025!E260</f>
        <v>45717</v>
      </c>
      <c r="F261" s="46" t="str">
        <f>[1]Data2025!F260</f>
        <v>03/03/2025</v>
      </c>
      <c r="G261" s="45" t="str">
        <f>[1]Data2025!H260</f>
        <v>03/03/2025</v>
      </c>
      <c r="H261" s="45" t="str">
        <f t="shared" ref="H261:H324" si="14">G261</f>
        <v>03/03/2025</v>
      </c>
      <c r="I261" s="47" t="str">
        <f>[1]Data2025!J260</f>
        <v>23/04/2025</v>
      </c>
      <c r="J261" s="48" t="str">
        <f>[1]Data2025!L260</f>
        <v>Binder Klip  nomor 111</v>
      </c>
      <c r="K261" s="48" t="str">
        <f>[1]Data2025!M260</f>
        <v>Binder Klip  nomor 111</v>
      </c>
      <c r="L261" s="49">
        <f>[1]Data2025!N260</f>
        <v>5</v>
      </c>
      <c r="M261" s="49" t="str">
        <f>[1]Data2025!O260</f>
        <v>kotak</v>
      </c>
      <c r="N261" s="50">
        <f>[1]Data2025!P260</f>
        <v>11000</v>
      </c>
      <c r="O261" s="51">
        <f>[1]Data2025!Q260</f>
        <v>55000</v>
      </c>
      <c r="P261" s="52" t="s">
        <v>43</v>
      </c>
      <c r="Q261" s="53" t="str">
        <f>VLOOKUP(K261,[1]Sheet1!$C$1:$D$101,2,)</f>
        <v>Binder Clip No 111 (Length 5.0Cm, Width 5.0Cm, Height 5.0Cm, Weight 5Gr)</v>
      </c>
      <c r="R261" s="54">
        <v>25000</v>
      </c>
      <c r="S261" s="55">
        <v>35000</v>
      </c>
      <c r="T261" s="56">
        <f>[1]Data2025!T260</f>
        <v>0</v>
      </c>
      <c r="U261" s="57" t="s">
        <v>35</v>
      </c>
      <c r="V261" s="56" t="e">
        <f>[1]Data2025!V260</f>
        <v>#N/A</v>
      </c>
      <c r="W261" s="56" t="e">
        <f>[1]Data2025!X260</f>
        <v>#N/A</v>
      </c>
      <c r="X261" s="57" t="s">
        <v>36</v>
      </c>
      <c r="Y261" s="57" t="str">
        <f t="shared" ref="Y261:Y324" si="15">P261</f>
        <v>Alat Tulis Kantor (ATK)</v>
      </c>
      <c r="Z261" s="58" t="str">
        <f t="shared" ref="Z261:Z324" si="16">Y261</f>
        <v>Alat Tulis Kantor (ATK)</v>
      </c>
      <c r="AA261" s="59" t="s">
        <v>37</v>
      </c>
      <c r="AB261" s="60">
        <v>5000</v>
      </c>
      <c r="AC261" s="60">
        <v>25000</v>
      </c>
      <c r="AD261" s="54">
        <v>25000</v>
      </c>
      <c r="AE261" s="61">
        <v>22522.522522522522</v>
      </c>
      <c r="AF261" s="61">
        <v>25000</v>
      </c>
      <c r="AG261" s="62" t="s">
        <v>38</v>
      </c>
      <c r="AH261" s="63" t="e">
        <f>[1]Data2025!W260</f>
        <v>#N/A</v>
      </c>
    </row>
    <row r="262" spans="1:36" ht="16.5" thickTop="1" thickBot="1">
      <c r="A262" s="41">
        <f>[1]Data2025!G261</f>
        <v>97</v>
      </c>
      <c r="B262" s="42" t="e">
        <f>[1]Data2025!K261</f>
        <v>#N/A</v>
      </c>
      <c r="C262" s="43" t="str">
        <f>[1]Data2025!D261</f>
        <v>06. 05. 08.</v>
      </c>
      <c r="D262" s="44" t="str">
        <f>[1]Data2025!C261</f>
        <v>5.1.02.01.01.0024</v>
      </c>
      <c r="E262" s="45">
        <f>[1]Data2025!E261</f>
        <v>45717</v>
      </c>
      <c r="F262" s="46" t="str">
        <f>[1]Data2025!F261</f>
        <v>03/03/2025</v>
      </c>
      <c r="G262" s="45" t="str">
        <f>[1]Data2025!H261</f>
        <v>03/03/2025</v>
      </c>
      <c r="H262" s="45" t="str">
        <f t="shared" si="14"/>
        <v>03/03/2025</v>
      </c>
      <c r="I262" s="47" t="str">
        <f>[1]Data2025!J261</f>
        <v>23/04/2025</v>
      </c>
      <c r="J262" s="48" t="str">
        <f>[1]Data2025!L261</f>
        <v>Binder Klip  nomor 200</v>
      </c>
      <c r="K262" s="48" t="str">
        <f>[1]Data2025!M261</f>
        <v>Binder Klip  nomor 200</v>
      </c>
      <c r="L262" s="49">
        <f>[1]Data2025!N261</f>
        <v>10</v>
      </c>
      <c r="M262" s="49" t="str">
        <f>[1]Data2025!O261</f>
        <v>kotak</v>
      </c>
      <c r="N262" s="50">
        <f>[1]Data2025!P261</f>
        <v>16500</v>
      </c>
      <c r="O262" s="51">
        <f>[1]Data2025!Q261</f>
        <v>165000</v>
      </c>
      <c r="P262" s="52" t="s">
        <v>43</v>
      </c>
      <c r="Q262" s="53" t="str">
        <f>VLOOKUP(K262,[1]Sheet1!$C$1:$D$101,2,)</f>
        <v>Binder Clip Nomor 200 (Length 5.0Cm, Width 5.0Cm, Height 5.0Cm, Weight 5Gr)</v>
      </c>
      <c r="R262" s="54">
        <v>100000</v>
      </c>
      <c r="S262" s="55">
        <v>110000</v>
      </c>
      <c r="T262" s="56">
        <f>[1]Data2025!T261</f>
        <v>0</v>
      </c>
      <c r="U262" s="57" t="s">
        <v>35</v>
      </c>
      <c r="V262" s="56" t="e">
        <f>[1]Data2025!V261</f>
        <v>#N/A</v>
      </c>
      <c r="W262" s="56" t="e">
        <f>[1]Data2025!X261</f>
        <v>#N/A</v>
      </c>
      <c r="X262" s="57" t="s">
        <v>36</v>
      </c>
      <c r="Y262" s="57" t="str">
        <f t="shared" si="15"/>
        <v>Alat Tulis Kantor (ATK)</v>
      </c>
      <c r="Z262" s="58" t="str">
        <f t="shared" si="16"/>
        <v>Alat Tulis Kantor (ATK)</v>
      </c>
      <c r="AA262" s="59" t="s">
        <v>48</v>
      </c>
      <c r="AB262" s="60">
        <v>20000</v>
      </c>
      <c r="AC262" s="60">
        <v>100000</v>
      </c>
      <c r="AD262" s="54">
        <v>100000</v>
      </c>
      <c r="AE262" s="61">
        <v>90090.090090090089</v>
      </c>
      <c r="AF262" s="61">
        <v>100000</v>
      </c>
      <c r="AG262" s="62" t="s">
        <v>38</v>
      </c>
      <c r="AH262" s="63" t="e">
        <f>[1]Data2025!W261</f>
        <v>#N/A</v>
      </c>
      <c r="AI262" s="92"/>
      <c r="AJ262" s="92"/>
    </row>
    <row r="263" spans="1:36" ht="16.5" thickTop="1" thickBot="1">
      <c r="A263" s="41">
        <f>[1]Data2025!G262</f>
        <v>97</v>
      </c>
      <c r="B263" s="42" t="e">
        <f>[1]Data2025!K262</f>
        <v>#N/A</v>
      </c>
      <c r="C263" s="43" t="str">
        <f>[1]Data2025!D262</f>
        <v>06. 05. 08.</v>
      </c>
      <c r="D263" s="44" t="str">
        <f>[1]Data2025!C262</f>
        <v>5.1.02.01.01.0024</v>
      </c>
      <c r="E263" s="45">
        <f>[1]Data2025!E262</f>
        <v>45717</v>
      </c>
      <c r="F263" s="46" t="str">
        <f>[1]Data2025!F262</f>
        <v>03/03/2025</v>
      </c>
      <c r="G263" s="45" t="str">
        <f>[1]Data2025!H262</f>
        <v>03/03/2025</v>
      </c>
      <c r="H263" s="45" t="str">
        <f t="shared" si="14"/>
        <v>03/03/2025</v>
      </c>
      <c r="I263" s="47" t="str">
        <f>[1]Data2025!J262</f>
        <v>23/04/2025</v>
      </c>
      <c r="J263" s="48" t="str">
        <f>[1]Data2025!L262</f>
        <v>Binder Klip  nomor 260</v>
      </c>
      <c r="K263" s="48" t="str">
        <f>[1]Data2025!M262</f>
        <v>Binder Klip  nomor 260</v>
      </c>
      <c r="L263" s="49">
        <f>[1]Data2025!N262</f>
        <v>10</v>
      </c>
      <c r="M263" s="49" t="str">
        <f>[1]Data2025!O262</f>
        <v>kotak</v>
      </c>
      <c r="N263" s="50">
        <f>[1]Data2025!P262</f>
        <v>20000</v>
      </c>
      <c r="O263" s="51">
        <f>[1]Data2025!Q262</f>
        <v>200000</v>
      </c>
      <c r="P263" s="52" t="s">
        <v>43</v>
      </c>
      <c r="Q263" s="53" t="str">
        <f>VLOOKUP(K263,[1]Sheet1!$C$1:$D$101,2,)</f>
        <v>Binder Clip No 260 (Length 5.0Cm, Width 5.0Cm, Height 5.0Cm, Weight 5Gr)</v>
      </c>
      <c r="R263" s="54">
        <v>2000000</v>
      </c>
      <c r="S263" s="55">
        <v>2080000</v>
      </c>
      <c r="T263" s="56">
        <f>[1]Data2025!T262</f>
        <v>0</v>
      </c>
      <c r="U263" s="57" t="s">
        <v>35</v>
      </c>
      <c r="V263" s="56" t="e">
        <f>[1]Data2025!V262</f>
        <v>#N/A</v>
      </c>
      <c r="W263" s="56" t="e">
        <f>[1]Data2025!X262</f>
        <v>#N/A</v>
      </c>
      <c r="X263" s="57" t="s">
        <v>36</v>
      </c>
      <c r="Y263" s="57" t="str">
        <f t="shared" si="15"/>
        <v>Alat Tulis Kantor (ATK)</v>
      </c>
      <c r="Z263" s="58" t="str">
        <f t="shared" si="16"/>
        <v>Alat Tulis Kantor (ATK)</v>
      </c>
      <c r="AA263" s="59" t="s">
        <v>50</v>
      </c>
      <c r="AB263" s="60">
        <v>50000</v>
      </c>
      <c r="AC263" s="60">
        <v>2000000</v>
      </c>
      <c r="AD263" s="54">
        <v>2000000</v>
      </c>
      <c r="AE263" s="61">
        <v>1801801.8018018019</v>
      </c>
      <c r="AF263" s="61">
        <v>2000000</v>
      </c>
      <c r="AG263" s="62" t="s">
        <v>38</v>
      </c>
      <c r="AH263" s="63" t="e">
        <f>[1]Data2025!W262</f>
        <v>#N/A</v>
      </c>
    </row>
    <row r="264" spans="1:36" ht="26" thickTop="1" thickBot="1">
      <c r="A264" s="41">
        <f>[1]Data2025!G263</f>
        <v>97</v>
      </c>
      <c r="B264" s="42" t="e">
        <f>[1]Data2025!K263</f>
        <v>#N/A</v>
      </c>
      <c r="C264" s="43" t="str">
        <f>[1]Data2025!D263</f>
        <v>06. 05. 08.</v>
      </c>
      <c r="D264" s="44" t="str">
        <f>[1]Data2025!C263</f>
        <v>5.1.02.01.01.0024</v>
      </c>
      <c r="E264" s="45">
        <f>[1]Data2025!E263</f>
        <v>45717</v>
      </c>
      <c r="F264" s="46" t="str">
        <f>[1]Data2025!F263</f>
        <v>03/03/2025</v>
      </c>
      <c r="G264" s="45" t="str">
        <f>[1]Data2025!H263</f>
        <v>03/03/2025</v>
      </c>
      <c r="H264" s="45" t="str">
        <f t="shared" si="14"/>
        <v>03/03/2025</v>
      </c>
      <c r="I264" s="47" t="str">
        <f>[1]Data2025!J263</f>
        <v>23/04/2025</v>
      </c>
      <c r="J264" s="48" t="str">
        <f>[1]Data2025!L263</f>
        <v>Binder Klip Merk : KENKO nomor 105</v>
      </c>
      <c r="K264" s="48" t="str">
        <f>[1]Data2025!M263</f>
        <v>Binder Klip Merk : KENKO nomor 105</v>
      </c>
      <c r="L264" s="49">
        <f>[1]Data2025!N263</f>
        <v>2</v>
      </c>
      <c r="M264" s="49" t="str">
        <f>[1]Data2025!O263</f>
        <v>kotak</v>
      </c>
      <c r="N264" s="50">
        <f>[1]Data2025!P263</f>
        <v>5000</v>
      </c>
      <c r="O264" s="51">
        <f>[1]Data2025!Q263</f>
        <v>10000</v>
      </c>
      <c r="P264" s="52" t="s">
        <v>43</v>
      </c>
      <c r="Q264" s="53" t="str">
        <f>VLOOKUP(K264,[1]Sheet1!$C$1:$D$101,2,)</f>
        <v xml:space="preserve">Binder Clip merk kenko NO 105 (Length 5.0cm, Width 5.0cm, Height 5.0cm, Weight 5gr)  </v>
      </c>
      <c r="R264" s="54">
        <v>550000</v>
      </c>
      <c r="S264" s="55">
        <v>750000</v>
      </c>
      <c r="T264" s="56">
        <f>[1]Data2025!T263</f>
        <v>0</v>
      </c>
      <c r="U264" s="57" t="s">
        <v>35</v>
      </c>
      <c r="V264" s="56" t="e">
        <f>[1]Data2025!V263</f>
        <v>#N/A</v>
      </c>
      <c r="W264" s="56" t="e">
        <f>[1]Data2025!X263</f>
        <v>#N/A</v>
      </c>
      <c r="X264" s="57" t="s">
        <v>36</v>
      </c>
      <c r="Y264" s="57" t="str">
        <f t="shared" si="15"/>
        <v>Alat Tulis Kantor (ATK)</v>
      </c>
      <c r="Z264" s="58" t="str">
        <f t="shared" si="16"/>
        <v>Alat Tulis Kantor (ATK)</v>
      </c>
      <c r="AA264" s="59" t="s">
        <v>42</v>
      </c>
      <c r="AB264" s="60">
        <v>5500</v>
      </c>
      <c r="AC264" s="60">
        <v>550000</v>
      </c>
      <c r="AD264" s="54">
        <v>550000</v>
      </c>
      <c r="AE264" s="61">
        <v>495495.4954954955</v>
      </c>
      <c r="AF264" s="61">
        <v>550000</v>
      </c>
      <c r="AG264" s="62" t="s">
        <v>38</v>
      </c>
      <c r="AH264" s="63" t="e">
        <f>[1]Data2025!W263</f>
        <v>#N/A</v>
      </c>
      <c r="AI264" s="92"/>
      <c r="AJ264" s="92"/>
    </row>
    <row r="265" spans="1:36" ht="16.5" thickTop="1" thickBot="1">
      <c r="A265" s="41">
        <f>[1]Data2025!G264</f>
        <v>97</v>
      </c>
      <c r="B265" s="42" t="e">
        <f>[1]Data2025!K264</f>
        <v>#N/A</v>
      </c>
      <c r="C265" s="43" t="str">
        <f>[1]Data2025!D264</f>
        <v>06. 05. 08.</v>
      </c>
      <c r="D265" s="44" t="str">
        <f>[1]Data2025!C264</f>
        <v>5.1.02.01.01.0024</v>
      </c>
      <c r="E265" s="45">
        <f>[1]Data2025!E264</f>
        <v>45717</v>
      </c>
      <c r="F265" s="46" t="str">
        <f>[1]Data2025!F264</f>
        <v>03/03/2025</v>
      </c>
      <c r="G265" s="45" t="str">
        <f>[1]Data2025!H264</f>
        <v>03/03/2025</v>
      </c>
      <c r="H265" s="45" t="str">
        <f t="shared" si="14"/>
        <v>03/03/2025</v>
      </c>
      <c r="I265" s="47" t="str">
        <f>[1]Data2025!J264</f>
        <v>23/04/2025</v>
      </c>
      <c r="J265" s="48" t="str">
        <f>[1]Data2025!L264</f>
        <v>Map Binder</v>
      </c>
      <c r="K265" s="48" t="str">
        <f>[1]Data2025!M264</f>
        <v>Map Binder</v>
      </c>
      <c r="L265" s="49">
        <f>[1]Data2025!N264</f>
        <v>12</v>
      </c>
      <c r="M265" s="49" t="str">
        <f>[1]Data2025!O264</f>
        <v>buah</v>
      </c>
      <c r="N265" s="50">
        <f>[1]Data2025!P264</f>
        <v>35500</v>
      </c>
      <c r="O265" s="51">
        <f>[1]Data2025!Q264</f>
        <v>426000</v>
      </c>
      <c r="P265" s="52" t="s">
        <v>43</v>
      </c>
      <c r="Q265" s="53" t="str">
        <f>VLOOKUP(K265,[1]Sheet1!$C$1:$D$101,2,)</f>
        <v>Map Binder (Length 5.0Cm, Width 5.0Cm, Height 5.0Cm, Weight 5Gr)</v>
      </c>
      <c r="R265" s="54">
        <v>48000</v>
      </c>
      <c r="S265" s="55">
        <v>50000</v>
      </c>
      <c r="T265" s="56">
        <f>[1]Data2025!T264</f>
        <v>0</v>
      </c>
      <c r="U265" s="57" t="s">
        <v>35</v>
      </c>
      <c r="V265" s="56" t="e">
        <f>[1]Data2025!V264</f>
        <v>#N/A</v>
      </c>
      <c r="W265" s="56" t="e">
        <f>[1]Data2025!X264</f>
        <v>#N/A</v>
      </c>
      <c r="X265" s="57" t="s">
        <v>36</v>
      </c>
      <c r="Y265" s="57" t="str">
        <f t="shared" si="15"/>
        <v>Alat Tulis Kantor (ATK)</v>
      </c>
      <c r="Z265" s="58" t="str">
        <f t="shared" si="16"/>
        <v>Alat Tulis Kantor (ATK)</v>
      </c>
      <c r="AA265" s="59" t="s">
        <v>37</v>
      </c>
      <c r="AB265" s="60">
        <v>48000</v>
      </c>
      <c r="AC265" s="60">
        <v>48000</v>
      </c>
      <c r="AD265" s="54">
        <v>48000</v>
      </c>
      <c r="AE265" s="61">
        <v>43243.243243243247</v>
      </c>
      <c r="AF265" s="61">
        <v>48000</v>
      </c>
      <c r="AG265" s="62" t="s">
        <v>38</v>
      </c>
      <c r="AH265" s="63" t="e">
        <f>[1]Data2025!W264</f>
        <v>#N/A</v>
      </c>
    </row>
    <row r="266" spans="1:36" ht="16.5" thickTop="1" thickBot="1">
      <c r="A266" s="41">
        <f>[1]Data2025!G265</f>
        <v>97</v>
      </c>
      <c r="B266" s="42" t="e">
        <f>[1]Data2025!K265</f>
        <v>#N/A</v>
      </c>
      <c r="C266" s="43" t="str">
        <f>[1]Data2025!D265</f>
        <v>06. 05. 08.</v>
      </c>
      <c r="D266" s="44" t="str">
        <f>[1]Data2025!C265</f>
        <v>5.1.02.01.01.0024</v>
      </c>
      <c r="E266" s="45">
        <f>[1]Data2025!E265</f>
        <v>45717</v>
      </c>
      <c r="F266" s="46" t="str">
        <f>[1]Data2025!F265</f>
        <v>03/03/2025</v>
      </c>
      <c r="G266" s="45" t="str">
        <f>[1]Data2025!H265</f>
        <v>03/03/2025</v>
      </c>
      <c r="H266" s="45" t="str">
        <f t="shared" si="14"/>
        <v>03/03/2025</v>
      </c>
      <c r="I266" s="47" t="str">
        <f>[1]Data2025!J265</f>
        <v>23/04/2025</v>
      </c>
      <c r="J266" s="48" t="str">
        <f>[1]Data2025!L265</f>
        <v>Stofmap Kertas</v>
      </c>
      <c r="K266" s="48" t="str">
        <f>[1]Data2025!M265</f>
        <v>Stofmap Kertas</v>
      </c>
      <c r="L266" s="49">
        <f>[1]Data2025!N265</f>
        <v>1</v>
      </c>
      <c r="M266" s="49" t="str">
        <f>[1]Data2025!O265</f>
        <v>pak</v>
      </c>
      <c r="N266" s="50">
        <f>[1]Data2025!P265</f>
        <v>88000</v>
      </c>
      <c r="O266" s="51">
        <f>[1]Data2025!Q265</f>
        <v>88000</v>
      </c>
      <c r="P266" s="52" t="s">
        <v>43</v>
      </c>
      <c r="Q266" s="53" t="str">
        <f>VLOOKUP(K266,[1]Sheet1!$C$1:$D$101,2,)</f>
        <v>Stofmap Kertas (Length 5.0Cm, Width 5.0Cm, Height 5.0Cm, Weight 5Gr)</v>
      </c>
      <c r="R266" s="54">
        <v>114000</v>
      </c>
      <c r="S266" s="55">
        <v>124000</v>
      </c>
      <c r="T266" s="56">
        <f>[1]Data2025!T265</f>
        <v>0</v>
      </c>
      <c r="U266" s="57" t="s">
        <v>35</v>
      </c>
      <c r="V266" s="56" t="e">
        <f>[1]Data2025!V265</f>
        <v>#N/A</v>
      </c>
      <c r="W266" s="56" t="e">
        <f>[1]Data2025!X265</f>
        <v>#N/A</v>
      </c>
      <c r="X266" s="57" t="s">
        <v>36</v>
      </c>
      <c r="Y266" s="57" t="str">
        <f t="shared" si="15"/>
        <v>Alat Tulis Kantor (ATK)</v>
      </c>
      <c r="Z266" s="58" t="str">
        <f t="shared" si="16"/>
        <v>Alat Tulis Kantor (ATK)</v>
      </c>
      <c r="AA266" s="59" t="s">
        <v>42</v>
      </c>
      <c r="AB266" s="60">
        <v>22800</v>
      </c>
      <c r="AC266" s="60">
        <v>114000</v>
      </c>
      <c r="AD266" s="54">
        <v>114000</v>
      </c>
      <c r="AE266" s="61">
        <v>102702.70270270271</v>
      </c>
      <c r="AF266" s="61">
        <v>114000</v>
      </c>
      <c r="AG266" s="62" t="s">
        <v>38</v>
      </c>
      <c r="AH266" s="63" t="e">
        <f>[1]Data2025!W265</f>
        <v>#N/A</v>
      </c>
      <c r="AI266" s="92"/>
      <c r="AJ266" s="92"/>
    </row>
    <row r="267" spans="1:36" ht="16.5" thickTop="1" thickBot="1">
      <c r="A267" s="41">
        <f>[1]Data2025!G266</f>
        <v>97</v>
      </c>
      <c r="B267" s="42" t="e">
        <f>[1]Data2025!K266</f>
        <v>#N/A</v>
      </c>
      <c r="C267" s="43" t="str">
        <f>[1]Data2025!D266</f>
        <v>06. 05. 08.</v>
      </c>
      <c r="D267" s="44" t="str">
        <f>[1]Data2025!C266</f>
        <v>5.1.02.01.01.0024</v>
      </c>
      <c r="E267" s="45">
        <f>[1]Data2025!E266</f>
        <v>45717</v>
      </c>
      <c r="F267" s="46" t="str">
        <f>[1]Data2025!F266</f>
        <v>03/03/2025</v>
      </c>
      <c r="G267" s="45" t="str">
        <f>[1]Data2025!H266</f>
        <v>03/03/2025</v>
      </c>
      <c r="H267" s="45" t="str">
        <f t="shared" si="14"/>
        <v>03/03/2025</v>
      </c>
      <c r="I267" s="47" t="str">
        <f>[1]Data2025!J266</f>
        <v>23/04/2025</v>
      </c>
      <c r="J267" s="48" t="str">
        <f>[1]Data2025!L266</f>
        <v>Stofmap Transparan tali</v>
      </c>
      <c r="K267" s="48" t="str">
        <f>[1]Data2025!M266</f>
        <v>Stofmap Transparan tali</v>
      </c>
      <c r="L267" s="49">
        <f>[1]Data2025!N266</f>
        <v>100</v>
      </c>
      <c r="M267" s="49" t="str">
        <f>[1]Data2025!O266</f>
        <v>buah</v>
      </c>
      <c r="N267" s="50">
        <f>[1]Data2025!P266</f>
        <v>5500</v>
      </c>
      <c r="O267" s="51">
        <f>[1]Data2025!Q266</f>
        <v>550000</v>
      </c>
      <c r="P267" s="52" t="s">
        <v>43</v>
      </c>
      <c r="Q267" s="53" t="str">
        <f>VLOOKUP(K267,[1]Sheet1!$C$1:$D$101,2,)</f>
        <v>Stofmap Transparan tali (Merk : Jenia Tipe : 2 Kancing + Tali Ukuran : 255 x 375 mm Bahan : Plastik PP 0,14 Micron)</v>
      </c>
      <c r="R267" s="54">
        <v>50000</v>
      </c>
      <c r="S267" s="55">
        <v>60000</v>
      </c>
      <c r="T267" s="56">
        <f>[1]Data2025!T266</f>
        <v>0</v>
      </c>
      <c r="U267" s="57" t="s">
        <v>35</v>
      </c>
      <c r="V267" s="56" t="e">
        <f>[1]Data2025!V266</f>
        <v>#N/A</v>
      </c>
      <c r="W267" s="56" t="e">
        <f>[1]Data2025!X266</f>
        <v>#N/A</v>
      </c>
      <c r="X267" s="57" t="s">
        <v>36</v>
      </c>
      <c r="Y267" s="57" t="str">
        <f t="shared" si="15"/>
        <v>Alat Tulis Kantor (ATK)</v>
      </c>
      <c r="Z267" s="58" t="str">
        <f t="shared" si="16"/>
        <v>Alat Tulis Kantor (ATK)</v>
      </c>
      <c r="AA267" s="59" t="s">
        <v>42</v>
      </c>
      <c r="AB267" s="60">
        <v>10000</v>
      </c>
      <c r="AC267" s="60">
        <v>50000</v>
      </c>
      <c r="AD267" s="54">
        <v>50000</v>
      </c>
      <c r="AE267" s="61">
        <v>45045.045045045044</v>
      </c>
      <c r="AF267" s="61">
        <v>50000</v>
      </c>
      <c r="AG267" s="62" t="s">
        <v>38</v>
      </c>
      <c r="AH267" s="63" t="e">
        <f>[1]Data2025!W266</f>
        <v>#N/A</v>
      </c>
    </row>
    <row r="268" spans="1:36" ht="26.5" customHeight="1" thickTop="1" thickBot="1">
      <c r="A268" s="41">
        <f>[1]Data2025!G267</f>
        <v>97</v>
      </c>
      <c r="B268" s="42" t="e">
        <f>[1]Data2025!K267</f>
        <v>#N/A</v>
      </c>
      <c r="C268" s="43" t="str">
        <f>[1]Data2025!D267</f>
        <v>06. 05. 08.</v>
      </c>
      <c r="D268" s="44" t="str">
        <f>[1]Data2025!C267</f>
        <v>5.1.02.01.01.0024</v>
      </c>
      <c r="E268" s="45">
        <f>[1]Data2025!E267</f>
        <v>45717</v>
      </c>
      <c r="F268" s="46" t="str">
        <f>[1]Data2025!F267</f>
        <v>03/03/2025</v>
      </c>
      <c r="G268" s="45" t="str">
        <f>[1]Data2025!H267</f>
        <v>03/03/2025</v>
      </c>
      <c r="H268" s="45" t="str">
        <f t="shared" si="14"/>
        <v>03/03/2025</v>
      </c>
      <c r="I268" s="47" t="str">
        <f>[1]Data2025!J267</f>
        <v>23/04/2025</v>
      </c>
      <c r="J268" s="48" t="str">
        <f>[1]Data2025!L267</f>
        <v>Stofmap Transparan</v>
      </c>
      <c r="K268" s="48" t="str">
        <f>[1]Data2025!M267</f>
        <v>Stofmap Transparan</v>
      </c>
      <c r="L268" s="49">
        <f>[1]Data2025!N267</f>
        <v>100</v>
      </c>
      <c r="M268" s="49" t="str">
        <f>[1]Data2025!O267</f>
        <v>buah</v>
      </c>
      <c r="N268" s="50">
        <f>[1]Data2025!P267</f>
        <v>5500</v>
      </c>
      <c r="O268" s="51">
        <f>[1]Data2025!Q267</f>
        <v>550000</v>
      </c>
      <c r="P268" s="52" t="s">
        <v>43</v>
      </c>
      <c r="Q268" s="53" t="str">
        <f>VLOOKUP(K268,[1]Sheet1!$C$1:$D$101,2,)</f>
        <v>Stofmap Transparan (Length 5.0Cm, Width 5.0Cm, Height 5.0Cm, Weight 5Gr)</v>
      </c>
      <c r="R268" s="54">
        <v>165000</v>
      </c>
      <c r="S268" s="55">
        <v>185000</v>
      </c>
      <c r="T268" s="56">
        <f>[1]Data2025!T267</f>
        <v>0</v>
      </c>
      <c r="U268" s="57" t="s">
        <v>35</v>
      </c>
      <c r="V268" s="56" t="e">
        <f>[1]Data2025!V267</f>
        <v>#N/A</v>
      </c>
      <c r="W268" s="56" t="e">
        <f>[1]Data2025!X267</f>
        <v>#N/A</v>
      </c>
      <c r="X268" s="57" t="s">
        <v>36</v>
      </c>
      <c r="Y268" s="57" t="str">
        <f t="shared" si="15"/>
        <v>Alat Tulis Kantor (ATK)</v>
      </c>
      <c r="Z268" s="58" t="str">
        <f t="shared" si="16"/>
        <v>Alat Tulis Kantor (ATK)</v>
      </c>
      <c r="AA268" s="59" t="s">
        <v>37</v>
      </c>
      <c r="AB268" s="60">
        <v>16500</v>
      </c>
      <c r="AC268" s="60">
        <v>165000</v>
      </c>
      <c r="AD268" s="54">
        <v>165000</v>
      </c>
      <c r="AE268" s="61">
        <v>148648.64864864864</v>
      </c>
      <c r="AF268" s="61">
        <v>165000</v>
      </c>
      <c r="AG268" s="62" t="s">
        <v>38</v>
      </c>
      <c r="AH268" s="63" t="e">
        <f>[1]Data2025!W267</f>
        <v>#N/A</v>
      </c>
    </row>
    <row r="269" spans="1:36" ht="16.5" thickTop="1" thickBot="1">
      <c r="A269" s="41">
        <f>[1]Data2025!G268</f>
        <v>97</v>
      </c>
      <c r="B269" s="42" t="e">
        <f>[1]Data2025!K268</f>
        <v>#N/A</v>
      </c>
      <c r="C269" s="43" t="str">
        <f>[1]Data2025!D268</f>
        <v>06. 05. 08.</v>
      </c>
      <c r="D269" s="44" t="str">
        <f>[1]Data2025!C268</f>
        <v>5.1.02.01.01.0024</v>
      </c>
      <c r="E269" s="45">
        <f>[1]Data2025!E268</f>
        <v>45717</v>
      </c>
      <c r="F269" s="46" t="str">
        <f>[1]Data2025!F268</f>
        <v>03/03/2025</v>
      </c>
      <c r="G269" s="45" t="str">
        <f>[1]Data2025!H268</f>
        <v>03/03/2025</v>
      </c>
      <c r="H269" s="45" t="str">
        <f t="shared" si="14"/>
        <v>03/03/2025</v>
      </c>
      <c r="I269" s="47" t="str">
        <f>[1]Data2025!J268</f>
        <v>23/04/2025</v>
      </c>
      <c r="J269" s="48" t="str">
        <f>[1]Data2025!L268</f>
        <v>Binder Klip Ordner</v>
      </c>
      <c r="K269" s="48" t="str">
        <f>[1]Data2025!M268</f>
        <v>Binder Klip Ordner</v>
      </c>
      <c r="L269" s="49">
        <f>[1]Data2025!N268</f>
        <v>6</v>
      </c>
      <c r="M269" s="49" t="str">
        <f>[1]Data2025!O268</f>
        <v>buah</v>
      </c>
      <c r="N269" s="50">
        <f>[1]Data2025!P268</f>
        <v>49500</v>
      </c>
      <c r="O269" s="51">
        <f>[1]Data2025!Q268</f>
        <v>297000</v>
      </c>
      <c r="P269" s="52" t="s">
        <v>43</v>
      </c>
      <c r="Q269" s="53" t="str">
        <f>VLOOKUP(K269,[1]Sheet1!$C$1:$D$101,2,)</f>
        <v>Binder Klip Ordner (Length 5.0Cm, Width 5.0Cm, Height 5.0Cm, Weight 5Gr)</v>
      </c>
      <c r="R269" s="54">
        <v>100000</v>
      </c>
      <c r="S269" s="55">
        <v>110000</v>
      </c>
      <c r="T269" s="56">
        <f>[1]Data2025!T268</f>
        <v>0</v>
      </c>
      <c r="U269" s="57" t="s">
        <v>35</v>
      </c>
      <c r="V269" s="56" t="e">
        <f>[1]Data2025!V268</f>
        <v>#N/A</v>
      </c>
      <c r="W269" s="56" t="e">
        <f>[1]Data2025!X268</f>
        <v>#N/A</v>
      </c>
      <c r="X269" s="57" t="s">
        <v>36</v>
      </c>
      <c r="Y269" s="57" t="str">
        <f t="shared" si="15"/>
        <v>Alat Tulis Kantor (ATK)</v>
      </c>
      <c r="Z269" s="58" t="str">
        <f t="shared" si="16"/>
        <v>Alat Tulis Kantor (ATK)</v>
      </c>
      <c r="AA269" s="59" t="s">
        <v>47</v>
      </c>
      <c r="AB269" s="60">
        <v>20000</v>
      </c>
      <c r="AC269" s="60">
        <v>100000</v>
      </c>
      <c r="AD269" s="54">
        <v>100000</v>
      </c>
      <c r="AE269" s="61">
        <v>90090.090090090089</v>
      </c>
      <c r="AF269" s="61">
        <v>100000</v>
      </c>
      <c r="AG269" s="62" t="s">
        <v>38</v>
      </c>
      <c r="AH269" s="63" t="e">
        <f>[1]Data2025!W268</f>
        <v>#N/A</v>
      </c>
    </row>
    <row r="270" spans="1:36" ht="26" thickTop="1" thickBot="1">
      <c r="A270" s="41">
        <f>[1]Data2025!G269</f>
        <v>97</v>
      </c>
      <c r="B270" s="42" t="e">
        <f>[1]Data2025!K269</f>
        <v>#N/A</v>
      </c>
      <c r="C270" s="43" t="str">
        <f>[1]Data2025!D269</f>
        <v>06. 05. 08.</v>
      </c>
      <c r="D270" s="44" t="str">
        <f>[1]Data2025!C269</f>
        <v>5.1.02.01.01.0024</v>
      </c>
      <c r="E270" s="45">
        <f>[1]Data2025!E269</f>
        <v>45717</v>
      </c>
      <c r="F270" s="46" t="str">
        <f>[1]Data2025!F269</f>
        <v>03/03/2025</v>
      </c>
      <c r="G270" s="45" t="str">
        <f>[1]Data2025!H269</f>
        <v>03/03/2025</v>
      </c>
      <c r="H270" s="45" t="str">
        <f t="shared" si="14"/>
        <v>03/03/2025</v>
      </c>
      <c r="I270" s="47" t="str">
        <f>[1]Data2025!J269</f>
        <v>23/04/2025</v>
      </c>
      <c r="J270" s="48" t="str">
        <f>[1]Data2025!L269</f>
        <v>Box File Merk : Bantex Ukuran : 115x270x325 mm</v>
      </c>
      <c r="K270" s="48" t="str">
        <f>[1]Data2025!M269</f>
        <v>Box File Merk : Bantex Ukuran : 115x270x325 mm</v>
      </c>
      <c r="L270" s="49">
        <f>[1]Data2025!N269</f>
        <v>4</v>
      </c>
      <c r="M270" s="49" t="str">
        <f>[1]Data2025!O269</f>
        <v>buah</v>
      </c>
      <c r="N270" s="50">
        <f>[1]Data2025!P269</f>
        <v>59000</v>
      </c>
      <c r="O270" s="51">
        <f>[1]Data2025!Q269</f>
        <v>236000</v>
      </c>
      <c r="P270" s="52" t="s">
        <v>43</v>
      </c>
      <c r="Q270" s="53" t="str">
        <f>VLOOKUP(K270,[1]Sheet1!$C$1:$D$101,2,)</f>
        <v>Box File (Length 5.0Cm, Width 5.0Cm, Height 5.0Cm, Weight 5Gr)</v>
      </c>
      <c r="R270" s="54">
        <v>510000</v>
      </c>
      <c r="S270" s="55">
        <v>522000</v>
      </c>
      <c r="T270" s="56">
        <f>[1]Data2025!T269</f>
        <v>0</v>
      </c>
      <c r="U270" s="57" t="s">
        <v>35</v>
      </c>
      <c r="V270" s="56" t="e">
        <f>[1]Data2025!V269</f>
        <v>#N/A</v>
      </c>
      <c r="W270" s="56" t="e">
        <f>[1]Data2025!X269</f>
        <v>#N/A</v>
      </c>
      <c r="X270" s="57" t="s">
        <v>36</v>
      </c>
      <c r="Y270" s="57" t="str">
        <f t="shared" si="15"/>
        <v>Alat Tulis Kantor (ATK)</v>
      </c>
      <c r="Z270" s="58" t="str">
        <f t="shared" si="16"/>
        <v>Alat Tulis Kantor (ATK)</v>
      </c>
      <c r="AA270" s="59" t="s">
        <v>48</v>
      </c>
      <c r="AB270" s="60">
        <v>85000</v>
      </c>
      <c r="AC270" s="60">
        <v>510000</v>
      </c>
      <c r="AD270" s="54">
        <v>510000</v>
      </c>
      <c r="AE270" s="61">
        <v>459459.45945945947</v>
      </c>
      <c r="AF270" s="61">
        <v>510000</v>
      </c>
      <c r="AG270" s="62" t="s">
        <v>38</v>
      </c>
      <c r="AH270" s="63" t="e">
        <f>[1]Data2025!W269</f>
        <v>#N/A</v>
      </c>
    </row>
    <row r="271" spans="1:36" ht="16.5" thickTop="1" thickBot="1">
      <c r="A271" s="41">
        <f>[1]Data2025!G270</f>
        <v>97</v>
      </c>
      <c r="B271" s="42" t="e">
        <f>[1]Data2025!K270</f>
        <v>#N/A</v>
      </c>
      <c r="C271" s="43" t="str">
        <f>[1]Data2025!D270</f>
        <v>06. 05. 08.</v>
      </c>
      <c r="D271" s="44" t="str">
        <f>[1]Data2025!C270</f>
        <v>5.1.02.01.01.0024</v>
      </c>
      <c r="E271" s="45">
        <f>[1]Data2025!E270</f>
        <v>45717</v>
      </c>
      <c r="F271" s="46" t="str">
        <f>[1]Data2025!F270</f>
        <v>03/03/2025</v>
      </c>
      <c r="G271" s="45" t="str">
        <f>[1]Data2025!H270</f>
        <v>03/03/2025</v>
      </c>
      <c r="H271" s="45" t="str">
        <f t="shared" si="14"/>
        <v>03/03/2025</v>
      </c>
      <c r="I271" s="47" t="str">
        <f>[1]Data2025!J270</f>
        <v>23/04/2025</v>
      </c>
      <c r="J271" s="48" t="str">
        <f>[1]Data2025!L270</f>
        <v>Sampul Plastik</v>
      </c>
      <c r="K271" s="48" t="str">
        <f>[1]Data2025!M270</f>
        <v>Sampul Plastik</v>
      </c>
      <c r="L271" s="49">
        <f>[1]Data2025!N270</f>
        <v>5</v>
      </c>
      <c r="M271" s="49" t="str">
        <f>[1]Data2025!O270</f>
        <v>bungkus</v>
      </c>
      <c r="N271" s="50">
        <f>[1]Data2025!P270</f>
        <v>65000</v>
      </c>
      <c r="O271" s="51">
        <f>[1]Data2025!Q270</f>
        <v>325000</v>
      </c>
      <c r="P271" s="52" t="s">
        <v>43</v>
      </c>
      <c r="Q271" s="53" t="str">
        <f>VLOOKUP(K271,[1]Sheet1!$C$1:$D$101,2,)</f>
        <v>Sampul Plastik (Length 5.0Cm, Width 5.0Cm, Height 5.0Cm, Weight 5Gr)</v>
      </c>
      <c r="R271" s="54">
        <v>80000</v>
      </c>
      <c r="S271" s="55">
        <v>84000</v>
      </c>
      <c r="T271" s="56">
        <f>[1]Data2025!T270</f>
        <v>0</v>
      </c>
      <c r="U271" s="57" t="s">
        <v>35</v>
      </c>
      <c r="V271" s="56" t="e">
        <f>[1]Data2025!V270</f>
        <v>#N/A</v>
      </c>
      <c r="W271" s="56" t="e">
        <f>[1]Data2025!X270</f>
        <v>#N/A</v>
      </c>
      <c r="X271" s="57" t="s">
        <v>36</v>
      </c>
      <c r="Y271" s="57" t="str">
        <f t="shared" si="15"/>
        <v>Alat Tulis Kantor (ATK)</v>
      </c>
      <c r="Z271" s="58" t="str">
        <f t="shared" si="16"/>
        <v>Alat Tulis Kantor (ATK)</v>
      </c>
      <c r="AA271" s="59" t="s">
        <v>37</v>
      </c>
      <c r="AB271" s="60">
        <v>40000</v>
      </c>
      <c r="AC271" s="60">
        <v>80000</v>
      </c>
      <c r="AD271" s="54">
        <v>80000</v>
      </c>
      <c r="AE271" s="61">
        <v>72072.072072072071</v>
      </c>
      <c r="AF271" s="61">
        <v>80000</v>
      </c>
      <c r="AG271" s="62" t="s">
        <v>38</v>
      </c>
      <c r="AH271" s="63" t="e">
        <f>[1]Data2025!W270</f>
        <v>#N/A</v>
      </c>
    </row>
    <row r="272" spans="1:36" ht="26" thickTop="1" thickBot="1">
      <c r="A272" s="41">
        <f>[1]Data2025!G271</f>
        <v>97</v>
      </c>
      <c r="B272" s="42" t="e">
        <f>[1]Data2025!K271</f>
        <v>#N/A</v>
      </c>
      <c r="C272" s="43" t="str">
        <f>[1]Data2025!D271</f>
        <v>06. 05. 08.</v>
      </c>
      <c r="D272" s="44" t="str">
        <f>[1]Data2025!C271</f>
        <v>5.1.02.01.01.0024</v>
      </c>
      <c r="E272" s="45">
        <f>[1]Data2025!E271</f>
        <v>45717</v>
      </c>
      <c r="F272" s="46" t="str">
        <f>[1]Data2025!F271</f>
        <v>03/03/2025</v>
      </c>
      <c r="G272" s="45" t="str">
        <f>[1]Data2025!H271</f>
        <v>03/03/2025</v>
      </c>
      <c r="H272" s="45" t="str">
        <f t="shared" si="14"/>
        <v>03/03/2025</v>
      </c>
      <c r="I272" s="47" t="str">
        <f>[1]Data2025!J271</f>
        <v>23/04/2025</v>
      </c>
      <c r="J272" s="48" t="str">
        <f>[1]Data2025!L271</f>
        <v>Tinta Printer Canon 740 Hitam-740 Hitam</v>
      </c>
      <c r="K272" s="48" t="str">
        <f>[1]Data2025!M271</f>
        <v>Tinta Printer Canon 740 Hitam-740 Hitam</v>
      </c>
      <c r="L272" s="49">
        <f>[1]Data2025!N271</f>
        <v>8</v>
      </c>
      <c r="M272" s="49" t="str">
        <f>[1]Data2025!O271</f>
        <v>botol</v>
      </c>
      <c r="N272" s="50">
        <f>[1]Data2025!P271</f>
        <v>30000</v>
      </c>
      <c r="O272" s="51">
        <f>[1]Data2025!Q271</f>
        <v>240000</v>
      </c>
      <c r="P272" s="52" t="s">
        <v>43</v>
      </c>
      <c r="Q272" s="53" t="str">
        <f>VLOOKUP(K272,[1]Sheet1!$C$1:$D$101,2,)</f>
        <v>Tinta Printer Canon Aiflo Hitam (Length 5.0cm, Width 5.0cm, Height 5.0cm, Weight 5gr)</v>
      </c>
      <c r="R272" s="54">
        <v>180000</v>
      </c>
      <c r="S272" s="55">
        <v>184000</v>
      </c>
      <c r="T272" s="56">
        <f>[1]Data2025!T271</f>
        <v>0</v>
      </c>
      <c r="U272" s="57" t="s">
        <v>35</v>
      </c>
      <c r="V272" s="56" t="e">
        <f>[1]Data2025!V271</f>
        <v>#N/A</v>
      </c>
      <c r="W272" s="56" t="e">
        <f>[1]Data2025!X271</f>
        <v>#N/A</v>
      </c>
      <c r="X272" s="57" t="s">
        <v>36</v>
      </c>
      <c r="Y272" s="57" t="str">
        <f t="shared" si="15"/>
        <v>Alat Tulis Kantor (ATK)</v>
      </c>
      <c r="Z272" s="58" t="str">
        <f t="shared" si="16"/>
        <v>Alat Tulis Kantor (ATK)</v>
      </c>
      <c r="AA272" s="59" t="s">
        <v>50</v>
      </c>
      <c r="AB272" s="60">
        <v>90000</v>
      </c>
      <c r="AC272" s="60">
        <v>180000</v>
      </c>
      <c r="AD272" s="54">
        <v>180000</v>
      </c>
      <c r="AE272" s="61">
        <v>162162.16216216216</v>
      </c>
      <c r="AF272" s="61">
        <v>180000</v>
      </c>
      <c r="AG272" s="62" t="s">
        <v>38</v>
      </c>
      <c r="AH272" s="63" t="e">
        <f>[1]Data2025!W271</f>
        <v>#N/A</v>
      </c>
    </row>
    <row r="273" spans="1:34" ht="26" thickTop="1" thickBot="1">
      <c r="A273" s="41">
        <f>[1]Data2025!G272</f>
        <v>97</v>
      </c>
      <c r="B273" s="42" t="e">
        <f>[1]Data2025!K272</f>
        <v>#N/A</v>
      </c>
      <c r="C273" s="43" t="str">
        <f>[1]Data2025!D272</f>
        <v>06. 05. 08.</v>
      </c>
      <c r="D273" s="44" t="str">
        <f>[1]Data2025!C272</f>
        <v>5.1.02.01.01.0024</v>
      </c>
      <c r="E273" s="45">
        <f>[1]Data2025!E272</f>
        <v>45717</v>
      </c>
      <c r="F273" s="46" t="str">
        <f>[1]Data2025!F272</f>
        <v>03/03/2025</v>
      </c>
      <c r="G273" s="45" t="str">
        <f>[1]Data2025!H272</f>
        <v>03/03/2025</v>
      </c>
      <c r="H273" s="45" t="str">
        <f t="shared" si="14"/>
        <v>03/03/2025</v>
      </c>
      <c r="I273" s="47" t="str">
        <f>[1]Data2025!J272</f>
        <v>23/04/2025</v>
      </c>
      <c r="J273" s="48" t="str">
        <f>[1]Data2025!L272</f>
        <v>Tinta Printer Canon 741 Warna-741 Warna</v>
      </c>
      <c r="K273" s="48" t="str">
        <f>[1]Data2025!M272</f>
        <v>Tinta Printer Canon 741 Warna-741 Warna</v>
      </c>
      <c r="L273" s="49">
        <f>[1]Data2025!N272</f>
        <v>12</v>
      </c>
      <c r="M273" s="49" t="str">
        <f>[1]Data2025!O272</f>
        <v>botol</v>
      </c>
      <c r="N273" s="50">
        <f>[1]Data2025!P272</f>
        <v>33000</v>
      </c>
      <c r="O273" s="51">
        <f>[1]Data2025!Q272</f>
        <v>396000</v>
      </c>
      <c r="P273" s="52" t="s">
        <v>43</v>
      </c>
      <c r="Q273" s="53" t="str">
        <f>VLOOKUP(K273,[1]Sheet1!$C$1:$D$101,2,)</f>
        <v>Tinta Printer Canon Aiflo Warna (Length 5.0cm, Width 5.0cm, Height 5.0cm, Weight 5gr)</v>
      </c>
      <c r="R273" s="54">
        <v>325000</v>
      </c>
      <c r="S273" s="55">
        <v>335000</v>
      </c>
      <c r="T273" s="56">
        <f>[1]Data2025!T272</f>
        <v>0</v>
      </c>
      <c r="U273" s="57" t="s">
        <v>35</v>
      </c>
      <c r="V273" s="56" t="e">
        <f>[1]Data2025!V272</f>
        <v>#N/A</v>
      </c>
      <c r="W273" s="56" t="e">
        <f>[1]Data2025!X272</f>
        <v>#N/A</v>
      </c>
      <c r="X273" s="57" t="s">
        <v>36</v>
      </c>
      <c r="Y273" s="57" t="str">
        <f t="shared" si="15"/>
        <v>Alat Tulis Kantor (ATK)</v>
      </c>
      <c r="Z273" s="58" t="str">
        <f t="shared" si="16"/>
        <v>Alat Tulis Kantor (ATK)</v>
      </c>
      <c r="AA273" s="59" t="s">
        <v>44</v>
      </c>
      <c r="AB273" s="60">
        <v>65000</v>
      </c>
      <c r="AC273" s="60">
        <v>325000</v>
      </c>
      <c r="AD273" s="54">
        <v>325000</v>
      </c>
      <c r="AE273" s="61">
        <v>292792.79279279278</v>
      </c>
      <c r="AF273" s="61">
        <v>325000</v>
      </c>
      <c r="AG273" s="62" t="s">
        <v>38</v>
      </c>
      <c r="AH273" s="63" t="e">
        <f>[1]Data2025!W272</f>
        <v>#N/A</v>
      </c>
    </row>
    <row r="274" spans="1:34" ht="26" thickTop="1" thickBot="1">
      <c r="A274" s="41">
        <f>[1]Data2025!G273</f>
        <v>97</v>
      </c>
      <c r="B274" s="42" t="e">
        <f>[1]Data2025!K273</f>
        <v>#N/A</v>
      </c>
      <c r="C274" s="43" t="str">
        <f>[1]Data2025!D273</f>
        <v>06. 05. 08.</v>
      </c>
      <c r="D274" s="44" t="str">
        <f>[1]Data2025!C273</f>
        <v>5.1.02.01.01.0024</v>
      </c>
      <c r="E274" s="45">
        <f>[1]Data2025!E273</f>
        <v>45717</v>
      </c>
      <c r="F274" s="46" t="str">
        <f>[1]Data2025!F273</f>
        <v>03/03/2025</v>
      </c>
      <c r="G274" s="45" t="str">
        <f>[1]Data2025!H273</f>
        <v>03/03/2025</v>
      </c>
      <c r="H274" s="45" t="str">
        <f t="shared" si="14"/>
        <v>03/03/2025</v>
      </c>
      <c r="I274" s="47" t="str">
        <f>[1]Data2025!J273</f>
        <v>23/04/2025</v>
      </c>
      <c r="J274" s="48" t="str">
        <f>[1]Data2025!L273</f>
        <v>C. Tinta Printer EPSON Toner Epson 664 Black</v>
      </c>
      <c r="K274" s="48" t="str">
        <f>[1]Data2025!M273</f>
        <v>C. Tinta Printer EPSON Toner Epson 664 Black</v>
      </c>
      <c r="L274" s="49">
        <f>[1]Data2025!N273</f>
        <v>6</v>
      </c>
      <c r="M274" s="49" t="str">
        <f>[1]Data2025!O273</f>
        <v>botol</v>
      </c>
      <c r="N274" s="50">
        <f>[1]Data2025!P273</f>
        <v>85000</v>
      </c>
      <c r="O274" s="51">
        <f>[1]Data2025!Q273</f>
        <v>510000</v>
      </c>
      <c r="P274" s="52" t="s">
        <v>43</v>
      </c>
      <c r="Q274" s="53" t="str">
        <f>VLOOKUP(K274,[1]Sheet1!$C$1:$D$101,2,)</f>
        <v>Tinta Printer Epson 664 Hitam (Length 5.0Cm, Width 5.0Cm, Height 5.0Cm, Weight 5Gr)</v>
      </c>
      <c r="R274" s="54">
        <v>239200</v>
      </c>
      <c r="S274" s="55">
        <v>247200</v>
      </c>
      <c r="T274" s="56">
        <f>[1]Data2025!T273</f>
        <v>0</v>
      </c>
      <c r="U274" s="57" t="s">
        <v>35</v>
      </c>
      <c r="V274" s="56" t="e">
        <f>[1]Data2025!V273</f>
        <v>#N/A</v>
      </c>
      <c r="W274" s="56" t="e">
        <f>[1]Data2025!X273</f>
        <v>#N/A</v>
      </c>
      <c r="X274" s="57" t="s">
        <v>36</v>
      </c>
      <c r="Y274" s="57" t="str">
        <f t="shared" si="15"/>
        <v>Alat Tulis Kantor (ATK)</v>
      </c>
      <c r="Z274" s="58" t="str">
        <f t="shared" si="16"/>
        <v>Alat Tulis Kantor (ATK)</v>
      </c>
      <c r="AA274" s="59" t="s">
        <v>42</v>
      </c>
      <c r="AB274" s="60">
        <v>59800</v>
      </c>
      <c r="AC274" s="60">
        <v>239200</v>
      </c>
      <c r="AD274" s="54">
        <v>239200</v>
      </c>
      <c r="AE274" s="61">
        <v>215495.4954954955</v>
      </c>
      <c r="AF274" s="61">
        <v>239200</v>
      </c>
      <c r="AG274" s="62" t="s">
        <v>38</v>
      </c>
      <c r="AH274" s="63" t="e">
        <f>[1]Data2025!W273</f>
        <v>#N/A</v>
      </c>
    </row>
    <row r="275" spans="1:34" ht="26" thickTop="1" thickBot="1">
      <c r="A275" s="41">
        <f>[1]Data2025!G274</f>
        <v>97</v>
      </c>
      <c r="B275" s="42" t="e">
        <f>[1]Data2025!K274</f>
        <v>#N/A</v>
      </c>
      <c r="C275" s="43" t="str">
        <f>[1]Data2025!D274</f>
        <v>06. 05. 08.</v>
      </c>
      <c r="D275" s="44" t="str">
        <f>[1]Data2025!C274</f>
        <v>5.1.02.01.01.0024</v>
      </c>
      <c r="E275" s="45">
        <f>[1]Data2025!E274</f>
        <v>45717</v>
      </c>
      <c r="F275" s="46" t="str">
        <f>[1]Data2025!F274</f>
        <v>03/03/2025</v>
      </c>
      <c r="G275" s="45" t="str">
        <f>[1]Data2025!H274</f>
        <v>03/03/2025</v>
      </c>
      <c r="H275" s="45" t="str">
        <f t="shared" si="14"/>
        <v>03/03/2025</v>
      </c>
      <c r="I275" s="47" t="str">
        <f>[1]Data2025!J274</f>
        <v>23/04/2025</v>
      </c>
      <c r="J275" s="48" t="str">
        <f>[1]Data2025!L274</f>
        <v>C. Tinta Printer EPSON Tinta Printer Epson Yellow</v>
      </c>
      <c r="K275" s="48" t="str">
        <f>[1]Data2025!M274</f>
        <v>C. Tinta Printer EPSON Tinta Printer Epson Yellow</v>
      </c>
      <c r="L275" s="49">
        <f>[1]Data2025!N274</f>
        <v>4</v>
      </c>
      <c r="M275" s="49" t="str">
        <f>[1]Data2025!O274</f>
        <v>botol</v>
      </c>
      <c r="N275" s="50">
        <f>[1]Data2025!P274</f>
        <v>110000</v>
      </c>
      <c r="O275" s="51">
        <f>[1]Data2025!Q274</f>
        <v>440000</v>
      </c>
      <c r="P275" s="52" t="s">
        <v>43</v>
      </c>
      <c r="Q275" s="53" t="str">
        <f>VLOOKUP(K275,[1]Sheet1!$C$1:$D$101,2,)</f>
        <v>Tinta Printer Epson 664 Kuning (Length 5.0Cm, Width 5.0Cm, Height 5.0Cm, Weight 5Gr)</v>
      </c>
      <c r="R275" s="54">
        <v>1240000</v>
      </c>
      <c r="S275" s="55">
        <v>1248000</v>
      </c>
      <c r="T275" s="56">
        <f>[1]Data2025!T274</f>
        <v>0</v>
      </c>
      <c r="U275" s="57" t="s">
        <v>35</v>
      </c>
      <c r="V275" s="56" t="e">
        <f>[1]Data2025!V274</f>
        <v>#N/A</v>
      </c>
      <c r="W275" s="56" t="e">
        <f>[1]Data2025!X274</f>
        <v>#N/A</v>
      </c>
      <c r="X275" s="57" t="s">
        <v>36</v>
      </c>
      <c r="Y275" s="57" t="str">
        <f t="shared" si="15"/>
        <v>Alat Tulis Kantor (ATK)</v>
      </c>
      <c r="Z275" s="58" t="str">
        <f t="shared" si="16"/>
        <v>Alat Tulis Kantor (ATK)</v>
      </c>
      <c r="AA275" s="59" t="s">
        <v>48</v>
      </c>
      <c r="AB275" s="60">
        <v>310000</v>
      </c>
      <c r="AC275" s="60">
        <v>1240000</v>
      </c>
      <c r="AD275" s="54">
        <v>1240000</v>
      </c>
      <c r="AE275" s="61">
        <v>1117117.1171171172</v>
      </c>
      <c r="AF275" s="61">
        <v>1240000</v>
      </c>
      <c r="AG275" s="62" t="s">
        <v>38</v>
      </c>
      <c r="AH275" s="63" t="e">
        <f>[1]Data2025!W274</f>
        <v>#N/A</v>
      </c>
    </row>
    <row r="276" spans="1:34" ht="26" thickTop="1" thickBot="1">
      <c r="A276" s="41">
        <f>[1]Data2025!G275</f>
        <v>97</v>
      </c>
      <c r="B276" s="42" t="e">
        <f>[1]Data2025!K275</f>
        <v>#N/A</v>
      </c>
      <c r="C276" s="43" t="str">
        <f>[1]Data2025!D275</f>
        <v>06. 05. 08.</v>
      </c>
      <c r="D276" s="44" t="str">
        <f>[1]Data2025!C275</f>
        <v>5.1.02.01.01.0024</v>
      </c>
      <c r="E276" s="45">
        <f>[1]Data2025!E275</f>
        <v>45717</v>
      </c>
      <c r="F276" s="46" t="str">
        <f>[1]Data2025!F275</f>
        <v>03/03/2025</v>
      </c>
      <c r="G276" s="45" t="str">
        <f>[1]Data2025!H275</f>
        <v>03/03/2025</v>
      </c>
      <c r="H276" s="45" t="str">
        <f t="shared" si="14"/>
        <v>03/03/2025</v>
      </c>
      <c r="I276" s="47" t="str">
        <f>[1]Data2025!J275</f>
        <v>23/04/2025</v>
      </c>
      <c r="J276" s="48" t="str">
        <f>[1]Data2025!L275</f>
        <v>C. Tinta Printer EPSON Tinta Printer Epson Blue</v>
      </c>
      <c r="K276" s="48" t="str">
        <f>[1]Data2025!M275</f>
        <v>C. Tinta Printer EPSON Tinta Printer Epson Blue</v>
      </c>
      <c r="L276" s="49">
        <f>[1]Data2025!N275</f>
        <v>4</v>
      </c>
      <c r="M276" s="49" t="str">
        <f>[1]Data2025!O275</f>
        <v>botol</v>
      </c>
      <c r="N276" s="50">
        <f>[1]Data2025!P275</f>
        <v>110000</v>
      </c>
      <c r="O276" s="51">
        <f>[1]Data2025!Q275</f>
        <v>440000</v>
      </c>
      <c r="P276" s="52" t="s">
        <v>43</v>
      </c>
      <c r="Q276" s="53" t="str">
        <f>VLOOKUP(K276,[1]Sheet1!$C$1:$D$101,2,)</f>
        <v>Tinta Printer Epson 664 Biru (Length 5.0Cm, Width 5.0Cm, Height 5.0Cm, Weight 5Gr)</v>
      </c>
      <c r="R276" s="54">
        <v>80000</v>
      </c>
      <c r="S276" s="55">
        <v>82000</v>
      </c>
      <c r="T276" s="56">
        <f>[1]Data2025!T275</f>
        <v>0</v>
      </c>
      <c r="U276" s="57" t="s">
        <v>35</v>
      </c>
      <c r="V276" s="56" t="e">
        <f>[1]Data2025!V275</f>
        <v>#N/A</v>
      </c>
      <c r="W276" s="56" t="e">
        <f>[1]Data2025!X275</f>
        <v>#N/A</v>
      </c>
      <c r="X276" s="57" t="s">
        <v>36</v>
      </c>
      <c r="Y276" s="57" t="str">
        <f t="shared" si="15"/>
        <v>Alat Tulis Kantor (ATK)</v>
      </c>
      <c r="Z276" s="58" t="str">
        <f t="shared" si="16"/>
        <v>Alat Tulis Kantor (ATK)</v>
      </c>
      <c r="AA276" s="59" t="s">
        <v>42</v>
      </c>
      <c r="AB276" s="60">
        <v>80000</v>
      </c>
      <c r="AC276" s="60">
        <v>80000</v>
      </c>
      <c r="AD276" s="54">
        <v>80000</v>
      </c>
      <c r="AE276" s="61">
        <v>72072.072072072071</v>
      </c>
      <c r="AF276" s="61">
        <v>80000</v>
      </c>
      <c r="AG276" s="62" t="s">
        <v>38</v>
      </c>
      <c r="AH276" s="63" t="e">
        <f>[1]Data2025!W275</f>
        <v>#N/A</v>
      </c>
    </row>
    <row r="277" spans="1:34" ht="26" thickTop="1" thickBot="1">
      <c r="A277" s="41">
        <f>[1]Data2025!G276</f>
        <v>97</v>
      </c>
      <c r="B277" s="42" t="e">
        <f>[1]Data2025!K276</f>
        <v>#N/A</v>
      </c>
      <c r="C277" s="43" t="str">
        <f>[1]Data2025!D276</f>
        <v>06. 05. 08.</v>
      </c>
      <c r="D277" s="44" t="str">
        <f>[1]Data2025!C276</f>
        <v>5.1.02.01.01.0024</v>
      </c>
      <c r="E277" s="45">
        <f>[1]Data2025!E276</f>
        <v>45717</v>
      </c>
      <c r="F277" s="46" t="str">
        <f>[1]Data2025!F276</f>
        <v>03/03/2025</v>
      </c>
      <c r="G277" s="45" t="str">
        <f>[1]Data2025!H276</f>
        <v>03/03/2025</v>
      </c>
      <c r="H277" s="45" t="str">
        <f t="shared" si="14"/>
        <v>03/03/2025</v>
      </c>
      <c r="I277" s="47" t="str">
        <f>[1]Data2025!J276</f>
        <v>23/04/2025</v>
      </c>
      <c r="J277" s="48" t="str">
        <f>[1]Data2025!L276</f>
        <v>C. Tinta Printer EPSON Tinta Printer Epson Read</v>
      </c>
      <c r="K277" s="48" t="str">
        <f>[1]Data2025!M276</f>
        <v>C. Tinta Printer EPSON Tinta Printer Epson Read</v>
      </c>
      <c r="L277" s="49">
        <f>[1]Data2025!N276</f>
        <v>4</v>
      </c>
      <c r="M277" s="49" t="str">
        <f>[1]Data2025!O276</f>
        <v>botol</v>
      </c>
      <c r="N277" s="50">
        <f>[1]Data2025!P276</f>
        <v>110000</v>
      </c>
      <c r="O277" s="51">
        <f>[1]Data2025!Q276</f>
        <v>440000</v>
      </c>
      <c r="P277" s="52" t="s">
        <v>43</v>
      </c>
      <c r="Q277" s="53" t="str">
        <f>VLOOKUP(K277,[1]Sheet1!$C$1:$D$101,2,)</f>
        <v>Tinta Printer Epson 664 Merah (Length 5.0Cm, Width 5.0Cm, Height 5.0Cm, Weight 5Gr)</v>
      </c>
      <c r="R277" s="54">
        <v>60000</v>
      </c>
      <c r="S277" s="55">
        <v>66000</v>
      </c>
      <c r="T277" s="56">
        <f>[1]Data2025!T276</f>
        <v>0</v>
      </c>
      <c r="U277" s="57" t="s">
        <v>35</v>
      </c>
      <c r="V277" s="56" t="e">
        <f>[1]Data2025!V276</f>
        <v>#N/A</v>
      </c>
      <c r="W277" s="56" t="e">
        <f>[1]Data2025!X276</f>
        <v>#N/A</v>
      </c>
      <c r="X277" s="57" t="s">
        <v>36</v>
      </c>
      <c r="Y277" s="57" t="str">
        <f t="shared" si="15"/>
        <v>Alat Tulis Kantor (ATK)</v>
      </c>
      <c r="Z277" s="58" t="str">
        <f t="shared" si="16"/>
        <v>Alat Tulis Kantor (ATK)</v>
      </c>
      <c r="AA277" s="59" t="s">
        <v>42</v>
      </c>
      <c r="AB277" s="60">
        <v>20000</v>
      </c>
      <c r="AC277" s="60">
        <v>60000</v>
      </c>
      <c r="AD277" s="54">
        <v>60000</v>
      </c>
      <c r="AE277" s="61">
        <v>54054.054054054053</v>
      </c>
      <c r="AF277" s="61">
        <v>60000</v>
      </c>
      <c r="AG277" s="62" t="s">
        <v>38</v>
      </c>
      <c r="AH277" s="63" t="e">
        <f>[1]Data2025!W276</f>
        <v>#N/A</v>
      </c>
    </row>
    <row r="278" spans="1:34" ht="16.5" thickTop="1" thickBot="1">
      <c r="A278" s="41">
        <f>[1]Data2025!G277</f>
        <v>97</v>
      </c>
      <c r="B278" s="42" t="e">
        <f>[1]Data2025!K277</f>
        <v>#N/A</v>
      </c>
      <c r="C278" s="43" t="str">
        <f>[1]Data2025!D277</f>
        <v>06. 05. 08.</v>
      </c>
      <c r="D278" s="44" t="str">
        <f>[1]Data2025!C277</f>
        <v>5.1.02.01.01.0024</v>
      </c>
      <c r="E278" s="45">
        <f>[1]Data2025!E277</f>
        <v>45717</v>
      </c>
      <c r="F278" s="46" t="str">
        <f>[1]Data2025!F277</f>
        <v>03/03/2025</v>
      </c>
      <c r="G278" s="45" t="str">
        <f>[1]Data2025!H277</f>
        <v>03/03/2025</v>
      </c>
      <c r="H278" s="45" t="str">
        <f t="shared" si="14"/>
        <v>03/03/2025</v>
      </c>
      <c r="I278" s="47" t="str">
        <f>[1]Data2025!J277</f>
        <v>23/04/2025</v>
      </c>
      <c r="J278" s="48" t="str">
        <f>[1]Data2025!L277</f>
        <v>Catridge Printer Epson T 014--</v>
      </c>
      <c r="K278" s="48" t="str">
        <f>[1]Data2025!M277</f>
        <v>Catridge Printer Epson T 014--</v>
      </c>
      <c r="L278" s="49">
        <f>[1]Data2025!N277</f>
        <v>4</v>
      </c>
      <c r="M278" s="49" t="str">
        <f>[1]Data2025!O277</f>
        <v>botol</v>
      </c>
      <c r="N278" s="50">
        <f>[1]Data2025!P277</f>
        <v>310000</v>
      </c>
      <c r="O278" s="51">
        <f>[1]Data2025!Q277</f>
        <v>1240000</v>
      </c>
      <c r="P278" s="52" t="s">
        <v>43</v>
      </c>
      <c r="Q278" s="53" t="str">
        <f>VLOOKUP(K278,[1]Sheet1!$C$1:$D$101,2,)</f>
        <v>Catridge Printer (Merek: Epson Tipe: T 014)</v>
      </c>
      <c r="R278" s="54">
        <v>40000</v>
      </c>
      <c r="S278" s="55">
        <v>44000</v>
      </c>
      <c r="T278" s="56">
        <f>[1]Data2025!T277</f>
        <v>0</v>
      </c>
      <c r="U278" s="57" t="s">
        <v>35</v>
      </c>
      <c r="V278" s="56" t="e">
        <f>[1]Data2025!V277</f>
        <v>#N/A</v>
      </c>
      <c r="W278" s="56" t="e">
        <f>[1]Data2025!X277</f>
        <v>#N/A</v>
      </c>
      <c r="X278" s="57" t="s">
        <v>36</v>
      </c>
      <c r="Y278" s="57" t="str">
        <f t="shared" si="15"/>
        <v>Alat Tulis Kantor (ATK)</v>
      </c>
      <c r="Z278" s="58" t="str">
        <f t="shared" si="16"/>
        <v>Alat Tulis Kantor (ATK)</v>
      </c>
      <c r="AA278" s="59" t="s">
        <v>42</v>
      </c>
      <c r="AB278" s="60">
        <v>20000</v>
      </c>
      <c r="AC278" s="60">
        <v>40000</v>
      </c>
      <c r="AD278" s="54">
        <v>40000</v>
      </c>
      <c r="AE278" s="61">
        <v>36036.036036036036</v>
      </c>
      <c r="AF278" s="61">
        <v>40000</v>
      </c>
      <c r="AG278" s="62" t="s">
        <v>38</v>
      </c>
      <c r="AH278" s="63" t="e">
        <f>[1]Data2025!W277</f>
        <v>#N/A</v>
      </c>
    </row>
    <row r="279" spans="1:34" ht="16.5" thickTop="1" thickBot="1">
      <c r="A279" s="41">
        <f>[1]Data2025!G278</f>
        <v>97</v>
      </c>
      <c r="B279" s="42" t="e">
        <f>[1]Data2025!K278</f>
        <v>#N/A</v>
      </c>
      <c r="C279" s="43" t="str">
        <f>[1]Data2025!D278</f>
        <v>06. 05. 08.</v>
      </c>
      <c r="D279" s="44" t="str">
        <f>[1]Data2025!C278</f>
        <v>5.1.02.01.01.0024</v>
      </c>
      <c r="E279" s="45">
        <f>[1]Data2025!E278</f>
        <v>45717</v>
      </c>
      <c r="F279" s="46" t="str">
        <f>[1]Data2025!F278</f>
        <v>03/03/2025</v>
      </c>
      <c r="G279" s="45" t="str">
        <f>[1]Data2025!H278</f>
        <v>03/03/2025</v>
      </c>
      <c r="H279" s="45" t="str">
        <f t="shared" si="14"/>
        <v>03/03/2025</v>
      </c>
      <c r="I279" s="47" t="str">
        <f>[1]Data2025!J278</f>
        <v>23/04/2025</v>
      </c>
      <c r="J279" s="48" t="str">
        <f>[1]Data2025!L278</f>
        <v>Lakban Besar</v>
      </c>
      <c r="K279" s="48" t="str">
        <f>[1]Data2025!M278</f>
        <v>Lakban Besar</v>
      </c>
      <c r="L279" s="49">
        <f>[1]Data2025!N278</f>
        <v>5</v>
      </c>
      <c r="M279" s="49" t="str">
        <f>[1]Data2025!O278</f>
        <v>buah</v>
      </c>
      <c r="N279" s="50">
        <f>[1]Data2025!P278</f>
        <v>25000</v>
      </c>
      <c r="O279" s="51">
        <f>[1]Data2025!Q278</f>
        <v>125000</v>
      </c>
      <c r="P279" s="52" t="s">
        <v>43</v>
      </c>
      <c r="Q279" s="53" t="str">
        <f>VLOOKUP(K279,[1]Sheet1!$C$1:$D$101,2,)</f>
        <v>Lakban Hitam Besar (Brand : Daimaru • Ukuran : 48 mm x 109 Yard)</v>
      </c>
      <c r="R279" s="54">
        <v>40000</v>
      </c>
      <c r="S279" s="55">
        <v>44000</v>
      </c>
      <c r="T279" s="56">
        <f>[1]Data2025!T278</f>
        <v>0</v>
      </c>
      <c r="U279" s="57" t="s">
        <v>35</v>
      </c>
      <c r="V279" s="56" t="e">
        <f>[1]Data2025!V278</f>
        <v>#N/A</v>
      </c>
      <c r="W279" s="56" t="e">
        <f>[1]Data2025!X278</f>
        <v>#N/A</v>
      </c>
      <c r="X279" s="57" t="s">
        <v>36</v>
      </c>
      <c r="Y279" s="57" t="str">
        <f t="shared" si="15"/>
        <v>Alat Tulis Kantor (ATK)</v>
      </c>
      <c r="Z279" s="58" t="str">
        <f t="shared" si="16"/>
        <v>Alat Tulis Kantor (ATK)</v>
      </c>
      <c r="AA279" s="59" t="s">
        <v>40</v>
      </c>
      <c r="AB279" s="60">
        <v>20000</v>
      </c>
      <c r="AC279" s="60">
        <v>40000</v>
      </c>
      <c r="AD279" s="54">
        <v>40000</v>
      </c>
      <c r="AE279" s="61">
        <v>36036.036036036036</v>
      </c>
      <c r="AF279" s="61">
        <v>40000</v>
      </c>
      <c r="AG279" s="62" t="s">
        <v>38</v>
      </c>
      <c r="AH279" s="63" t="e">
        <f>[1]Data2025!W278</f>
        <v>#N/A</v>
      </c>
    </row>
    <row r="280" spans="1:34" ht="16.5" thickTop="1" thickBot="1">
      <c r="A280" s="41">
        <f>[1]Data2025!G279</f>
        <v>97</v>
      </c>
      <c r="B280" s="42" t="e">
        <f>[1]Data2025!K279</f>
        <v>#N/A</v>
      </c>
      <c r="C280" s="43" t="str">
        <f>[1]Data2025!D279</f>
        <v>06. 05. 08.</v>
      </c>
      <c r="D280" s="44" t="str">
        <f>[1]Data2025!C279</f>
        <v>5.1.02.01.01.0024</v>
      </c>
      <c r="E280" s="45">
        <f>[1]Data2025!E279</f>
        <v>45717</v>
      </c>
      <c r="F280" s="46" t="str">
        <f>[1]Data2025!F279</f>
        <v>03/03/2025</v>
      </c>
      <c r="G280" s="45" t="str">
        <f>[1]Data2025!H279</f>
        <v>03/03/2025</v>
      </c>
      <c r="H280" s="45" t="str">
        <f t="shared" si="14"/>
        <v>03/03/2025</v>
      </c>
      <c r="I280" s="47" t="str">
        <f>[1]Data2025!J279</f>
        <v>23/04/2025</v>
      </c>
      <c r="J280" s="48" t="str">
        <f>[1]Data2025!L279</f>
        <v>Lakban Bening Sedang</v>
      </c>
      <c r="K280" s="48" t="str">
        <f>[1]Data2025!M279</f>
        <v>Lakban Bening Sedang</v>
      </c>
      <c r="L280" s="49">
        <f>[1]Data2025!N279</f>
        <v>5</v>
      </c>
      <c r="M280" s="49" t="str">
        <f>[1]Data2025!O279</f>
        <v>buah</v>
      </c>
      <c r="N280" s="50">
        <f>[1]Data2025!P279</f>
        <v>15000</v>
      </c>
      <c r="O280" s="51">
        <f>[1]Data2025!Q279</f>
        <v>75000</v>
      </c>
      <c r="P280" s="52" t="s">
        <v>43</v>
      </c>
      <c r="Q280" s="53" t="str">
        <f>VLOOKUP(K280,[1]Sheet1!$C$1:$D$101,2,)</f>
        <v>Lakban 45 MM x 50 Meter daimaru / 2 Inch x 50 M</v>
      </c>
      <c r="R280" s="54">
        <v>440000</v>
      </c>
      <c r="S280" s="55">
        <v>448000</v>
      </c>
      <c r="T280" s="56">
        <f>[1]Data2025!T279</f>
        <v>0</v>
      </c>
      <c r="U280" s="57" t="s">
        <v>35</v>
      </c>
      <c r="V280" s="56" t="e">
        <f>[1]Data2025!V279</f>
        <v>#N/A</v>
      </c>
      <c r="W280" s="56" t="e">
        <f>[1]Data2025!X279</f>
        <v>#N/A</v>
      </c>
      <c r="X280" s="57" t="s">
        <v>36</v>
      </c>
      <c r="Y280" s="57" t="str">
        <f t="shared" si="15"/>
        <v>Alat Tulis Kantor (ATK)</v>
      </c>
      <c r="Z280" s="58" t="str">
        <f t="shared" si="16"/>
        <v>Alat Tulis Kantor (ATK)</v>
      </c>
      <c r="AA280" s="59" t="s">
        <v>48</v>
      </c>
      <c r="AB280" s="60">
        <v>110000</v>
      </c>
      <c r="AC280" s="60">
        <v>440000</v>
      </c>
      <c r="AD280" s="54">
        <v>440000</v>
      </c>
      <c r="AE280" s="61">
        <v>396396.39639639639</v>
      </c>
      <c r="AF280" s="61">
        <v>440000</v>
      </c>
      <c r="AG280" s="62" t="s">
        <v>38</v>
      </c>
      <c r="AH280" s="63" t="e">
        <f>[1]Data2025!W279</f>
        <v>#N/A</v>
      </c>
    </row>
    <row r="281" spans="1:34" ht="16.5" thickTop="1" thickBot="1">
      <c r="A281" s="41">
        <f>[1]Data2025!G280</f>
        <v>97</v>
      </c>
      <c r="B281" s="42" t="e">
        <f>[1]Data2025!K280</f>
        <v>#N/A</v>
      </c>
      <c r="C281" s="43" t="str">
        <f>[1]Data2025!D280</f>
        <v>06. 05. 08.</v>
      </c>
      <c r="D281" s="44" t="str">
        <f>[1]Data2025!C280</f>
        <v>5.1.02.01.01.0024</v>
      </c>
      <c r="E281" s="45">
        <f>[1]Data2025!E280</f>
        <v>45717</v>
      </c>
      <c r="F281" s="46" t="str">
        <f>[1]Data2025!F280</f>
        <v>03/03/2025</v>
      </c>
      <c r="G281" s="45" t="str">
        <f>[1]Data2025!H280</f>
        <v>03/03/2025</v>
      </c>
      <c r="H281" s="45" t="str">
        <f t="shared" si="14"/>
        <v>03/03/2025</v>
      </c>
      <c r="I281" s="47" t="str">
        <f>[1]Data2025!J280</f>
        <v>23/04/2025</v>
      </c>
      <c r="J281" s="48" t="str">
        <f>[1]Data2025!L280</f>
        <v>Lakban Bening</v>
      </c>
      <c r="K281" s="48" t="str">
        <f>[1]Data2025!M280</f>
        <v>Lakban Bening</v>
      </c>
      <c r="L281" s="49">
        <f>[1]Data2025!N280</f>
        <v>5</v>
      </c>
      <c r="M281" s="49" t="str">
        <f>[1]Data2025!O280</f>
        <v>buah</v>
      </c>
      <c r="N281" s="50">
        <f>[1]Data2025!P280</f>
        <v>10000</v>
      </c>
      <c r="O281" s="51">
        <f>[1]Data2025!Q280</f>
        <v>50000</v>
      </c>
      <c r="P281" s="52" t="s">
        <v>43</v>
      </c>
      <c r="Q281" s="53" t="str">
        <f>VLOOKUP(K281,[1]Sheet1!$C$1:$D$101,2,)</f>
        <v>Isolasi Bening Sedang Mpi Solatip 24 X 72 Yard 1 Inc</v>
      </c>
      <c r="R281" s="54">
        <v>87500</v>
      </c>
      <c r="S281" s="55">
        <v>89500</v>
      </c>
      <c r="T281" s="56">
        <f>[1]Data2025!T280</f>
        <v>0</v>
      </c>
      <c r="U281" s="57" t="s">
        <v>35</v>
      </c>
      <c r="V281" s="56" t="e">
        <f>[1]Data2025!V280</f>
        <v>#N/A</v>
      </c>
      <c r="W281" s="56" t="e">
        <f>[1]Data2025!X280</f>
        <v>#N/A</v>
      </c>
      <c r="X281" s="57" t="s">
        <v>36</v>
      </c>
      <c r="Y281" s="57" t="str">
        <f t="shared" si="15"/>
        <v>Alat Tulis Kantor (ATK)</v>
      </c>
      <c r="Z281" s="58" t="str">
        <f t="shared" si="16"/>
        <v>Alat Tulis Kantor (ATK)</v>
      </c>
      <c r="AA281" s="59" t="s">
        <v>51</v>
      </c>
      <c r="AB281" s="60">
        <v>87500</v>
      </c>
      <c r="AC281" s="60">
        <v>87500</v>
      </c>
      <c r="AD281" s="54">
        <v>87500</v>
      </c>
      <c r="AE281" s="61">
        <v>78828.828828828831</v>
      </c>
      <c r="AF281" s="61">
        <v>87500</v>
      </c>
      <c r="AG281" s="62" t="s">
        <v>38</v>
      </c>
      <c r="AH281" s="63" t="e">
        <f>[1]Data2025!W280</f>
        <v>#N/A</v>
      </c>
    </row>
    <row r="282" spans="1:34" ht="16.5" thickTop="1" thickBot="1">
      <c r="A282" s="41">
        <f>[1]Data2025!G281</f>
        <v>97</v>
      </c>
      <c r="B282" s="42" t="e">
        <f>[1]Data2025!K281</f>
        <v>#N/A</v>
      </c>
      <c r="C282" s="43" t="str">
        <f>[1]Data2025!D281</f>
        <v>06. 05. 08.</v>
      </c>
      <c r="D282" s="44" t="str">
        <f>[1]Data2025!C281</f>
        <v>5.1.02.01.01.0024</v>
      </c>
      <c r="E282" s="45">
        <f>[1]Data2025!E281</f>
        <v>45717</v>
      </c>
      <c r="F282" s="46" t="str">
        <f>[1]Data2025!F281</f>
        <v>03/03/2025</v>
      </c>
      <c r="G282" s="45" t="str">
        <f>[1]Data2025!H281</f>
        <v>03/03/2025</v>
      </c>
      <c r="H282" s="45" t="str">
        <f t="shared" si="14"/>
        <v>03/03/2025</v>
      </c>
      <c r="I282" s="47" t="str">
        <f>[1]Data2025!J281</f>
        <v>23/04/2025</v>
      </c>
      <c r="J282" s="48" t="str">
        <f>[1]Data2025!L281</f>
        <v>Lakban Hitam--</v>
      </c>
      <c r="K282" s="48" t="str">
        <f>[1]Data2025!M281</f>
        <v>Lakban Hitam--</v>
      </c>
      <c r="L282" s="49">
        <f>[1]Data2025!N281</f>
        <v>5</v>
      </c>
      <c r="M282" s="49" t="str">
        <f>[1]Data2025!O281</f>
        <v>buah</v>
      </c>
      <c r="N282" s="50">
        <f>[1]Data2025!P281</f>
        <v>15000</v>
      </c>
      <c r="O282" s="51">
        <f>[1]Data2025!Q281</f>
        <v>75000</v>
      </c>
      <c r="P282" s="52" t="s">
        <v>43</v>
      </c>
      <c r="Q282" s="53" t="str">
        <f>VLOOKUP(K282,[1]Sheet1!$C$1:$D$101,2,)</f>
        <v>Lakban Hitam (Length 5.0Cm, Width 5.0Cm, Height 5.0Cm, Weight 5Gr)</v>
      </c>
      <c r="R282" s="54">
        <v>50000</v>
      </c>
      <c r="S282" s="55">
        <v>58000</v>
      </c>
      <c r="T282" s="56">
        <f>[1]Data2025!T281</f>
        <v>0</v>
      </c>
      <c r="U282" s="57" t="s">
        <v>35</v>
      </c>
      <c r="V282" s="56" t="e">
        <f>[1]Data2025!V281</f>
        <v>#N/A</v>
      </c>
      <c r="W282" s="56" t="e">
        <f>[1]Data2025!X281</f>
        <v>#N/A</v>
      </c>
      <c r="X282" s="57" t="s">
        <v>36</v>
      </c>
      <c r="Y282" s="57" t="str">
        <f t="shared" si="15"/>
        <v>Alat Tulis Kantor (ATK)</v>
      </c>
      <c r="Z282" s="58" t="str">
        <f t="shared" si="16"/>
        <v>Alat Tulis Kantor (ATK)</v>
      </c>
      <c r="AA282" s="59" t="s">
        <v>42</v>
      </c>
      <c r="AB282" s="60">
        <v>12500</v>
      </c>
      <c r="AC282" s="60">
        <v>50000</v>
      </c>
      <c r="AD282" s="54">
        <v>50000</v>
      </c>
      <c r="AE282" s="61">
        <v>45045.045045045044</v>
      </c>
      <c r="AF282" s="61">
        <v>50000</v>
      </c>
      <c r="AG282" s="62" t="s">
        <v>38</v>
      </c>
      <c r="AH282" s="63" t="e">
        <f>[1]Data2025!W281</f>
        <v>#N/A</v>
      </c>
    </row>
    <row r="283" spans="1:34" ht="26" thickTop="1" thickBot="1">
      <c r="A283" s="41">
        <f>[1]Data2025!G282</f>
        <v>97</v>
      </c>
      <c r="B283" s="42" t="e">
        <f>[1]Data2025!K282</f>
        <v>#N/A</v>
      </c>
      <c r="C283" s="43" t="str">
        <f>[1]Data2025!D282</f>
        <v>06. 05. 08.</v>
      </c>
      <c r="D283" s="44" t="str">
        <f>[1]Data2025!C282</f>
        <v>5.1.02.01.01.0024</v>
      </c>
      <c r="E283" s="45">
        <f>[1]Data2025!E282</f>
        <v>45717</v>
      </c>
      <c r="F283" s="46" t="str">
        <f>[1]Data2025!F282</f>
        <v>03/03/2025</v>
      </c>
      <c r="G283" s="45" t="str">
        <f>[1]Data2025!H282</f>
        <v>03/03/2025</v>
      </c>
      <c r="H283" s="45" t="str">
        <f t="shared" si="14"/>
        <v>03/03/2025</v>
      </c>
      <c r="I283" s="47" t="str">
        <f>[1]Data2025!J282</f>
        <v>23/04/2025</v>
      </c>
      <c r="J283" s="48" t="str">
        <f>[1]Data2025!L282</f>
        <v>lakban hitam-ukuran : lebar 2 inch, panjang 12m, bahan : kain</v>
      </c>
      <c r="K283" s="48" t="str">
        <f>[1]Data2025!M282</f>
        <v>lakban hitam-ukuran : lebar 2 inch, panjang 12m, bahan : kain</v>
      </c>
      <c r="L283" s="49">
        <f>[1]Data2025!N282</f>
        <v>4</v>
      </c>
      <c r="M283" s="49" t="str">
        <f>[1]Data2025!O282</f>
        <v>buah</v>
      </c>
      <c r="N283" s="50">
        <f>[1]Data2025!P282</f>
        <v>12500</v>
      </c>
      <c r="O283" s="51">
        <f>[1]Data2025!Q282</f>
        <v>50000</v>
      </c>
      <c r="P283" s="52" t="s">
        <v>43</v>
      </c>
      <c r="Q283" s="53" t="str">
        <f>VLOOKUP(K283,[1]Sheet1!$C$1:$D$101,2,)</f>
        <v>Lakban Hitam Kecil (ukuran : lebar 2 inch, panjang 12m, bahan : kain)</v>
      </c>
      <c r="R283" s="54">
        <v>125000</v>
      </c>
      <c r="S283" s="55">
        <v>135000</v>
      </c>
      <c r="T283" s="56">
        <f>[1]Data2025!T282</f>
        <v>0</v>
      </c>
      <c r="U283" s="57" t="s">
        <v>35</v>
      </c>
      <c r="V283" s="56" t="e">
        <f>[1]Data2025!V282</f>
        <v>#N/A</v>
      </c>
      <c r="W283" s="56" t="e">
        <f>[1]Data2025!X282</f>
        <v>#N/A</v>
      </c>
      <c r="X283" s="57" t="s">
        <v>36</v>
      </c>
      <c r="Y283" s="57" t="str">
        <f t="shared" si="15"/>
        <v>Alat Tulis Kantor (ATK)</v>
      </c>
      <c r="Z283" s="58" t="str">
        <f t="shared" si="16"/>
        <v>Alat Tulis Kantor (ATK)</v>
      </c>
      <c r="AA283" s="59" t="s">
        <v>42</v>
      </c>
      <c r="AB283" s="60">
        <v>25000</v>
      </c>
      <c r="AC283" s="60">
        <v>125000</v>
      </c>
      <c r="AD283" s="54">
        <v>125000</v>
      </c>
      <c r="AE283" s="61">
        <v>112612.61261261262</v>
      </c>
      <c r="AF283" s="61">
        <v>125000</v>
      </c>
      <c r="AG283" s="62" t="s">
        <v>38</v>
      </c>
      <c r="AH283" s="63" t="e">
        <f>[1]Data2025!W282</f>
        <v>#N/A</v>
      </c>
    </row>
    <row r="284" spans="1:34" ht="26" thickTop="1" thickBot="1">
      <c r="A284" s="41">
        <f>[1]Data2025!G283</f>
        <v>97</v>
      </c>
      <c r="B284" s="42" t="e">
        <f>[1]Data2025!K283</f>
        <v>#N/A</v>
      </c>
      <c r="C284" s="43" t="str">
        <f>[1]Data2025!D283</f>
        <v>06. 05. 08.</v>
      </c>
      <c r="D284" s="44" t="str">
        <f>[1]Data2025!C283</f>
        <v>5.1.02.01.01.0024</v>
      </c>
      <c r="E284" s="45">
        <f>[1]Data2025!E283</f>
        <v>45717</v>
      </c>
      <c r="F284" s="46" t="str">
        <f>[1]Data2025!F283</f>
        <v>03/03/2025</v>
      </c>
      <c r="G284" s="45" t="str">
        <f>[1]Data2025!H283</f>
        <v>03/03/2025</v>
      </c>
      <c r="H284" s="45" t="str">
        <f t="shared" si="14"/>
        <v>03/03/2025</v>
      </c>
      <c r="I284" s="47" t="str">
        <f>[1]Data2025!J283</f>
        <v>23/04/2025</v>
      </c>
      <c r="J284" s="48" t="str">
        <f>[1]Data2025!L283</f>
        <v>Lakban Hitam uk 2 " Warna hitam uk. 2 "</v>
      </c>
      <c r="K284" s="48" t="str">
        <f>[1]Data2025!M283</f>
        <v>Lakban Hitam uk 2 " Warna hitam uk. 2 "</v>
      </c>
      <c r="L284" s="49">
        <f>[1]Data2025!N283</f>
        <v>5</v>
      </c>
      <c r="M284" s="49" t="str">
        <f>[1]Data2025!O283</f>
        <v>buah</v>
      </c>
      <c r="N284" s="50">
        <f>[1]Data2025!P283</f>
        <v>25000</v>
      </c>
      <c r="O284" s="51">
        <f>[1]Data2025!Q283</f>
        <v>125000</v>
      </c>
      <c r="P284" s="52" t="s">
        <v>43</v>
      </c>
      <c r="Q284" s="53" t="str">
        <f>VLOOKUP(K284,[1]Sheet1!$C$1:$D$101,2,)</f>
        <v>Lakban Warna Uk 2" Warna Hitam (Ukuran 90Yard Lebar : 48Mm)</v>
      </c>
      <c r="R284" s="54">
        <v>240000</v>
      </c>
      <c r="S284" s="55">
        <v>256000</v>
      </c>
      <c r="T284" s="56">
        <f>[1]Data2025!T283</f>
        <v>0</v>
      </c>
      <c r="U284" s="57" t="s">
        <v>35</v>
      </c>
      <c r="V284" s="56" t="e">
        <f>[1]Data2025!V283</f>
        <v>#N/A</v>
      </c>
      <c r="W284" s="56" t="e">
        <f>[1]Data2025!X283</f>
        <v>#N/A</v>
      </c>
      <c r="X284" s="57" t="s">
        <v>36</v>
      </c>
      <c r="Y284" s="57" t="str">
        <f t="shared" si="15"/>
        <v>Alat Tulis Kantor (ATK)</v>
      </c>
      <c r="Z284" s="58" t="str">
        <f t="shared" si="16"/>
        <v>Alat Tulis Kantor (ATK)</v>
      </c>
      <c r="AA284" s="59" t="s">
        <v>48</v>
      </c>
      <c r="AB284" s="60">
        <v>30000</v>
      </c>
      <c r="AC284" s="60">
        <v>240000</v>
      </c>
      <c r="AD284" s="54">
        <v>240000</v>
      </c>
      <c r="AE284" s="61">
        <v>216216.21621621621</v>
      </c>
      <c r="AF284" s="61">
        <v>240000</v>
      </c>
      <c r="AG284" s="62" t="s">
        <v>38</v>
      </c>
      <c r="AH284" s="63" t="e">
        <f>[1]Data2025!W283</f>
        <v>#N/A</v>
      </c>
    </row>
    <row r="285" spans="1:34" ht="26" thickTop="1" thickBot="1">
      <c r="A285" s="41">
        <f>[1]Data2025!G284</f>
        <v>97</v>
      </c>
      <c r="B285" s="42" t="e">
        <f>[1]Data2025!K284</f>
        <v>#N/A</v>
      </c>
      <c r="C285" s="43" t="str">
        <f>[1]Data2025!D284</f>
        <v>06. 05. 08.</v>
      </c>
      <c r="D285" s="44" t="str">
        <f>[1]Data2025!C284</f>
        <v>5.1.02.01.01.0024</v>
      </c>
      <c r="E285" s="45">
        <f>[1]Data2025!E284</f>
        <v>45717</v>
      </c>
      <c r="F285" s="46" t="str">
        <f>[1]Data2025!F284</f>
        <v>03/03/2025</v>
      </c>
      <c r="G285" s="45" t="str">
        <f>[1]Data2025!H284</f>
        <v>03/03/2025</v>
      </c>
      <c r="H285" s="45" t="str">
        <f t="shared" si="14"/>
        <v>03/03/2025</v>
      </c>
      <c r="I285" s="47" t="str">
        <f>[1]Data2025!J284</f>
        <v>23/04/2025</v>
      </c>
      <c r="J285" s="48" t="str">
        <f>[1]Data2025!L284</f>
        <v>Lakban warna Uk 2" Warna Coklat Cofiie</v>
      </c>
      <c r="K285" s="48" t="str">
        <f>[1]Data2025!M284</f>
        <v>Lakban warna Uk 2" Warna Coklat Cofiie</v>
      </c>
      <c r="L285" s="49">
        <f>[1]Data2025!N284</f>
        <v>3</v>
      </c>
      <c r="M285" s="49" t="str">
        <f>[1]Data2025!O284</f>
        <v>buah</v>
      </c>
      <c r="N285" s="50">
        <f>[1]Data2025!P284</f>
        <v>20000</v>
      </c>
      <c r="O285" s="51">
        <f>[1]Data2025!Q284</f>
        <v>60000</v>
      </c>
      <c r="P285" s="52" t="s">
        <v>43</v>
      </c>
      <c r="Q285" s="53" t="str">
        <f>VLOOKUP(K285,[1]Sheet1!$C$1:$D$101,2,)</f>
        <v>Lakban Warna Uk 2" Warna Coklat Cofiie (Ukuran 90Yard Lebar : 48Mm)</v>
      </c>
      <c r="R285" s="54">
        <v>485000</v>
      </c>
      <c r="S285" s="55">
        <v>505000</v>
      </c>
      <c r="T285" s="56">
        <f>[1]Data2025!T284</f>
        <v>0</v>
      </c>
      <c r="U285" s="57" t="s">
        <v>35</v>
      </c>
      <c r="V285" s="56" t="e">
        <f>[1]Data2025!V284</f>
        <v>#N/A</v>
      </c>
      <c r="W285" s="56" t="e">
        <f>[1]Data2025!X284</f>
        <v>#N/A</v>
      </c>
      <c r="X285" s="57" t="s">
        <v>36</v>
      </c>
      <c r="Y285" s="57" t="str">
        <f t="shared" si="15"/>
        <v>Alat Tulis Kantor (ATK)</v>
      </c>
      <c r="Z285" s="58" t="str">
        <f t="shared" si="16"/>
        <v>Alat Tulis Kantor (ATK)</v>
      </c>
      <c r="AA285" s="59" t="s">
        <v>50</v>
      </c>
      <c r="AB285" s="60">
        <v>48500</v>
      </c>
      <c r="AC285" s="60">
        <v>485000</v>
      </c>
      <c r="AD285" s="54">
        <v>485000</v>
      </c>
      <c r="AE285" s="61">
        <v>436936.93693693692</v>
      </c>
      <c r="AF285" s="61">
        <v>485000</v>
      </c>
      <c r="AG285" s="62" t="s">
        <v>38</v>
      </c>
      <c r="AH285" s="63" t="e">
        <f>[1]Data2025!W284</f>
        <v>#N/A</v>
      </c>
    </row>
    <row r="286" spans="1:34" ht="26" thickTop="1" thickBot="1">
      <c r="A286" s="41">
        <f>[1]Data2025!G285</f>
        <v>97</v>
      </c>
      <c r="B286" s="42" t="e">
        <f>[1]Data2025!K285</f>
        <v>#N/A</v>
      </c>
      <c r="C286" s="43" t="str">
        <f>[1]Data2025!D285</f>
        <v>06. 05. 08.</v>
      </c>
      <c r="D286" s="44" t="str">
        <f>[1]Data2025!C285</f>
        <v>5.1.02.01.01.0024</v>
      </c>
      <c r="E286" s="45">
        <f>[1]Data2025!E285</f>
        <v>45717</v>
      </c>
      <c r="F286" s="46" t="str">
        <f>[1]Data2025!F285</f>
        <v>03/03/2025</v>
      </c>
      <c r="G286" s="45" t="str">
        <f>[1]Data2025!H285</f>
        <v>03/03/2025</v>
      </c>
      <c r="H286" s="45" t="str">
        <f t="shared" si="14"/>
        <v>03/03/2025</v>
      </c>
      <c r="I286" s="47" t="str">
        <f>[1]Data2025!J285</f>
        <v>23/04/2025</v>
      </c>
      <c r="J286" s="48" t="str">
        <f>[1]Data2025!L285</f>
        <v>Spidol Refil Spidol White Board Snowman</v>
      </c>
      <c r="K286" s="48" t="str">
        <f>[1]Data2025!M285</f>
        <v>Spidol Refil Spidol White Board Snowman</v>
      </c>
      <c r="L286" s="49">
        <f>[1]Data2025!N285</f>
        <v>10</v>
      </c>
      <c r="M286" s="49" t="str">
        <f>[1]Data2025!O285</f>
        <v>buah</v>
      </c>
      <c r="N286" s="50">
        <f>[1]Data2025!P285</f>
        <v>20900</v>
      </c>
      <c r="O286" s="51">
        <f>[1]Data2025!Q285</f>
        <v>209000</v>
      </c>
      <c r="P286" s="52" t="s">
        <v>43</v>
      </c>
      <c r="Q286" s="53" t="str">
        <f>VLOOKUP(K286,[1]Sheet1!$C$1:$D$101,2,)</f>
        <v>Spidol Refil Spidol White Board Snowman (Panjang. : 10 Cm ; Lebar. : 5 Cm ; Tinggi. : 7 Cm ; Berat. : 500 Gr)</v>
      </c>
      <c r="R286" s="54">
        <v>297000</v>
      </c>
      <c r="S286" s="55">
        <v>309000</v>
      </c>
      <c r="T286" s="56">
        <f>[1]Data2025!T285</f>
        <v>0</v>
      </c>
      <c r="U286" s="57" t="s">
        <v>35</v>
      </c>
      <c r="V286" s="56" t="e">
        <f>[1]Data2025!V285</f>
        <v>#N/A</v>
      </c>
      <c r="W286" s="56" t="e">
        <f>[1]Data2025!X285</f>
        <v>#N/A</v>
      </c>
      <c r="X286" s="57" t="s">
        <v>36</v>
      </c>
      <c r="Y286" s="57" t="str">
        <f t="shared" si="15"/>
        <v>Alat Tulis Kantor (ATK)</v>
      </c>
      <c r="Z286" s="58" t="str">
        <f t="shared" si="16"/>
        <v>Alat Tulis Kantor (ATK)</v>
      </c>
      <c r="AA286" s="59" t="s">
        <v>42</v>
      </c>
      <c r="AB286" s="60">
        <v>49500</v>
      </c>
      <c r="AC286" s="60">
        <v>297000</v>
      </c>
      <c r="AD286" s="54">
        <v>297000</v>
      </c>
      <c r="AE286" s="61">
        <v>267567.56756756757</v>
      </c>
      <c r="AF286" s="61">
        <v>297000</v>
      </c>
      <c r="AG286" s="62" t="s">
        <v>38</v>
      </c>
      <c r="AH286" s="63" t="e">
        <f>[1]Data2025!W285</f>
        <v>#N/A</v>
      </c>
    </row>
    <row r="287" spans="1:34" ht="16.5" thickTop="1" thickBot="1">
      <c r="A287" s="41">
        <f>[1]Data2025!G286</f>
        <v>97</v>
      </c>
      <c r="B287" s="42" t="e">
        <f>[1]Data2025!K286</f>
        <v>#N/A</v>
      </c>
      <c r="C287" s="43" t="str">
        <f>[1]Data2025!D286</f>
        <v>06. 05. 08.</v>
      </c>
      <c r="D287" s="44" t="str">
        <f>[1]Data2025!C286</f>
        <v>5.1.02.01.01.0024</v>
      </c>
      <c r="E287" s="45">
        <f>[1]Data2025!E286</f>
        <v>45717</v>
      </c>
      <c r="F287" s="46" t="str">
        <f>[1]Data2025!F286</f>
        <v>03/03/2025</v>
      </c>
      <c r="G287" s="45" t="str">
        <f>[1]Data2025!H286</f>
        <v>03/03/2025</v>
      </c>
      <c r="H287" s="45" t="str">
        <f t="shared" si="14"/>
        <v>03/03/2025</v>
      </c>
      <c r="I287" s="47" t="str">
        <f>[1]Data2025!J286</f>
        <v>23/04/2025</v>
      </c>
      <c r="J287" s="48" t="str">
        <f>[1]Data2025!L286</f>
        <v>Spidol White board</v>
      </c>
      <c r="K287" s="48" t="str">
        <f>[1]Data2025!M286</f>
        <v>Spidol White board</v>
      </c>
      <c r="L287" s="49">
        <f>[1]Data2025!N286</f>
        <v>2</v>
      </c>
      <c r="M287" s="49" t="str">
        <f>[1]Data2025!O286</f>
        <v>lusin</v>
      </c>
      <c r="N287" s="50">
        <f>[1]Data2025!P286</f>
        <v>120000</v>
      </c>
      <c r="O287" s="51">
        <f>[1]Data2025!Q286</f>
        <v>240000</v>
      </c>
      <c r="P287" s="52" t="s">
        <v>43</v>
      </c>
      <c r="Q287" s="53" t="str">
        <f>VLOOKUP(K287,[1]Sheet1!$C$1:$D$101,2,)</f>
        <v>Spidol White Board (Berat Produk 0.5 Kg, Panjang Produk 10 Cm, Lebar Produk 3 Cm, Tinggi Produk 10 Cm)</v>
      </c>
      <c r="R287" s="54">
        <v>160000</v>
      </c>
      <c r="S287" s="55">
        <v>164000</v>
      </c>
      <c r="T287" s="56">
        <f>[1]Data2025!T286</f>
        <v>0</v>
      </c>
      <c r="U287" s="57" t="s">
        <v>35</v>
      </c>
      <c r="V287" s="56" t="e">
        <f>[1]Data2025!V286</f>
        <v>#N/A</v>
      </c>
      <c r="W287" s="56" t="e">
        <f>[1]Data2025!X286</f>
        <v>#N/A</v>
      </c>
      <c r="X287" s="57" t="s">
        <v>36</v>
      </c>
      <c r="Y287" s="57" t="str">
        <f t="shared" si="15"/>
        <v>Alat Tulis Kantor (ATK)</v>
      </c>
      <c r="Z287" s="58" t="str">
        <f t="shared" si="16"/>
        <v>Alat Tulis Kantor (ATK)</v>
      </c>
      <c r="AA287" s="59" t="s">
        <v>37</v>
      </c>
      <c r="AB287" s="60">
        <v>80000</v>
      </c>
      <c r="AC287" s="60">
        <v>160000</v>
      </c>
      <c r="AD287" s="54">
        <v>160000</v>
      </c>
      <c r="AE287" s="61">
        <v>144144.14414414414</v>
      </c>
      <c r="AF287" s="61">
        <v>160000</v>
      </c>
      <c r="AG287" s="62" t="s">
        <v>38</v>
      </c>
      <c r="AH287" s="63" t="e">
        <f>[1]Data2025!W286</f>
        <v>#N/A</v>
      </c>
    </row>
    <row r="288" spans="1:34" ht="16.5" thickTop="1" thickBot="1">
      <c r="A288" s="41">
        <f>[1]Data2025!G287</f>
        <v>97</v>
      </c>
      <c r="B288" s="42" t="e">
        <f>[1]Data2025!K287</f>
        <v>#N/A</v>
      </c>
      <c r="C288" s="43" t="str">
        <f>[1]Data2025!D287</f>
        <v>06. 05. 08.</v>
      </c>
      <c r="D288" s="44" t="str">
        <f>[1]Data2025!C287</f>
        <v>5.1.02.01.01.0024</v>
      </c>
      <c r="E288" s="45">
        <f>[1]Data2025!E287</f>
        <v>45717</v>
      </c>
      <c r="F288" s="46" t="str">
        <f>[1]Data2025!F287</f>
        <v>03/03/2025</v>
      </c>
      <c r="G288" s="45" t="str">
        <f>[1]Data2025!H287</f>
        <v>03/03/2025</v>
      </c>
      <c r="H288" s="45" t="str">
        <f t="shared" si="14"/>
        <v>03/03/2025</v>
      </c>
      <c r="I288" s="47" t="str">
        <f>[1]Data2025!J287</f>
        <v>23/04/2025</v>
      </c>
      <c r="J288" s="48" t="str">
        <f>[1]Data2025!L287</f>
        <v>Stapler HD-10--</v>
      </c>
      <c r="K288" s="48" t="str">
        <f>[1]Data2025!M287</f>
        <v>Stapler HD-10--</v>
      </c>
      <c r="L288" s="49">
        <f>[1]Data2025!N287</f>
        <v>2</v>
      </c>
      <c r="M288" s="49" t="str">
        <f>[1]Data2025!O287</f>
        <v>buah</v>
      </c>
      <c r="N288" s="50">
        <f>[1]Data2025!P287</f>
        <v>20000</v>
      </c>
      <c r="O288" s="51">
        <f>[1]Data2025!Q287</f>
        <v>40000</v>
      </c>
      <c r="P288" s="52" t="s">
        <v>43</v>
      </c>
      <c r="Q288" s="53" t="str">
        <f>VLOOKUP(K288,[1]Sheet1!$C$1:$D$101,2,)</f>
        <v>Stapler HD-10 (Merk : MAX Ukuran : 3.5 x 10 cm)</v>
      </c>
      <c r="R288" s="54">
        <v>5000000</v>
      </c>
      <c r="S288" s="55">
        <v>5002000</v>
      </c>
      <c r="T288" s="56">
        <f>[1]Data2025!T287</f>
        <v>0</v>
      </c>
      <c r="U288" s="57" t="s">
        <v>35</v>
      </c>
      <c r="V288" s="56" t="e">
        <f>[1]Data2025!V287</f>
        <v>#N/A</v>
      </c>
      <c r="W288" s="56" t="e">
        <f>[1]Data2025!X287</f>
        <v>#N/A</v>
      </c>
      <c r="X288" s="57" t="s">
        <v>78</v>
      </c>
      <c r="Y288" s="57" t="str">
        <f t="shared" si="15"/>
        <v>Alat Tulis Kantor (ATK)</v>
      </c>
      <c r="Z288" s="58" t="str">
        <f t="shared" si="16"/>
        <v>Alat Tulis Kantor (ATK)</v>
      </c>
      <c r="AA288" s="59" t="s">
        <v>55</v>
      </c>
      <c r="AB288" s="60">
        <v>5000000</v>
      </c>
      <c r="AC288" s="60">
        <v>5000000</v>
      </c>
      <c r="AD288" s="54">
        <v>5000000</v>
      </c>
      <c r="AE288" s="61">
        <v>4504504.5045045046</v>
      </c>
      <c r="AF288" s="61">
        <v>5000000</v>
      </c>
      <c r="AG288" s="62" t="s">
        <v>38</v>
      </c>
      <c r="AH288" s="63" t="e">
        <f>[1]Data2025!W287</f>
        <v>#N/A</v>
      </c>
    </row>
    <row r="289" spans="1:36" ht="16.5" thickTop="1" thickBot="1">
      <c r="A289" s="41">
        <f>[1]Data2025!G288</f>
        <v>97</v>
      </c>
      <c r="B289" s="42" t="e">
        <f>[1]Data2025!K288</f>
        <v>#N/A</v>
      </c>
      <c r="C289" s="43" t="str">
        <f>[1]Data2025!D288</f>
        <v>06. 05. 08.</v>
      </c>
      <c r="D289" s="44" t="str">
        <f>[1]Data2025!C288</f>
        <v>5.1.02.01.01.0024</v>
      </c>
      <c r="E289" s="45">
        <f>[1]Data2025!E288</f>
        <v>45717</v>
      </c>
      <c r="F289" s="46" t="str">
        <f>[1]Data2025!F288</f>
        <v>03/03/2025</v>
      </c>
      <c r="G289" s="45" t="str">
        <f>[1]Data2025!H288</f>
        <v>03/03/2025</v>
      </c>
      <c r="H289" s="45" t="str">
        <f t="shared" si="14"/>
        <v>03/03/2025</v>
      </c>
      <c r="I289" s="47" t="str">
        <f>[1]Data2025!J288</f>
        <v>23/04/2025</v>
      </c>
      <c r="J289" s="48" t="str">
        <f>[1]Data2025!L288</f>
        <v>Stapler Stapler No, 50 MAX</v>
      </c>
      <c r="K289" s="48" t="str">
        <f>[1]Data2025!M288</f>
        <v>Stapler Stapler No, 50 MAX</v>
      </c>
      <c r="L289" s="49">
        <f>[1]Data2025!N288</f>
        <v>2</v>
      </c>
      <c r="M289" s="49" t="str">
        <f>[1]Data2025!O288</f>
        <v>buah</v>
      </c>
      <c r="N289" s="50">
        <f>[1]Data2025!P288</f>
        <v>25000</v>
      </c>
      <c r="O289" s="51">
        <f>[1]Data2025!Q288</f>
        <v>50000</v>
      </c>
      <c r="P289" s="52" t="s">
        <v>43</v>
      </c>
      <c r="Q289" s="53" t="str">
        <f>VLOOKUP(K289,[1]Sheet1!$C$1:$D$101,2,)</f>
        <v>Stapler 50 (Length 5.0Cm, Width 5.0Cm, Height 5.0Cm, Weight 5Gr)</v>
      </c>
      <c r="R289" s="54">
        <v>11000000</v>
      </c>
      <c r="S289" s="55">
        <v>11004000</v>
      </c>
      <c r="T289" s="56">
        <f>[1]Data2025!T288</f>
        <v>0</v>
      </c>
      <c r="U289" s="57" t="s">
        <v>35</v>
      </c>
      <c r="V289" s="56" t="e">
        <f>[1]Data2025!V288</f>
        <v>#N/A</v>
      </c>
      <c r="W289" s="56" t="e">
        <f>[1]Data2025!X288</f>
        <v>#N/A</v>
      </c>
      <c r="X289" s="57" t="s">
        <v>78</v>
      </c>
      <c r="Y289" s="57" t="str">
        <f t="shared" si="15"/>
        <v>Alat Tulis Kantor (ATK)</v>
      </c>
      <c r="Z289" s="58" t="str">
        <f t="shared" si="16"/>
        <v>Alat Tulis Kantor (ATK)</v>
      </c>
      <c r="AA289" s="59" t="s">
        <v>55</v>
      </c>
      <c r="AB289" s="60">
        <v>5500000</v>
      </c>
      <c r="AC289" s="60">
        <v>11000000</v>
      </c>
      <c r="AD289" s="54">
        <v>11000000</v>
      </c>
      <c r="AE289" s="61">
        <v>9909909.9099099096</v>
      </c>
      <c r="AF289" s="61">
        <v>11000000</v>
      </c>
      <c r="AG289" s="62" t="s">
        <v>38</v>
      </c>
      <c r="AH289" s="63" t="e">
        <f>[1]Data2025!W288</f>
        <v>#N/A</v>
      </c>
    </row>
    <row r="290" spans="1:36" ht="16.5" thickTop="1" thickBot="1">
      <c r="A290" s="41">
        <f>[1]Data2025!G289</f>
        <v>97</v>
      </c>
      <c r="B290" s="42" t="e">
        <f>[1]Data2025!K289</f>
        <v>#N/A</v>
      </c>
      <c r="C290" s="43" t="str">
        <f>[1]Data2025!D289</f>
        <v>06. 05. 08.</v>
      </c>
      <c r="D290" s="44" t="str">
        <f>[1]Data2025!C289</f>
        <v>5.1.02.01.01.0024</v>
      </c>
      <c r="E290" s="45">
        <f>[1]Data2025!E289</f>
        <v>45717</v>
      </c>
      <c r="F290" s="46" t="str">
        <f>[1]Data2025!F289</f>
        <v>03/03/2025</v>
      </c>
      <c r="G290" s="45" t="str">
        <f>[1]Data2025!H289</f>
        <v>03/03/2025</v>
      </c>
      <c r="H290" s="45" t="str">
        <f t="shared" si="14"/>
        <v>03/03/2025</v>
      </c>
      <c r="I290" s="47" t="str">
        <f>[1]Data2025!J289</f>
        <v>23/04/2025</v>
      </c>
      <c r="J290" s="48" t="str">
        <f>[1]Data2025!L289</f>
        <v>PAPER CLIP  Paper Clip No 1</v>
      </c>
      <c r="K290" s="48" t="str">
        <f>[1]Data2025!M289</f>
        <v>PAPER CLIP  Paper Clip No 1</v>
      </c>
      <c r="L290" s="49">
        <f>[1]Data2025!N289</f>
        <v>5</v>
      </c>
      <c r="M290" s="49" t="str">
        <f>[1]Data2025!O289</f>
        <v>kotak</v>
      </c>
      <c r="N290" s="50">
        <f>[1]Data2025!P289</f>
        <v>6000</v>
      </c>
      <c r="O290" s="51">
        <f>[1]Data2025!Q289</f>
        <v>30000</v>
      </c>
      <c r="P290" s="52" t="s">
        <v>43</v>
      </c>
      <c r="Q290" s="53" t="str">
        <f>VLOOKUP(K290,[1]Sheet1!$C$1:$D$101,2,)</f>
        <v>Paper Clip No 1 (Length 5.0Cm, Width 5.0Cm, Height 5.0Cm, Weight 5Gr)</v>
      </c>
      <c r="R290" s="54">
        <v>2160000</v>
      </c>
      <c r="S290" s="55">
        <v>2232000</v>
      </c>
      <c r="T290" s="56">
        <f>[1]Data2025!T289</f>
        <v>0</v>
      </c>
      <c r="U290" s="57" t="s">
        <v>35</v>
      </c>
      <c r="V290" s="56" t="e">
        <f>[1]Data2025!V289</f>
        <v>#N/A</v>
      </c>
      <c r="W290" s="56" t="e">
        <f>[1]Data2025!X289</f>
        <v>#N/A</v>
      </c>
      <c r="X290" s="57" t="s">
        <v>78</v>
      </c>
      <c r="Y290" s="57" t="str">
        <f t="shared" si="15"/>
        <v>Alat Tulis Kantor (ATK)</v>
      </c>
      <c r="Z290" s="58" t="str">
        <f t="shared" si="16"/>
        <v>Alat Tulis Kantor (ATK)</v>
      </c>
      <c r="AA290" s="59" t="s">
        <v>55</v>
      </c>
      <c r="AB290" s="60">
        <v>60000</v>
      </c>
      <c r="AC290" s="60">
        <v>2160000</v>
      </c>
      <c r="AD290" s="54">
        <v>2160000</v>
      </c>
      <c r="AE290" s="61">
        <v>1945945.945945946</v>
      </c>
      <c r="AF290" s="61">
        <v>2160000</v>
      </c>
      <c r="AG290" s="62" t="s">
        <v>38</v>
      </c>
      <c r="AH290" s="63" t="e">
        <f>[1]Data2025!W289</f>
        <v>#N/A</v>
      </c>
    </row>
    <row r="291" spans="1:36" ht="16.5" thickTop="1" thickBot="1">
      <c r="A291" s="41">
        <f>[1]Data2025!G290</f>
        <v>97</v>
      </c>
      <c r="B291" s="42" t="e">
        <f>[1]Data2025!K290</f>
        <v>#N/A</v>
      </c>
      <c r="C291" s="43" t="str">
        <f>[1]Data2025!D290</f>
        <v>06. 05. 08.</v>
      </c>
      <c r="D291" s="44" t="str">
        <f>[1]Data2025!C290</f>
        <v>5.1.02.01.01.0024</v>
      </c>
      <c r="E291" s="45">
        <f>[1]Data2025!E290</f>
        <v>45717</v>
      </c>
      <c r="F291" s="46" t="str">
        <f>[1]Data2025!F290</f>
        <v>03/03/2025</v>
      </c>
      <c r="G291" s="45" t="str">
        <f>[1]Data2025!H290</f>
        <v>03/03/2025</v>
      </c>
      <c r="H291" s="45" t="str">
        <f t="shared" si="14"/>
        <v>03/03/2025</v>
      </c>
      <c r="I291" s="47" t="str">
        <f>[1]Data2025!J290</f>
        <v>23/04/2025</v>
      </c>
      <c r="J291" s="48" t="str">
        <f>[1]Data2025!L290</f>
        <v>Paper Clip No 1  Paper Clip No 3</v>
      </c>
      <c r="K291" s="48" t="str">
        <f>[1]Data2025!M290</f>
        <v>Paper Clip No 1  Paper Clip No 3</v>
      </c>
      <c r="L291" s="49">
        <f>[1]Data2025!N290</f>
        <v>5</v>
      </c>
      <c r="M291" s="49" t="str">
        <f>[1]Data2025!O290</f>
        <v>kotak</v>
      </c>
      <c r="N291" s="50">
        <f>[1]Data2025!P290</f>
        <v>6000</v>
      </c>
      <c r="O291" s="51">
        <f>[1]Data2025!Q290</f>
        <v>30000</v>
      </c>
      <c r="P291" s="52" t="s">
        <v>43</v>
      </c>
      <c r="Q291" s="53" t="str">
        <f>VLOOKUP(K291,[1]Sheet1!$C$1:$D$101,2,)</f>
        <v>Paper Clip No 3 (Length 5.0Cm, Width 5.0Cm, Height 5.0Cm, Weight 5Gr)</v>
      </c>
      <c r="R291" s="54">
        <v>10000000</v>
      </c>
      <c r="S291" s="55">
        <v>10040000</v>
      </c>
      <c r="T291" s="56">
        <f>[1]Data2025!T290</f>
        <v>0</v>
      </c>
      <c r="U291" s="57" t="s">
        <v>66</v>
      </c>
      <c r="V291" s="56" t="e">
        <f>[1]Data2025!V290</f>
        <v>#N/A</v>
      </c>
      <c r="W291" s="56" t="e">
        <f>[1]Data2025!X290</f>
        <v>#N/A</v>
      </c>
      <c r="X291" s="57" t="s">
        <v>67</v>
      </c>
      <c r="Y291" s="57" t="str">
        <f t="shared" si="15"/>
        <v>Alat Tulis Kantor (ATK)</v>
      </c>
      <c r="Z291" s="58" t="str">
        <f t="shared" si="16"/>
        <v>Alat Tulis Kantor (ATK)</v>
      </c>
      <c r="AA291" s="59" t="s">
        <v>83</v>
      </c>
      <c r="AB291" s="60">
        <v>500000</v>
      </c>
      <c r="AC291" s="60">
        <v>10000000</v>
      </c>
      <c r="AD291" s="54">
        <v>10000000</v>
      </c>
      <c r="AE291" s="61">
        <v>9009009.0090090092</v>
      </c>
      <c r="AF291" s="61">
        <v>10000000</v>
      </c>
      <c r="AG291" s="62" t="s">
        <v>38</v>
      </c>
      <c r="AH291" s="63" t="e">
        <f>[1]Data2025!W290</f>
        <v>#N/A</v>
      </c>
    </row>
    <row r="292" spans="1:36" ht="16.5" thickTop="1" thickBot="1">
      <c r="A292" s="41">
        <f>[1]Data2025!G291</f>
        <v>97</v>
      </c>
      <c r="B292" s="42" t="e">
        <f>[1]Data2025!K291</f>
        <v>#N/A</v>
      </c>
      <c r="C292" s="43" t="str">
        <f>[1]Data2025!D291</f>
        <v>06. 05. 08.</v>
      </c>
      <c r="D292" s="44" t="str">
        <f>[1]Data2025!C291</f>
        <v>5.1.02.01.01.0024</v>
      </c>
      <c r="E292" s="45">
        <f>[1]Data2025!E291</f>
        <v>45717</v>
      </c>
      <c r="F292" s="46" t="str">
        <f>[1]Data2025!F291</f>
        <v>03/03/2025</v>
      </c>
      <c r="G292" s="45" t="str">
        <f>[1]Data2025!H291</f>
        <v>03/03/2025</v>
      </c>
      <c r="H292" s="45" t="str">
        <f t="shared" si="14"/>
        <v>03/03/2025</v>
      </c>
      <c r="I292" s="47" t="str">
        <f>[1]Data2025!J291</f>
        <v>23/04/2025</v>
      </c>
      <c r="J292" s="48" t="str">
        <f>[1]Data2025!L291</f>
        <v>Isi Staples Sedang</v>
      </c>
      <c r="K292" s="48" t="str">
        <f>[1]Data2025!M291</f>
        <v>Isi Staples Sedang</v>
      </c>
      <c r="L292" s="49">
        <f>[1]Data2025!N291</f>
        <v>2</v>
      </c>
      <c r="M292" s="49" t="str">
        <f>[1]Data2025!O291</f>
        <v>kotak</v>
      </c>
      <c r="N292" s="50">
        <f>[1]Data2025!P291</f>
        <v>40000</v>
      </c>
      <c r="O292" s="51">
        <f>[1]Data2025!Q291</f>
        <v>80000</v>
      </c>
      <c r="P292" s="52" t="s">
        <v>43</v>
      </c>
      <c r="Q292" s="53" t="str">
        <f>VLOOKUP(K292,[1]Sheet1!$C$1:$D$101,2,)</f>
        <v>Isi Staples Sedang (Dimensi, 2Cm X 4Cm X 1Cm. Berat, 5G.)</v>
      </c>
      <c r="R292" s="54">
        <v>5000000</v>
      </c>
      <c r="S292" s="55">
        <v>5020000</v>
      </c>
      <c r="T292" s="56">
        <f>[1]Data2025!T291</f>
        <v>0</v>
      </c>
      <c r="U292" s="57" t="s">
        <v>66</v>
      </c>
      <c r="V292" s="56" t="e">
        <f>[1]Data2025!V291</f>
        <v>#N/A</v>
      </c>
      <c r="W292" s="56" t="e">
        <f>[1]Data2025!X291</f>
        <v>#N/A</v>
      </c>
      <c r="X292" s="57" t="s">
        <v>67</v>
      </c>
      <c r="Y292" s="57" t="str">
        <f t="shared" si="15"/>
        <v>Alat Tulis Kantor (ATK)</v>
      </c>
      <c r="Z292" s="58" t="str">
        <f t="shared" si="16"/>
        <v>Alat Tulis Kantor (ATK)</v>
      </c>
      <c r="AA292" s="59" t="s">
        <v>83</v>
      </c>
      <c r="AB292" s="60">
        <v>500000</v>
      </c>
      <c r="AC292" s="60">
        <v>5000000</v>
      </c>
      <c r="AD292" s="54">
        <v>5000000</v>
      </c>
      <c r="AE292" s="61">
        <v>4504504.5045045046</v>
      </c>
      <c r="AF292" s="61">
        <v>5000000</v>
      </c>
      <c r="AG292" s="62" t="s">
        <v>38</v>
      </c>
      <c r="AH292" s="63" t="e">
        <f>[1]Data2025!W291</f>
        <v>#N/A</v>
      </c>
    </row>
    <row r="293" spans="1:36" ht="16.5" thickTop="1" thickBot="1">
      <c r="A293" s="41">
        <f>[1]Data2025!G292</f>
        <v>97</v>
      </c>
      <c r="B293" s="42" t="e">
        <f>[1]Data2025!K292</f>
        <v>#N/A</v>
      </c>
      <c r="C293" s="43" t="str">
        <f>[1]Data2025!D292</f>
        <v>06. 05. 08.</v>
      </c>
      <c r="D293" s="44" t="str">
        <f>[1]Data2025!C292</f>
        <v>5.1.02.01.01.0024</v>
      </c>
      <c r="E293" s="45">
        <f>[1]Data2025!E292</f>
        <v>45717</v>
      </c>
      <c r="F293" s="46" t="str">
        <f>[1]Data2025!F292</f>
        <v>03/03/2025</v>
      </c>
      <c r="G293" s="45" t="str">
        <f>[1]Data2025!H292</f>
        <v>03/03/2025</v>
      </c>
      <c r="H293" s="45" t="str">
        <f t="shared" si="14"/>
        <v>03/03/2025</v>
      </c>
      <c r="I293" s="47" t="str">
        <f>[1]Data2025!J292</f>
        <v>23/04/2025</v>
      </c>
      <c r="J293" s="48" t="str">
        <f>[1]Data2025!L292</f>
        <v>Isi Staples besar</v>
      </c>
      <c r="K293" s="48" t="str">
        <f>[1]Data2025!M292</f>
        <v>Isi Staples besar</v>
      </c>
      <c r="L293" s="49">
        <f>[1]Data2025!N292</f>
        <v>2</v>
      </c>
      <c r="M293" s="49" t="str">
        <f>[1]Data2025!O292</f>
        <v>kotak</v>
      </c>
      <c r="N293" s="50">
        <f>[1]Data2025!P292</f>
        <v>80000</v>
      </c>
      <c r="O293" s="51">
        <f>[1]Data2025!Q292</f>
        <v>160000</v>
      </c>
      <c r="P293" s="52" t="s">
        <v>43</v>
      </c>
      <c r="Q293" s="53" t="str">
        <f>VLOOKUP(K293,[1]Sheet1!$C$1:$D$101,2,)</f>
        <v>Isi Staples besar (Ukuran 10 mm (3/8″)Isi Kemasan 1000 staples/box)</v>
      </c>
      <c r="R293" s="54">
        <v>4250000</v>
      </c>
      <c r="S293" s="55">
        <v>4350000</v>
      </c>
      <c r="T293" s="56">
        <f>[1]Data2025!T292</f>
        <v>0</v>
      </c>
      <c r="U293" s="57" t="s">
        <v>66</v>
      </c>
      <c r="V293" s="56" t="e">
        <f>[1]Data2025!V292</f>
        <v>#N/A</v>
      </c>
      <c r="W293" s="56" t="e">
        <f>[1]Data2025!X292</f>
        <v>#N/A</v>
      </c>
      <c r="X293" s="57" t="s">
        <v>67</v>
      </c>
      <c r="Y293" s="57" t="str">
        <f t="shared" si="15"/>
        <v>Alat Tulis Kantor (ATK)</v>
      </c>
      <c r="Z293" s="58" t="str">
        <f t="shared" si="16"/>
        <v>Alat Tulis Kantor (ATK)</v>
      </c>
      <c r="AA293" s="59" t="s">
        <v>42</v>
      </c>
      <c r="AB293" s="60">
        <v>85000</v>
      </c>
      <c r="AC293" s="60">
        <v>4250000</v>
      </c>
      <c r="AD293" s="54">
        <v>4250000</v>
      </c>
      <c r="AE293" s="61">
        <v>3828828.8288288289</v>
      </c>
      <c r="AF293" s="61">
        <v>4250000</v>
      </c>
      <c r="AG293" s="62" t="s">
        <v>38</v>
      </c>
      <c r="AH293" s="63" t="e">
        <f>[1]Data2025!W292</f>
        <v>#N/A</v>
      </c>
    </row>
    <row r="294" spans="1:36" ht="26" thickTop="1" thickBot="1">
      <c r="A294" s="41">
        <f>[1]Data2025!G293</f>
        <v>97</v>
      </c>
      <c r="B294" s="42" t="e">
        <f>[1]Data2025!K293</f>
        <v>#N/A</v>
      </c>
      <c r="C294" s="43" t="str">
        <f>[1]Data2025!D293</f>
        <v>06. 05. 08.</v>
      </c>
      <c r="D294" s="44" t="str">
        <f>[1]Data2025!C293</f>
        <v>5.1.02.01.01.0024</v>
      </c>
      <c r="E294" s="45">
        <f>[1]Data2025!E293</f>
        <v>45717</v>
      </c>
      <c r="F294" s="46" t="str">
        <f>[1]Data2025!F293</f>
        <v>03/03/2025</v>
      </c>
      <c r="G294" s="45" t="str">
        <f>[1]Data2025!H293</f>
        <v>03/03/2025</v>
      </c>
      <c r="H294" s="45" t="str">
        <f t="shared" si="14"/>
        <v>03/03/2025</v>
      </c>
      <c r="I294" s="47" t="str">
        <f>[1]Data2025!J293</f>
        <v>23/04/2025</v>
      </c>
      <c r="J294" s="48" t="str">
        <f>[1]Data2025!L293</f>
        <v>gunting kertas-ukuran : panjang 21cm x lebar 8cm, stainless steel</v>
      </c>
      <c r="K294" s="48" t="str">
        <f>[1]Data2025!M293</f>
        <v>gunting kertas-ukuran : panjang 21cm x lebar 8cm, stainless steel</v>
      </c>
      <c r="L294" s="49">
        <f>[1]Data2025!N293</f>
        <v>2</v>
      </c>
      <c r="M294" s="49" t="str">
        <f>[1]Data2025!O293</f>
        <v>buah</v>
      </c>
      <c r="N294" s="50">
        <f>[1]Data2025!P293</f>
        <v>20000</v>
      </c>
      <c r="O294" s="51">
        <f>[1]Data2025!Q293</f>
        <v>40000</v>
      </c>
      <c r="P294" s="52" t="s">
        <v>43</v>
      </c>
      <c r="Q294" s="53" t="str">
        <f>VLOOKUP(K294,[1]Sheet1!$C$1:$D$101,2,)</f>
        <v>Gunting Besar (Length 5.0Cm, Width 5.0Cm, Height 5.0Cm, Weight 5Gr)</v>
      </c>
      <c r="R294" s="54">
        <v>1583530</v>
      </c>
      <c r="S294" s="55">
        <v>2002000</v>
      </c>
      <c r="T294" s="56">
        <f>[1]Data2025!T293</f>
        <v>0</v>
      </c>
      <c r="U294" s="57" t="s">
        <v>35</v>
      </c>
      <c r="V294" s="56" t="e">
        <f>[1]Data2025!V293</f>
        <v>#N/A</v>
      </c>
      <c r="W294" s="56" t="e">
        <f>[1]Data2025!X293</f>
        <v>#N/A</v>
      </c>
      <c r="X294" s="57" t="s">
        <v>78</v>
      </c>
      <c r="Y294" s="57" t="str">
        <f t="shared" si="15"/>
        <v>Alat Tulis Kantor (ATK)</v>
      </c>
      <c r="Z294" s="58" t="str">
        <f t="shared" si="16"/>
        <v>Alat Tulis Kantor (ATK)</v>
      </c>
      <c r="AA294" s="59" t="s">
        <v>73</v>
      </c>
      <c r="AB294" s="60">
        <v>2000000</v>
      </c>
      <c r="AC294" s="60">
        <v>2000000</v>
      </c>
      <c r="AD294" s="54">
        <v>1583530</v>
      </c>
      <c r="AE294" s="61">
        <v>1426603.6036036036</v>
      </c>
      <c r="AF294" s="61">
        <v>1583530</v>
      </c>
      <c r="AG294" s="62" t="s">
        <v>38</v>
      </c>
      <c r="AH294" s="63" t="e">
        <f>[1]Data2025!W293</f>
        <v>#N/A</v>
      </c>
    </row>
    <row r="295" spans="1:36" ht="16.5" thickTop="1" thickBot="1">
      <c r="A295" s="41">
        <f>[1]Data2025!G294</f>
        <v>97</v>
      </c>
      <c r="B295" s="42" t="e">
        <f>[1]Data2025!K294</f>
        <v>#N/A</v>
      </c>
      <c r="C295" s="43" t="str">
        <f>[1]Data2025!D294</f>
        <v>06. 05. 08.</v>
      </c>
      <c r="D295" s="44" t="str">
        <f>[1]Data2025!C294</f>
        <v>5.1.02.01.01.0024</v>
      </c>
      <c r="E295" s="45">
        <f>[1]Data2025!E294</f>
        <v>45717</v>
      </c>
      <c r="F295" s="46" t="str">
        <f>[1]Data2025!F294</f>
        <v>03/03/2025</v>
      </c>
      <c r="G295" s="45" t="str">
        <f>[1]Data2025!H294</f>
        <v>03/03/2025</v>
      </c>
      <c r="H295" s="45" t="str">
        <f t="shared" si="14"/>
        <v>03/03/2025</v>
      </c>
      <c r="I295" s="47" t="str">
        <f>[1]Data2025!J294</f>
        <v>23/04/2025</v>
      </c>
      <c r="J295" s="48" t="str">
        <f>[1]Data2025!L294</f>
        <v>Pisau Cutter Kenko L-500</v>
      </c>
      <c r="K295" s="48" t="str">
        <f>[1]Data2025!M294</f>
        <v>Pisau Cutter Kenko L-500</v>
      </c>
      <c r="L295" s="49">
        <f>[1]Data2025!N294</f>
        <v>2</v>
      </c>
      <c r="M295" s="49" t="str">
        <f>[1]Data2025!O294</f>
        <v>buah</v>
      </c>
      <c r="N295" s="50">
        <f>[1]Data2025!P294</f>
        <v>15000</v>
      </c>
      <c r="O295" s="51">
        <f>[1]Data2025!Q294</f>
        <v>30000</v>
      </c>
      <c r="P295" s="52" t="s">
        <v>43</v>
      </c>
      <c r="Q295" s="53" t="str">
        <f>VLOOKUP(K295,[1]Sheet1!$C$1:$D$101,2,)</f>
        <v>Cutter L500 (Length 5.0Cm, Width 5.0Cm, Height 5.0Cm, Weight 5Gr)</v>
      </c>
      <c r="R295" s="54">
        <v>1179100</v>
      </c>
      <c r="S295" s="55">
        <v>1502000</v>
      </c>
      <c r="T295" s="56">
        <f>[1]Data2025!T294</f>
        <v>0</v>
      </c>
      <c r="U295" s="57" t="s">
        <v>35</v>
      </c>
      <c r="V295" s="56" t="e">
        <f>[1]Data2025!V294</f>
        <v>#N/A</v>
      </c>
      <c r="W295" s="56" t="e">
        <f>[1]Data2025!X294</f>
        <v>#N/A</v>
      </c>
      <c r="X295" s="57" t="s">
        <v>78</v>
      </c>
      <c r="Y295" s="57" t="str">
        <f t="shared" si="15"/>
        <v>Alat Tulis Kantor (ATK)</v>
      </c>
      <c r="Z295" s="58" t="str">
        <f t="shared" si="16"/>
        <v>Alat Tulis Kantor (ATK)</v>
      </c>
      <c r="AA295" s="59" t="s">
        <v>73</v>
      </c>
      <c r="AB295" s="60">
        <v>1500000</v>
      </c>
      <c r="AC295" s="60">
        <v>1500000</v>
      </c>
      <c r="AD295" s="54">
        <v>1179100</v>
      </c>
      <c r="AE295" s="61">
        <v>1062252.2522522523</v>
      </c>
      <c r="AF295" s="61">
        <v>1179100</v>
      </c>
      <c r="AG295" s="62" t="s">
        <v>38</v>
      </c>
      <c r="AH295" s="63" t="e">
        <f>[1]Data2025!W294</f>
        <v>#N/A</v>
      </c>
      <c r="AI295" s="92"/>
      <c r="AJ295" s="92"/>
    </row>
    <row r="296" spans="1:36" ht="16.5" thickTop="1" thickBot="1">
      <c r="A296" s="41">
        <f>[1]Data2025!G295</f>
        <v>97</v>
      </c>
      <c r="B296" s="42" t="e">
        <f>[1]Data2025!K295</f>
        <v>#N/A</v>
      </c>
      <c r="C296" s="43" t="str">
        <f>[1]Data2025!D295</f>
        <v>06. 05. 08.</v>
      </c>
      <c r="D296" s="44" t="str">
        <f>[1]Data2025!C295</f>
        <v>5.1.02.01.01.0024</v>
      </c>
      <c r="E296" s="45">
        <f>[1]Data2025!E295</f>
        <v>45717</v>
      </c>
      <c r="F296" s="46" t="str">
        <f>[1]Data2025!F295</f>
        <v>03/03/2025</v>
      </c>
      <c r="G296" s="45" t="str">
        <f>[1]Data2025!H295</f>
        <v>03/03/2025</v>
      </c>
      <c r="H296" s="45" t="str">
        <f t="shared" si="14"/>
        <v>03/03/2025</v>
      </c>
      <c r="I296" s="47" t="str">
        <f>[1]Data2025!J295</f>
        <v>23/04/2025</v>
      </c>
      <c r="J296" s="48" t="str">
        <f>[1]Data2025!L295</f>
        <v>Baterey Kecil</v>
      </c>
      <c r="K296" s="48" t="str">
        <f>[1]Data2025!M295</f>
        <v>Baterey Kecil</v>
      </c>
      <c r="L296" s="49">
        <f>[1]Data2025!N295</f>
        <v>5</v>
      </c>
      <c r="M296" s="49" t="str">
        <f>[1]Data2025!O295</f>
        <v>pasang</v>
      </c>
      <c r="N296" s="50">
        <f>[1]Data2025!P295</f>
        <v>20000</v>
      </c>
      <c r="O296" s="51">
        <f>[1]Data2025!Q295</f>
        <v>100000</v>
      </c>
      <c r="P296" s="52" t="s">
        <v>43</v>
      </c>
      <c r="Q296" s="53" t="str">
        <f>VLOOKUP(K296,[1]Sheet1!$C$1:$D$101,2,)</f>
        <v>Baterey Kecil (Type: Aa; Tegangan: 1.5 Volt; Ukuran: 14 X 50 Mm)</v>
      </c>
      <c r="R296" s="54">
        <v>18008400</v>
      </c>
      <c r="S296" s="55">
        <v>18028400</v>
      </c>
      <c r="T296" s="56">
        <f>[1]Data2025!T295</f>
        <v>0</v>
      </c>
      <c r="U296" s="57" t="s">
        <v>35</v>
      </c>
      <c r="V296" s="56" t="e">
        <f>[1]Data2025!V295</f>
        <v>#N/A</v>
      </c>
      <c r="W296" s="56" t="e">
        <f>[1]Data2025!X295</f>
        <v>#N/A</v>
      </c>
      <c r="X296" s="57" t="s">
        <v>78</v>
      </c>
      <c r="Y296" s="57" t="str">
        <f t="shared" si="15"/>
        <v>Alat Tulis Kantor (ATK)</v>
      </c>
      <c r="Z296" s="58" t="str">
        <f t="shared" si="16"/>
        <v>Alat Tulis Kantor (ATK)</v>
      </c>
      <c r="AA296" s="59" t="s">
        <v>40</v>
      </c>
      <c r="AB296" s="60">
        <v>1800840</v>
      </c>
      <c r="AC296" s="60">
        <v>18008400</v>
      </c>
      <c r="AD296" s="54">
        <v>18008400</v>
      </c>
      <c r="AE296" s="61">
        <v>16223783.783783784</v>
      </c>
      <c r="AF296" s="61">
        <v>18008400</v>
      </c>
      <c r="AG296" s="62" t="s">
        <v>38</v>
      </c>
      <c r="AH296" s="63" t="e">
        <f>[1]Data2025!W295</f>
        <v>#N/A</v>
      </c>
    </row>
    <row r="297" spans="1:36" ht="16.5" thickTop="1" thickBot="1">
      <c r="A297" s="41">
        <f>[1]Data2025!G296</f>
        <v>97</v>
      </c>
      <c r="B297" s="42" t="e">
        <f>[1]Data2025!K296</f>
        <v>#N/A</v>
      </c>
      <c r="C297" s="43" t="str">
        <f>[1]Data2025!D296</f>
        <v>06. 05. 08.</v>
      </c>
      <c r="D297" s="44" t="str">
        <f>[1]Data2025!C296</f>
        <v>5.1.02.01.01.0024</v>
      </c>
      <c r="E297" s="45">
        <f>[1]Data2025!E296</f>
        <v>45717</v>
      </c>
      <c r="F297" s="46" t="str">
        <f>[1]Data2025!F296</f>
        <v>03/03/2025</v>
      </c>
      <c r="G297" s="45" t="str">
        <f>[1]Data2025!H296</f>
        <v>03/03/2025</v>
      </c>
      <c r="H297" s="45" t="str">
        <f t="shared" si="14"/>
        <v>03/03/2025</v>
      </c>
      <c r="I297" s="47" t="str">
        <f>[1]Data2025!J296</f>
        <v>23/04/2025</v>
      </c>
      <c r="J297" s="48" t="str">
        <f>[1]Data2025!L296</f>
        <v>Baterey Tanggung</v>
      </c>
      <c r="K297" s="48" t="str">
        <f>[1]Data2025!M296</f>
        <v>Baterey Tanggung</v>
      </c>
      <c r="L297" s="49">
        <f>[1]Data2025!N296</f>
        <v>5</v>
      </c>
      <c r="M297" s="49" t="str">
        <f>[1]Data2025!O296</f>
        <v>pasang</v>
      </c>
      <c r="N297" s="50">
        <f>[1]Data2025!P296</f>
        <v>30000</v>
      </c>
      <c r="O297" s="51">
        <f>[1]Data2025!Q296</f>
        <v>150000</v>
      </c>
      <c r="P297" s="52" t="s">
        <v>43</v>
      </c>
      <c r="Q297" s="53" t="str">
        <f>VLOOKUP(K297,[1]Sheet1!$C$1:$D$101,2,)</f>
        <v>Baterey Tanggung (Ukuran Sedang Tanggung R14C Biru 1.5V Brand : ABC Type : R14C 1.5V ukuran : tanggung Panjang : 5cm.)</v>
      </c>
      <c r="R297" s="54">
        <v>2475000</v>
      </c>
      <c r="S297" s="55">
        <v>2541000</v>
      </c>
      <c r="T297" s="56">
        <f>[1]Data2025!T296</f>
        <v>0</v>
      </c>
      <c r="U297" s="57" t="s">
        <v>35</v>
      </c>
      <c r="V297" s="56" t="e">
        <f>[1]Data2025!V296</f>
        <v>#N/A</v>
      </c>
      <c r="W297" s="56" t="e">
        <f>[1]Data2025!X296</f>
        <v>#N/A</v>
      </c>
      <c r="X297" s="57" t="s">
        <v>78</v>
      </c>
      <c r="Y297" s="57" t="str">
        <f t="shared" si="15"/>
        <v>Alat Tulis Kantor (ATK)</v>
      </c>
      <c r="Z297" s="58" t="str">
        <f t="shared" si="16"/>
        <v>Alat Tulis Kantor (ATK)</v>
      </c>
      <c r="AA297" s="59" t="s">
        <v>77</v>
      </c>
      <c r="AB297" s="60">
        <v>75000</v>
      </c>
      <c r="AC297" s="60">
        <v>2475000</v>
      </c>
      <c r="AD297" s="54">
        <v>2475000</v>
      </c>
      <c r="AE297" s="61">
        <v>2229729.7297297297</v>
      </c>
      <c r="AF297" s="61">
        <v>2475000</v>
      </c>
      <c r="AG297" s="62" t="s">
        <v>38</v>
      </c>
      <c r="AH297" s="63" t="e">
        <f>[1]Data2025!W296</f>
        <v>#N/A</v>
      </c>
    </row>
    <row r="298" spans="1:36" ht="26" thickTop="1" thickBot="1">
      <c r="A298" s="41">
        <f>[1]Data2025!G297</f>
        <v>97</v>
      </c>
      <c r="B298" s="42" t="e">
        <f>[1]Data2025!K297</f>
        <v>#N/A</v>
      </c>
      <c r="C298" s="43" t="str">
        <f>[1]Data2025!D297</f>
        <v>06. 05. 08.</v>
      </c>
      <c r="D298" s="44" t="str">
        <f>[1]Data2025!C297</f>
        <v>5.1.02.01.01.0024</v>
      </c>
      <c r="E298" s="45">
        <f>[1]Data2025!E297</f>
        <v>45717</v>
      </c>
      <c r="F298" s="46" t="str">
        <f>[1]Data2025!F297</f>
        <v>03/03/2025</v>
      </c>
      <c r="G298" s="45" t="str">
        <f>[1]Data2025!H297</f>
        <v>03/03/2025</v>
      </c>
      <c r="H298" s="45" t="str">
        <f t="shared" si="14"/>
        <v>03/03/2025</v>
      </c>
      <c r="I298" s="47" t="str">
        <f>[1]Data2025!J297</f>
        <v>23/04/2025</v>
      </c>
      <c r="J298" s="48" t="str">
        <f>[1]Data2025!L297</f>
        <v>USB FLASH DISK USB/Flash Disk 4GB</v>
      </c>
      <c r="K298" s="48" t="str">
        <f>[1]Data2025!M297</f>
        <v>USB FLASH DISK USB/Flash Disk 4GB</v>
      </c>
      <c r="L298" s="49">
        <f>[1]Data2025!N297</f>
        <v>1</v>
      </c>
      <c r="M298" s="49" t="str">
        <f>[1]Data2025!O297</f>
        <v>buah</v>
      </c>
      <c r="N298" s="50">
        <f>[1]Data2025!P297</f>
        <v>80000</v>
      </c>
      <c r="O298" s="51">
        <f>[1]Data2025!Q297</f>
        <v>80000</v>
      </c>
      <c r="P298" s="52" t="s">
        <v>43</v>
      </c>
      <c r="Q298" s="53" t="str">
        <f>VLOOKUP(K298,[1]Sheet1!$C$1:$D$101,2,)</f>
        <v>USB Flash Disk/Flash Disk 4gb (Ukuran 50 X 15 X 6 Mm, Berat 26 Gr)</v>
      </c>
      <c r="R298" s="54">
        <v>2550000</v>
      </c>
      <c r="S298" s="55">
        <v>2618000</v>
      </c>
      <c r="T298" s="56">
        <f>[1]Data2025!T297</f>
        <v>0</v>
      </c>
      <c r="U298" s="57" t="s">
        <v>35</v>
      </c>
      <c r="V298" s="56" t="e">
        <f>[1]Data2025!V297</f>
        <v>#N/A</v>
      </c>
      <c r="W298" s="56" t="e">
        <f>[1]Data2025!X297</f>
        <v>#N/A</v>
      </c>
      <c r="X298" s="57" t="s">
        <v>78</v>
      </c>
      <c r="Y298" s="57" t="str">
        <f t="shared" si="15"/>
        <v>Alat Tulis Kantor (ATK)</v>
      </c>
      <c r="Z298" s="58" t="str">
        <f t="shared" si="16"/>
        <v>Alat Tulis Kantor (ATK)</v>
      </c>
      <c r="AA298" s="59" t="s">
        <v>77</v>
      </c>
      <c r="AB298" s="60">
        <v>75000</v>
      </c>
      <c r="AC298" s="60">
        <v>2550000</v>
      </c>
      <c r="AD298" s="54">
        <v>2550000</v>
      </c>
      <c r="AE298" s="61">
        <v>2297297.2972972975</v>
      </c>
      <c r="AF298" s="61">
        <v>2550000</v>
      </c>
      <c r="AG298" s="62" t="s">
        <v>38</v>
      </c>
      <c r="AH298" s="63" t="e">
        <f>[1]Data2025!W297</f>
        <v>#N/A</v>
      </c>
      <c r="AI298" s="92"/>
      <c r="AJ298" s="92"/>
    </row>
    <row r="299" spans="1:36" ht="16.5" thickTop="1" thickBot="1">
      <c r="A299" s="41">
        <f>[1]Data2025!G298</f>
        <v>97</v>
      </c>
      <c r="B299" s="42" t="e">
        <f>[1]Data2025!K298</f>
        <v>#N/A</v>
      </c>
      <c r="C299" s="43" t="str">
        <f>[1]Data2025!D298</f>
        <v>06. 05. 08.</v>
      </c>
      <c r="D299" s="44" t="str">
        <f>[1]Data2025!C298</f>
        <v>5.1.02.01.01.0024</v>
      </c>
      <c r="E299" s="45">
        <f>[1]Data2025!E298</f>
        <v>45717</v>
      </c>
      <c r="F299" s="46" t="str">
        <f>[1]Data2025!F298</f>
        <v>03/03/2025</v>
      </c>
      <c r="G299" s="45" t="str">
        <f>[1]Data2025!H298</f>
        <v>03/03/2025</v>
      </c>
      <c r="H299" s="45" t="str">
        <f t="shared" si="14"/>
        <v>03/03/2025</v>
      </c>
      <c r="I299" s="47" t="str">
        <f>[1]Data2025!J298</f>
        <v>23/04/2025</v>
      </c>
      <c r="J299" s="48" t="str">
        <f>[1]Data2025!L298</f>
        <v>Tinta Stempel</v>
      </c>
      <c r="K299" s="48" t="str">
        <f>[1]Data2025!M298</f>
        <v>Tinta Stempel</v>
      </c>
      <c r="L299" s="49">
        <f>[1]Data2025!N298</f>
        <v>5</v>
      </c>
      <c r="M299" s="49" t="str">
        <f>[1]Data2025!O298</f>
        <v>botol</v>
      </c>
      <c r="N299" s="50">
        <f>[1]Data2025!P298</f>
        <v>20000</v>
      </c>
      <c r="O299" s="51">
        <f>[1]Data2025!Q298</f>
        <v>100000</v>
      </c>
      <c r="P299" s="52" t="s">
        <v>43</v>
      </c>
      <c r="Q299" s="53" t="str">
        <f>VLOOKUP(K299,[1]Sheet1!$C$1:$D$101,2,)</f>
        <v>Tinta Stempel (Ukuran Produk 105 X 35 X 35 Mm, Isi 1 Botol 50 Ml, Berat Satuan 85 Gram)</v>
      </c>
      <c r="R299" s="54">
        <v>2250000</v>
      </c>
      <c r="S299" s="55">
        <v>2310000</v>
      </c>
      <c r="T299" s="56">
        <f>[1]Data2025!T298</f>
        <v>0</v>
      </c>
      <c r="U299" s="57" t="s">
        <v>35</v>
      </c>
      <c r="V299" s="56" t="e">
        <f>[1]Data2025!V298</f>
        <v>#N/A</v>
      </c>
      <c r="W299" s="56" t="e">
        <f>[1]Data2025!X298</f>
        <v>#N/A</v>
      </c>
      <c r="X299" s="57" t="s">
        <v>78</v>
      </c>
      <c r="Y299" s="57" t="str">
        <f t="shared" si="15"/>
        <v>Alat Tulis Kantor (ATK)</v>
      </c>
      <c r="Z299" s="58" t="str">
        <f t="shared" si="16"/>
        <v>Alat Tulis Kantor (ATK)</v>
      </c>
      <c r="AA299" s="59" t="s">
        <v>77</v>
      </c>
      <c r="AB299" s="60">
        <v>75000</v>
      </c>
      <c r="AC299" s="60">
        <v>2250000</v>
      </c>
      <c r="AD299" s="54">
        <v>2250000</v>
      </c>
      <c r="AE299" s="61">
        <v>2027027.027027027</v>
      </c>
      <c r="AF299" s="61">
        <v>2250000</v>
      </c>
      <c r="AG299" s="62" t="s">
        <v>38</v>
      </c>
      <c r="AH299" s="63" t="e">
        <f>[1]Data2025!W298</f>
        <v>#N/A</v>
      </c>
    </row>
    <row r="300" spans="1:36" ht="16.5" thickTop="1" thickBot="1">
      <c r="A300" s="41">
        <f>[1]Data2025!G299</f>
        <v>97</v>
      </c>
      <c r="B300" s="42" t="e">
        <f>[1]Data2025!K299</f>
        <v>#N/A</v>
      </c>
      <c r="C300" s="43" t="str">
        <f>[1]Data2025!D299</f>
        <v>06. 05. 08.</v>
      </c>
      <c r="D300" s="44" t="str">
        <f>[1]Data2025!C299</f>
        <v>5.1.02.01.01.0024</v>
      </c>
      <c r="E300" s="45">
        <f>[1]Data2025!E299</f>
        <v>45717</v>
      </c>
      <c r="F300" s="46" t="str">
        <f>[1]Data2025!F299</f>
        <v>03/03/2025</v>
      </c>
      <c r="G300" s="45" t="str">
        <f>[1]Data2025!H299</f>
        <v>03/03/2025</v>
      </c>
      <c r="H300" s="45" t="str">
        <f t="shared" si="14"/>
        <v>03/03/2025</v>
      </c>
      <c r="I300" s="47" t="str">
        <f>[1]Data2025!J299</f>
        <v>23/04/2025</v>
      </c>
      <c r="J300" s="48" t="str">
        <f>[1]Data2025!L299</f>
        <v>Materai 10.000</v>
      </c>
      <c r="K300" s="48" t="str">
        <f>[1]Data2025!M299</f>
        <v>Materai 10.000</v>
      </c>
      <c r="L300" s="49">
        <f>[1]Data2025!N299</f>
        <v>100</v>
      </c>
      <c r="M300" s="49" t="str">
        <f>[1]Data2025!O299</f>
        <v>buah</v>
      </c>
      <c r="N300" s="50">
        <f>[1]Data2025!P299</f>
        <v>12000</v>
      </c>
      <c r="O300" s="51">
        <f>[1]Data2025!Q299</f>
        <v>1200000</v>
      </c>
      <c r="P300" s="52" t="s">
        <v>43</v>
      </c>
      <c r="Q300" s="53" t="str">
        <f>VLOOKUP(K300,[1]Sheet1!$C$1:$D$101,2,)</f>
        <v>Materai 10.000 (Segi Empat dengan Ukuran 21 x 28,95 mm)</v>
      </c>
      <c r="R300" s="54">
        <v>2475000</v>
      </c>
      <c r="S300" s="55">
        <v>2541000</v>
      </c>
      <c r="T300" s="56">
        <f>[1]Data2025!T299</f>
        <v>0</v>
      </c>
      <c r="U300" s="57" t="s">
        <v>35</v>
      </c>
      <c r="V300" s="56" t="e">
        <f>[1]Data2025!V299</f>
        <v>#N/A</v>
      </c>
      <c r="W300" s="56" t="e">
        <f>[1]Data2025!X299</f>
        <v>#N/A</v>
      </c>
      <c r="X300" s="57" t="s">
        <v>78</v>
      </c>
      <c r="Y300" s="57" t="str">
        <f t="shared" si="15"/>
        <v>Alat Tulis Kantor (ATK)</v>
      </c>
      <c r="Z300" s="58" t="str">
        <f t="shared" si="16"/>
        <v>Alat Tulis Kantor (ATK)</v>
      </c>
      <c r="AA300" s="59" t="s">
        <v>77</v>
      </c>
      <c r="AB300" s="60">
        <v>75000</v>
      </c>
      <c r="AC300" s="60">
        <v>2475000</v>
      </c>
      <c r="AD300" s="54">
        <v>2475000</v>
      </c>
      <c r="AE300" s="61">
        <v>2229729.7297297297</v>
      </c>
      <c r="AF300" s="61">
        <v>2475000</v>
      </c>
      <c r="AG300" s="62" t="s">
        <v>38</v>
      </c>
      <c r="AH300" s="63" t="e">
        <f>[1]Data2025!W299</f>
        <v>#N/A</v>
      </c>
      <c r="AI300" s="92"/>
      <c r="AJ300" s="92"/>
    </row>
    <row r="301" spans="1:36" ht="16.5" thickTop="1" thickBot="1">
      <c r="A301" s="41">
        <f>[1]Data2025!G300</f>
        <v>98</v>
      </c>
      <c r="B301" s="42" t="e">
        <f>[1]Data2025!K300</f>
        <v>#N/A</v>
      </c>
      <c r="C301" s="43" t="str">
        <f>[1]Data2025!D300</f>
        <v>06. 05. 08.</v>
      </c>
      <c r="D301" s="44" t="str">
        <f>[1]Data2025!C300</f>
        <v>5.1.02.01.01.0026</v>
      </c>
      <c r="E301" s="45">
        <f>[1]Data2025!E300</f>
        <v>45717</v>
      </c>
      <c r="F301" s="46" t="str">
        <f>[1]Data2025!F300</f>
        <v>03/03/2025</v>
      </c>
      <c r="G301" s="45" t="str">
        <f>[1]Data2025!H300</f>
        <v>03/03/2025</v>
      </c>
      <c r="H301" s="45" t="str">
        <f t="shared" si="14"/>
        <v>03/03/2025</v>
      </c>
      <c r="I301" s="47" t="str">
        <f>[1]Data2025!J300</f>
        <v>23/04/2025</v>
      </c>
      <c r="J301" s="48" t="str">
        <f>[1]Data2025!L300</f>
        <v>Foto Copy Filio dan Kuarto</v>
      </c>
      <c r="K301" s="48" t="str">
        <f>[1]Data2025!M300</f>
        <v>Foto Copy Filio dan Kuarto</v>
      </c>
      <c r="L301" s="49">
        <f>[1]Data2025!N300</f>
        <v>4500</v>
      </c>
      <c r="M301" s="49" t="str">
        <f>[1]Data2025!O300</f>
        <v>lembar</v>
      </c>
      <c r="N301" s="50">
        <f>[1]Data2025!P300</f>
        <v>350</v>
      </c>
      <c r="O301" s="51">
        <f>[1]Data2025!Q300</f>
        <v>1575000</v>
      </c>
      <c r="P301" s="52" t="s">
        <v>43</v>
      </c>
      <c r="Q301" s="53" t="str">
        <f>VLOOKUP(K301,[1]Sheet1!$C$1:$D$101,2,)</f>
        <v>Kertas HVS 70 gram Sinar Dunia A4, Ukuran : 8,27" x 11,69"</v>
      </c>
      <c r="R301" s="54">
        <v>2100000</v>
      </c>
      <c r="S301" s="55">
        <v>2156000</v>
      </c>
      <c r="T301" s="56">
        <f>[1]Data2025!T300</f>
        <v>0</v>
      </c>
      <c r="U301" s="57" t="s">
        <v>35</v>
      </c>
      <c r="V301" s="56" t="e">
        <f>[1]Data2025!V300</f>
        <v>#N/A</v>
      </c>
      <c r="W301" s="56" t="e">
        <f>[1]Data2025!X300</f>
        <v>#N/A</v>
      </c>
      <c r="X301" s="57" t="s">
        <v>78</v>
      </c>
      <c r="Y301" s="57" t="str">
        <f t="shared" si="15"/>
        <v>Alat Tulis Kantor (ATK)</v>
      </c>
      <c r="Z301" s="58" t="str">
        <f t="shared" si="16"/>
        <v>Alat Tulis Kantor (ATK)</v>
      </c>
      <c r="AA301" s="59" t="s">
        <v>77</v>
      </c>
      <c r="AB301" s="60">
        <v>75000</v>
      </c>
      <c r="AC301" s="60">
        <v>2100000</v>
      </c>
      <c r="AD301" s="54">
        <v>2100000</v>
      </c>
      <c r="AE301" s="61">
        <v>1891891.8918918918</v>
      </c>
      <c r="AF301" s="61">
        <v>2100000</v>
      </c>
      <c r="AG301" s="62" t="s">
        <v>38</v>
      </c>
      <c r="AH301" s="63" t="e">
        <f>[1]Data2025!W300</f>
        <v>#N/A</v>
      </c>
    </row>
    <row r="302" spans="1:36" ht="16.5" thickTop="1" thickBot="1">
      <c r="A302" s="41">
        <f>[1]Data2025!G301</f>
        <v>99</v>
      </c>
      <c r="B302" s="42" t="e">
        <f>[1]Data2025!K301</f>
        <v>#N/A</v>
      </c>
      <c r="C302" s="43" t="str">
        <f>[1]Data2025!D301</f>
        <v>06. 05. 09.</v>
      </c>
      <c r="D302" s="44" t="str">
        <f>[1]Data2025!C301</f>
        <v>5.1.02.01.01.0030</v>
      </c>
      <c r="E302" s="45">
        <f>[1]Data2025!E301</f>
        <v>45717</v>
      </c>
      <c r="F302" s="46" t="str">
        <f>[1]Data2025!F301</f>
        <v>03/03/2025</v>
      </c>
      <c r="G302" s="45" t="str">
        <f>[1]Data2025!H301</f>
        <v>03/03/2025</v>
      </c>
      <c r="H302" s="45" t="str">
        <f t="shared" si="14"/>
        <v>03/03/2025</v>
      </c>
      <c r="I302" s="47" t="str">
        <f>[1]Data2025!J301</f>
        <v>23/04/2025</v>
      </c>
      <c r="J302" s="48" t="str">
        <f>[1]Data2025!L301</f>
        <v>Tisu--</v>
      </c>
      <c r="K302" s="48" t="str">
        <f>[1]Data2025!M301</f>
        <v>Tisu--</v>
      </c>
      <c r="L302" s="49">
        <f>[1]Data2025!N301</f>
        <v>12</v>
      </c>
      <c r="M302" s="49" t="str">
        <f>[1]Data2025!O301</f>
        <v>buah</v>
      </c>
      <c r="N302" s="50">
        <f>[1]Data2025!P301</f>
        <v>12500</v>
      </c>
      <c r="O302" s="51">
        <f>[1]Data2025!Q301</f>
        <v>150000</v>
      </c>
      <c r="P302" s="52" t="s">
        <v>43</v>
      </c>
      <c r="Q302" s="53" t="str">
        <f>VLOOKUP(K302,[1]Sheet1!$C$1:$D$101,2,)</f>
        <v>Tissue (Merk JOLLY 250 Sheets 2 Ply, Berat Volume = 285 gr)</v>
      </c>
      <c r="R302" s="54">
        <v>2475000</v>
      </c>
      <c r="S302" s="55">
        <v>2541000</v>
      </c>
      <c r="T302" s="56">
        <f>[1]Data2025!T301</f>
        <v>0</v>
      </c>
      <c r="U302" s="57" t="s">
        <v>35</v>
      </c>
      <c r="V302" s="56" t="e">
        <f>[1]Data2025!V301</f>
        <v>#N/A</v>
      </c>
      <c r="W302" s="56" t="e">
        <f>[1]Data2025!X301</f>
        <v>#N/A</v>
      </c>
      <c r="X302" s="57" t="s">
        <v>78</v>
      </c>
      <c r="Y302" s="57" t="str">
        <f t="shared" si="15"/>
        <v>Alat Tulis Kantor (ATK)</v>
      </c>
      <c r="Z302" s="58" t="str">
        <f t="shared" si="16"/>
        <v>Alat Tulis Kantor (ATK)</v>
      </c>
      <c r="AA302" s="59" t="s">
        <v>77</v>
      </c>
      <c r="AB302" s="60">
        <v>75000</v>
      </c>
      <c r="AC302" s="60">
        <v>2475000</v>
      </c>
      <c r="AD302" s="54">
        <v>2475000</v>
      </c>
      <c r="AE302" s="61">
        <v>2229729.7297297297</v>
      </c>
      <c r="AF302" s="61">
        <v>2475000</v>
      </c>
      <c r="AG302" s="62" t="s">
        <v>38</v>
      </c>
      <c r="AH302" s="63" t="e">
        <f>[1]Data2025!W301</f>
        <v>#N/A</v>
      </c>
      <c r="AI302" s="92"/>
      <c r="AJ302" s="92"/>
    </row>
    <row r="303" spans="1:36" ht="16.5" thickTop="1" thickBot="1">
      <c r="A303" s="41">
        <f>[1]Data2025!G302</f>
        <v>99</v>
      </c>
      <c r="B303" s="42" t="e">
        <f>[1]Data2025!K302</f>
        <v>#N/A</v>
      </c>
      <c r="C303" s="43" t="str">
        <f>[1]Data2025!D302</f>
        <v>06. 05. 09.</v>
      </c>
      <c r="D303" s="44" t="str">
        <f>[1]Data2025!C302</f>
        <v>5.1.02.01.01.0030</v>
      </c>
      <c r="E303" s="45">
        <f>[1]Data2025!E302</f>
        <v>45717</v>
      </c>
      <c r="F303" s="46" t="str">
        <f>[1]Data2025!F302</f>
        <v>03/03/2025</v>
      </c>
      <c r="G303" s="45" t="str">
        <f>[1]Data2025!H302</f>
        <v>03/03/2025</v>
      </c>
      <c r="H303" s="45" t="str">
        <f t="shared" si="14"/>
        <v>03/03/2025</v>
      </c>
      <c r="I303" s="47" t="str">
        <f>[1]Data2025!J302</f>
        <v>23/04/2025</v>
      </c>
      <c r="J303" s="48" t="str">
        <f>[1]Data2025!L302</f>
        <v>vixal 500ml</v>
      </c>
      <c r="K303" s="48" t="str">
        <f>[1]Data2025!M302</f>
        <v>vixal 500ml</v>
      </c>
      <c r="L303" s="49">
        <f>[1]Data2025!N302</f>
        <v>10</v>
      </c>
      <c r="M303" s="49" t="str">
        <f>[1]Data2025!O302</f>
        <v>botol</v>
      </c>
      <c r="N303" s="50">
        <f>[1]Data2025!P302</f>
        <v>30000</v>
      </c>
      <c r="O303" s="51">
        <f>[1]Data2025!Q302</f>
        <v>300000</v>
      </c>
      <c r="P303" s="52" t="s">
        <v>54</v>
      </c>
      <c r="Q303" s="53" t="str">
        <f>VLOOKUP(K303,[1]Sheet1!$C$1:$D$101,2,)</f>
        <v>Pembersih Lantai (Merk vixal, Kemasan Botol, isi  500ml)</v>
      </c>
      <c r="R303" s="54">
        <v>2000000</v>
      </c>
      <c r="S303" s="55">
        <v>2002000</v>
      </c>
      <c r="T303" s="56">
        <f>[1]Data2025!T302</f>
        <v>0</v>
      </c>
      <c r="U303" s="57" t="s">
        <v>35</v>
      </c>
      <c r="V303" s="56" t="e">
        <f>[1]Data2025!V302</f>
        <v>#N/A</v>
      </c>
      <c r="W303" s="56" t="e">
        <f>[1]Data2025!X302</f>
        <v>#N/A</v>
      </c>
      <c r="X303" s="57" t="s">
        <v>78</v>
      </c>
      <c r="Y303" s="57" t="str">
        <f t="shared" si="15"/>
        <v>Alat Kebersihan</v>
      </c>
      <c r="Z303" s="58" t="str">
        <f t="shared" si="16"/>
        <v>Alat Kebersihan</v>
      </c>
      <c r="AA303" s="59" t="s">
        <v>73</v>
      </c>
      <c r="AB303" s="60">
        <v>2000000</v>
      </c>
      <c r="AC303" s="60">
        <v>2000000</v>
      </c>
      <c r="AD303" s="54">
        <v>2000000</v>
      </c>
      <c r="AE303" s="61">
        <v>1801801.8018018019</v>
      </c>
      <c r="AF303" s="61">
        <v>2000000</v>
      </c>
      <c r="AG303" s="62" t="s">
        <v>38</v>
      </c>
      <c r="AH303" s="63" t="e">
        <f>[1]Data2025!W302</f>
        <v>#N/A</v>
      </c>
    </row>
    <row r="304" spans="1:36" ht="26" thickTop="1" thickBot="1">
      <c r="A304" s="41">
        <f>[1]Data2025!G303</f>
        <v>99</v>
      </c>
      <c r="B304" s="42" t="e">
        <f>[1]Data2025!K303</f>
        <v>#N/A</v>
      </c>
      <c r="C304" s="43" t="str">
        <f>[1]Data2025!D303</f>
        <v>06. 05. 09.</v>
      </c>
      <c r="D304" s="44" t="str">
        <f>[1]Data2025!C303</f>
        <v>5.1.02.01.01.0030</v>
      </c>
      <c r="E304" s="45">
        <f>[1]Data2025!E303</f>
        <v>45717</v>
      </c>
      <c r="F304" s="46" t="str">
        <f>[1]Data2025!F303</f>
        <v>03/03/2025</v>
      </c>
      <c r="G304" s="45" t="str">
        <f>[1]Data2025!H303</f>
        <v>03/03/2025</v>
      </c>
      <c r="H304" s="45" t="str">
        <f t="shared" si="14"/>
        <v>03/03/2025</v>
      </c>
      <c r="I304" s="47" t="str">
        <f>[1]Data2025!J303</f>
        <v>23/04/2025</v>
      </c>
      <c r="J304" s="48" t="str">
        <f>[1]Data2025!L303</f>
        <v>Perlengkapan Kebersihan Pembersih Lantai Super Pel Varian 800ml</v>
      </c>
      <c r="K304" s="48" t="str">
        <f>J304</f>
        <v>Perlengkapan Kebersihan Pembersih Lantai Super Pel Varian 800ml</v>
      </c>
      <c r="L304" s="49">
        <f>[1]Data2025!N303</f>
        <v>15</v>
      </c>
      <c r="M304" s="49" t="str">
        <f>[1]Data2025!O303</f>
        <v>buah</v>
      </c>
      <c r="N304" s="50">
        <f>[1]Data2025!P303</f>
        <v>13500</v>
      </c>
      <c r="O304" s="51">
        <f>[1]Data2025!Q303</f>
        <v>202500</v>
      </c>
      <c r="P304" s="52" t="s">
        <v>54</v>
      </c>
      <c r="Q304" s="53" t="str">
        <f>VLOOKUP(K304,[1]Sheet1!$C$1:$D$101,2,)</f>
        <v>Super Pel (Merek: Super Pel, Varian 800ml/Refill)</v>
      </c>
      <c r="R304" s="54">
        <v>2000000</v>
      </c>
      <c r="S304" s="55">
        <v>2002000</v>
      </c>
      <c r="T304" s="56">
        <f>[1]Data2025!T303</f>
        <v>0</v>
      </c>
      <c r="U304" s="57" t="s">
        <v>35</v>
      </c>
      <c r="V304" s="56" t="e">
        <f>[1]Data2025!V303</f>
        <v>#N/A</v>
      </c>
      <c r="W304" s="56" t="e">
        <f>[1]Data2025!X303</f>
        <v>#N/A</v>
      </c>
      <c r="X304" s="57" t="s">
        <v>78</v>
      </c>
      <c r="Y304" s="57" t="str">
        <f t="shared" si="15"/>
        <v>Alat Kebersihan</v>
      </c>
      <c r="Z304" s="58" t="str">
        <f t="shared" si="16"/>
        <v>Alat Kebersihan</v>
      </c>
      <c r="AA304" s="59" t="s">
        <v>73</v>
      </c>
      <c r="AB304" s="60">
        <v>2000000</v>
      </c>
      <c r="AC304" s="60">
        <v>2000000</v>
      </c>
      <c r="AD304" s="54">
        <v>2000000</v>
      </c>
      <c r="AE304" s="61">
        <v>1801801.8018018019</v>
      </c>
      <c r="AF304" s="61">
        <v>2000000</v>
      </c>
      <c r="AG304" s="62" t="s">
        <v>38</v>
      </c>
      <c r="AH304" s="63" t="e">
        <f>[1]Data2025!W303</f>
        <v>#N/A</v>
      </c>
      <c r="AI304" s="92"/>
      <c r="AJ304" s="92"/>
    </row>
    <row r="305" spans="1:36" ht="16.5" thickTop="1" thickBot="1">
      <c r="A305" s="41">
        <f>[1]Data2025!G304</f>
        <v>99</v>
      </c>
      <c r="B305" s="42" t="e">
        <f>[1]Data2025!K304</f>
        <v>#N/A</v>
      </c>
      <c r="C305" s="43" t="str">
        <f>[1]Data2025!D304</f>
        <v>06. 05. 09.</v>
      </c>
      <c r="D305" s="44" t="str">
        <f>[1]Data2025!C304</f>
        <v>5.1.02.01.01.0030</v>
      </c>
      <c r="E305" s="45">
        <f>[1]Data2025!E304</f>
        <v>45717</v>
      </c>
      <c r="F305" s="46" t="str">
        <f>[1]Data2025!F304</f>
        <v>03/03/2025</v>
      </c>
      <c r="G305" s="45" t="str">
        <f>[1]Data2025!H304</f>
        <v>03/03/2025</v>
      </c>
      <c r="H305" s="45" t="str">
        <f t="shared" si="14"/>
        <v>03/03/2025</v>
      </c>
      <c r="I305" s="47" t="str">
        <f>[1]Data2025!J304</f>
        <v>23/04/2025</v>
      </c>
      <c r="J305" s="48" t="str">
        <f>[1]Data2025!L304</f>
        <v>Cairan Pembersih Kaca</v>
      </c>
      <c r="K305" s="48" t="str">
        <f t="shared" ref="K305:K310" si="17">J305</f>
        <v>Cairan Pembersih Kaca</v>
      </c>
      <c r="L305" s="49">
        <f>[1]Data2025!N304</f>
        <v>5</v>
      </c>
      <c r="M305" s="49" t="str">
        <f>[1]Data2025!O304</f>
        <v>buah</v>
      </c>
      <c r="N305" s="50">
        <f>[1]Data2025!P304</f>
        <v>12000</v>
      </c>
      <c r="O305" s="51">
        <f>[1]Data2025!Q304</f>
        <v>60000</v>
      </c>
      <c r="P305" s="52" t="s">
        <v>54</v>
      </c>
      <c r="Q305" s="53" t="str">
        <f>VLOOKUP(K305,[1]Sheet1!$C$1:$D$101,2,)</f>
        <v>Cling (Merek: Cling, Varian: Ocean Fresh 425 ml)</v>
      </c>
      <c r="R305" s="54">
        <v>2000000</v>
      </c>
      <c r="S305" s="55">
        <v>2002000</v>
      </c>
      <c r="T305" s="56">
        <f>[1]Data2025!T304</f>
        <v>0</v>
      </c>
      <c r="U305" s="57" t="s">
        <v>35</v>
      </c>
      <c r="V305" s="56" t="e">
        <f>[1]Data2025!V304</f>
        <v>#N/A</v>
      </c>
      <c r="W305" s="56" t="e">
        <f>[1]Data2025!X304</f>
        <v>#N/A</v>
      </c>
      <c r="X305" s="57" t="s">
        <v>78</v>
      </c>
      <c r="Y305" s="57" t="str">
        <f t="shared" si="15"/>
        <v>Alat Kebersihan</v>
      </c>
      <c r="Z305" s="58" t="str">
        <f t="shared" si="16"/>
        <v>Alat Kebersihan</v>
      </c>
      <c r="AA305" s="59" t="s">
        <v>73</v>
      </c>
      <c r="AB305" s="60">
        <v>2000000</v>
      </c>
      <c r="AC305" s="60">
        <v>2000000</v>
      </c>
      <c r="AD305" s="54">
        <v>2000000</v>
      </c>
      <c r="AE305" s="61">
        <v>1801801.8018018019</v>
      </c>
      <c r="AF305" s="61">
        <v>2000000</v>
      </c>
      <c r="AG305" s="62" t="s">
        <v>38</v>
      </c>
      <c r="AH305" s="63" t="e">
        <f>[1]Data2025!W304</f>
        <v>#N/A</v>
      </c>
    </row>
    <row r="306" spans="1:36" ht="26" thickTop="1" thickBot="1">
      <c r="A306" s="41">
        <f>[1]Data2025!G305</f>
        <v>99</v>
      </c>
      <c r="B306" s="42" t="e">
        <f>[1]Data2025!K305</f>
        <v>#N/A</v>
      </c>
      <c r="C306" s="43" t="str">
        <f>[1]Data2025!D305</f>
        <v>06. 05. 09.</v>
      </c>
      <c r="D306" s="44" t="str">
        <f>[1]Data2025!C305</f>
        <v>5.1.02.01.01.0030</v>
      </c>
      <c r="E306" s="45">
        <f>[1]Data2025!E305</f>
        <v>45717</v>
      </c>
      <c r="F306" s="46" t="str">
        <f>[1]Data2025!F305</f>
        <v>03/03/2025</v>
      </c>
      <c r="G306" s="45" t="str">
        <f>[1]Data2025!H305</f>
        <v>03/03/2025</v>
      </c>
      <c r="H306" s="45" t="str">
        <f t="shared" si="14"/>
        <v>03/03/2025</v>
      </c>
      <c r="I306" s="47" t="str">
        <f>[1]Data2025!J305</f>
        <v>23/04/2025</v>
      </c>
      <c r="J306" s="48" t="str">
        <f>[1]Data2025!L305</f>
        <v>Perlengkapan Kebersihan Pembersih Pakaian Sunlight Refil 800ml</v>
      </c>
      <c r="K306" s="48" t="str">
        <f t="shared" si="17"/>
        <v>Perlengkapan Kebersihan Pembersih Pakaian Sunlight Refil 800ml</v>
      </c>
      <c r="L306" s="49">
        <f>[1]Data2025!N305</f>
        <v>3</v>
      </c>
      <c r="M306" s="49" t="str">
        <f>[1]Data2025!O305</f>
        <v>buah</v>
      </c>
      <c r="N306" s="50">
        <f>[1]Data2025!P305</f>
        <v>15000</v>
      </c>
      <c r="O306" s="51">
        <f>[1]Data2025!Q305</f>
        <v>45000</v>
      </c>
      <c r="P306" s="52" t="s">
        <v>54</v>
      </c>
      <c r="Q306" s="53" t="str">
        <f>VLOOKUP(K306,[1]Sheet1!$C$1:$D$101,2,)</f>
        <v>Sunlight (Merk: Sunlight, Varian 800ml/Refill)</v>
      </c>
      <c r="R306" s="54">
        <v>2000000</v>
      </c>
      <c r="S306" s="55">
        <v>2002000</v>
      </c>
      <c r="T306" s="56">
        <f>[1]Data2025!T305</f>
        <v>0</v>
      </c>
      <c r="U306" s="57" t="s">
        <v>35</v>
      </c>
      <c r="V306" s="56" t="e">
        <f>[1]Data2025!V305</f>
        <v>#N/A</v>
      </c>
      <c r="W306" s="56" t="e">
        <f>[1]Data2025!X305</f>
        <v>#N/A</v>
      </c>
      <c r="X306" s="57" t="s">
        <v>78</v>
      </c>
      <c r="Y306" s="57" t="str">
        <f t="shared" si="15"/>
        <v>Alat Kebersihan</v>
      </c>
      <c r="Z306" s="58" t="str">
        <f t="shared" si="16"/>
        <v>Alat Kebersihan</v>
      </c>
      <c r="AA306" s="59" t="s">
        <v>73</v>
      </c>
      <c r="AB306" s="60">
        <v>2000000</v>
      </c>
      <c r="AC306" s="60">
        <v>2000000</v>
      </c>
      <c r="AD306" s="54">
        <v>2000000</v>
      </c>
      <c r="AE306" s="61">
        <v>1801801.8018018019</v>
      </c>
      <c r="AF306" s="61">
        <v>2000000</v>
      </c>
      <c r="AG306" s="62" t="s">
        <v>38</v>
      </c>
      <c r="AH306" s="63" t="e">
        <f>[1]Data2025!W305</f>
        <v>#N/A</v>
      </c>
      <c r="AI306" s="92"/>
      <c r="AJ306" s="92"/>
    </row>
    <row r="307" spans="1:36" ht="15" customHeight="1" thickTop="1" thickBot="1">
      <c r="A307" s="41">
        <f>[1]Data2025!G306</f>
        <v>99</v>
      </c>
      <c r="B307" s="42" t="e">
        <f>[1]Data2025!K306</f>
        <v>#N/A</v>
      </c>
      <c r="C307" s="43" t="str">
        <f>[1]Data2025!D306</f>
        <v>06. 05. 09.</v>
      </c>
      <c r="D307" s="44" t="str">
        <f>[1]Data2025!C306</f>
        <v>5.1.02.01.01.0030</v>
      </c>
      <c r="E307" s="45">
        <f>[1]Data2025!E306</f>
        <v>45717</v>
      </c>
      <c r="F307" s="46" t="str">
        <f>[1]Data2025!F306</f>
        <v>03/03/2025</v>
      </c>
      <c r="G307" s="45" t="str">
        <f>[1]Data2025!H306</f>
        <v>03/03/2025</v>
      </c>
      <c r="H307" s="45" t="str">
        <f t="shared" si="14"/>
        <v>03/03/2025</v>
      </c>
      <c r="I307" s="47" t="str">
        <f>[1]Data2025!J306</f>
        <v>23/04/2025</v>
      </c>
      <c r="J307" s="48" t="str">
        <f>[1]Data2025!L306</f>
        <v>Spon Cuci</v>
      </c>
      <c r="K307" s="48" t="str">
        <f t="shared" si="17"/>
        <v>Spon Cuci</v>
      </c>
      <c r="L307" s="49">
        <f>[1]Data2025!N306</f>
        <v>5</v>
      </c>
      <c r="M307" s="49" t="str">
        <f>[1]Data2025!O306</f>
        <v>buah</v>
      </c>
      <c r="N307" s="50">
        <f>[1]Data2025!P306</f>
        <v>12000</v>
      </c>
      <c r="O307" s="51">
        <f>[1]Data2025!Q306</f>
        <v>60000</v>
      </c>
      <c r="P307" s="52" t="s">
        <v>54</v>
      </c>
      <c r="Q307" s="53" t="str">
        <f>VLOOKUP(K307,[1]Sheet1!$C$1:$D$101,2,)</f>
        <v>Spon Cuci (ukuran tebal 3 cm, panjang 7cm x 9cm)</v>
      </c>
      <c r="R307" s="54">
        <v>2000000</v>
      </c>
      <c r="S307" s="55">
        <v>2002000</v>
      </c>
      <c r="T307" s="56">
        <f>[1]Data2025!T306</f>
        <v>0</v>
      </c>
      <c r="U307" s="57" t="s">
        <v>35</v>
      </c>
      <c r="V307" s="56" t="e">
        <f>[1]Data2025!V306</f>
        <v>#N/A</v>
      </c>
      <c r="W307" s="56" t="e">
        <f>[1]Data2025!X306</f>
        <v>#N/A</v>
      </c>
      <c r="X307" s="57" t="s">
        <v>78</v>
      </c>
      <c r="Y307" s="57" t="str">
        <f t="shared" si="15"/>
        <v>Alat Kebersihan</v>
      </c>
      <c r="Z307" s="58" t="str">
        <f t="shared" si="16"/>
        <v>Alat Kebersihan</v>
      </c>
      <c r="AA307" s="59" t="s">
        <v>73</v>
      </c>
      <c r="AB307" s="60">
        <v>2000000</v>
      </c>
      <c r="AC307" s="60">
        <v>2000000</v>
      </c>
      <c r="AD307" s="54">
        <v>2000000</v>
      </c>
      <c r="AE307" s="61">
        <v>1801801.8018018019</v>
      </c>
      <c r="AF307" s="61">
        <v>2000000</v>
      </c>
      <c r="AG307" s="62" t="s">
        <v>38</v>
      </c>
      <c r="AH307" s="63" t="e">
        <f>[1]Data2025!W306</f>
        <v>#N/A</v>
      </c>
    </row>
    <row r="308" spans="1:36" ht="16.5" thickTop="1" thickBot="1">
      <c r="A308" s="41">
        <f>[1]Data2025!G307</f>
        <v>99</v>
      </c>
      <c r="B308" s="42" t="e">
        <f>[1]Data2025!K307</f>
        <v>#N/A</v>
      </c>
      <c r="C308" s="43" t="str">
        <f>[1]Data2025!D307</f>
        <v>06. 05. 09.</v>
      </c>
      <c r="D308" s="44" t="str">
        <f>[1]Data2025!C307</f>
        <v>5.1.02.01.01.0030</v>
      </c>
      <c r="E308" s="45">
        <f>[1]Data2025!E307</f>
        <v>45717</v>
      </c>
      <c r="F308" s="46" t="str">
        <f>[1]Data2025!F307</f>
        <v>03/03/2025</v>
      </c>
      <c r="G308" s="45" t="str">
        <f>[1]Data2025!H307</f>
        <v>03/03/2025</v>
      </c>
      <c r="H308" s="45" t="str">
        <f t="shared" si="14"/>
        <v>03/03/2025</v>
      </c>
      <c r="I308" s="47" t="str">
        <f>[1]Data2025!J307</f>
        <v>23/04/2025</v>
      </c>
      <c r="J308" s="48" t="str">
        <f>[1]Data2025!L307</f>
        <v>Handsoap/Pencuci Tangan</v>
      </c>
      <c r="K308" s="48" t="str">
        <f t="shared" si="17"/>
        <v>Handsoap/Pencuci Tangan</v>
      </c>
      <c r="L308" s="49">
        <f>[1]Data2025!N307</f>
        <v>5</v>
      </c>
      <c r="M308" s="49" t="str">
        <f>[1]Data2025!O307</f>
        <v>botol</v>
      </c>
      <c r="N308" s="50">
        <f>[1]Data2025!P307</f>
        <v>67000</v>
      </c>
      <c r="O308" s="51">
        <f>[1]Data2025!Q307</f>
        <v>335000</v>
      </c>
      <c r="P308" s="52" t="s">
        <v>54</v>
      </c>
      <c r="Q308" s="53" t="str">
        <f>VLOOKUP(K308,[1]Sheet1!$C$1:$D$101,2,)</f>
        <v>Handsoap/Pencuci Tangan (Antibacterial Hand Soap - 250ml, ekstrak aloevera)</v>
      </c>
      <c r="R308" s="54">
        <v>1000000</v>
      </c>
      <c r="S308" s="55">
        <v>1002000</v>
      </c>
      <c r="T308" s="56">
        <f>[1]Data2025!T307</f>
        <v>0</v>
      </c>
      <c r="U308" s="57" t="s">
        <v>35</v>
      </c>
      <c r="V308" s="56" t="e">
        <f>[1]Data2025!V307</f>
        <v>#N/A</v>
      </c>
      <c r="W308" s="56" t="e">
        <f>[1]Data2025!X307</f>
        <v>#N/A</v>
      </c>
      <c r="X308" s="57" t="s">
        <v>78</v>
      </c>
      <c r="Y308" s="57" t="str">
        <f t="shared" si="15"/>
        <v>Alat Kebersihan</v>
      </c>
      <c r="Z308" s="58" t="str">
        <f t="shared" si="16"/>
        <v>Alat Kebersihan</v>
      </c>
      <c r="AA308" s="59" t="s">
        <v>73</v>
      </c>
      <c r="AB308" s="60">
        <v>1000000</v>
      </c>
      <c r="AC308" s="60">
        <v>1000000</v>
      </c>
      <c r="AD308" s="54">
        <v>1000000</v>
      </c>
      <c r="AE308" s="61">
        <v>900900.90090090095</v>
      </c>
      <c r="AF308" s="61">
        <v>1000000</v>
      </c>
      <c r="AG308" s="62" t="s">
        <v>38</v>
      </c>
      <c r="AH308" s="63" t="e">
        <f>[1]Data2025!W307</f>
        <v>#N/A</v>
      </c>
      <c r="AI308" s="92"/>
      <c r="AJ308" s="92"/>
    </row>
    <row r="309" spans="1:36" ht="30" thickTop="1" thickBot="1">
      <c r="A309" s="41">
        <f>[1]Data2025!G308</f>
        <v>99</v>
      </c>
      <c r="B309" s="42" t="e">
        <f>[1]Data2025!K308</f>
        <v>#N/A</v>
      </c>
      <c r="C309" s="43" t="str">
        <f>[1]Data2025!D308</f>
        <v>06. 05. 09.</v>
      </c>
      <c r="D309" s="44" t="str">
        <f>[1]Data2025!C308</f>
        <v>5.1.02.01.01.0030</v>
      </c>
      <c r="E309" s="45">
        <f>[1]Data2025!E308</f>
        <v>45717</v>
      </c>
      <c r="F309" s="46" t="str">
        <f>[1]Data2025!F308</f>
        <v>03/03/2025</v>
      </c>
      <c r="G309" s="45" t="str">
        <f>[1]Data2025!H308</f>
        <v>03/03/2025</v>
      </c>
      <c r="H309" s="45" t="str">
        <f t="shared" si="14"/>
        <v>03/03/2025</v>
      </c>
      <c r="I309" s="47" t="str">
        <f>[1]Data2025!J308</f>
        <v>23/04/2025</v>
      </c>
      <c r="J309" s="48" t="str">
        <f>[1]Data2025!L308</f>
        <v>Pengharum Ruangan</v>
      </c>
      <c r="K309" s="48" t="str">
        <f t="shared" si="17"/>
        <v>Pengharum Ruangan</v>
      </c>
      <c r="L309" s="49">
        <f>[1]Data2025!N308</f>
        <v>10</v>
      </c>
      <c r="M309" s="49" t="str">
        <f>[1]Data2025!O308</f>
        <v>buah</v>
      </c>
      <c r="N309" s="50">
        <f>[1]Data2025!P308</f>
        <v>12100</v>
      </c>
      <c r="O309" s="51">
        <f>[1]Data2025!Q308</f>
        <v>121000</v>
      </c>
      <c r="P309" s="52" t="s">
        <v>54</v>
      </c>
      <c r="Q309" s="53" t="str">
        <f>VLOOKUP(K309,[1]Sheet1!$C$1:$D$101,2,)</f>
        <v>Pengharum Ruangan (Stella Pengharum Ruangan Gantung Lavender 42 g)</v>
      </c>
      <c r="R309" s="54">
        <v>600000</v>
      </c>
      <c r="S309" s="55">
        <v>604000</v>
      </c>
      <c r="T309" s="56">
        <f>[1]Data2025!T308</f>
        <v>0</v>
      </c>
      <c r="U309" s="57" t="s">
        <v>68</v>
      </c>
      <c r="V309" s="56" t="e">
        <f>[1]Data2025!V308</f>
        <v>#N/A</v>
      </c>
      <c r="W309" s="56" t="e">
        <f>[1]Data2025!X308</f>
        <v>#N/A</v>
      </c>
      <c r="X309" s="93" t="s">
        <v>36</v>
      </c>
      <c r="Y309" s="57" t="str">
        <f t="shared" si="15"/>
        <v>Alat Kebersihan</v>
      </c>
      <c r="Z309" s="58" t="str">
        <f t="shared" si="16"/>
        <v>Alat Kebersihan</v>
      </c>
      <c r="AA309" s="59" t="s">
        <v>42</v>
      </c>
      <c r="AB309" s="60">
        <v>300000</v>
      </c>
      <c r="AC309" s="60">
        <v>600000</v>
      </c>
      <c r="AD309" s="54">
        <v>600000</v>
      </c>
      <c r="AE309" s="61">
        <v>540540.54054054059</v>
      </c>
      <c r="AF309" s="61">
        <v>600000</v>
      </c>
      <c r="AG309" s="62" t="s">
        <v>38</v>
      </c>
      <c r="AH309" s="63" t="e">
        <f>[1]Data2025!W308</f>
        <v>#N/A</v>
      </c>
    </row>
    <row r="310" spans="1:36" ht="16.5" thickTop="1" thickBot="1">
      <c r="A310" s="41">
        <f>[1]Data2025!G309</f>
        <v>99</v>
      </c>
      <c r="B310" s="42" t="e">
        <f>[1]Data2025!K309</f>
        <v>#N/A</v>
      </c>
      <c r="C310" s="43" t="str">
        <f>[1]Data2025!D309</f>
        <v>06. 05. 09.</v>
      </c>
      <c r="D310" s="44" t="str">
        <f>[1]Data2025!C309</f>
        <v>5.1.02.01.01.0030</v>
      </c>
      <c r="E310" s="45">
        <f>[1]Data2025!E309</f>
        <v>45717</v>
      </c>
      <c r="F310" s="46" t="str">
        <f>[1]Data2025!F309</f>
        <v>03/03/2025</v>
      </c>
      <c r="G310" s="45" t="str">
        <f>[1]Data2025!H309</f>
        <v>03/03/2025</v>
      </c>
      <c r="H310" s="45" t="str">
        <f t="shared" si="14"/>
        <v>03/03/2025</v>
      </c>
      <c r="I310" s="47" t="str">
        <f>[1]Data2025!J309</f>
        <v>23/04/2025</v>
      </c>
      <c r="J310" s="48" t="str">
        <f>[1]Data2025!L309</f>
        <v>Hand Sanitizer-Unit</v>
      </c>
      <c r="K310" s="48" t="str">
        <f t="shared" si="17"/>
        <v>Hand Sanitizer-Unit</v>
      </c>
      <c r="L310" s="49">
        <f>[1]Data2025!N309</f>
        <v>5</v>
      </c>
      <c r="M310" s="49" t="str">
        <f>[1]Data2025!O309</f>
        <v>unit</v>
      </c>
      <c r="N310" s="50">
        <f>[1]Data2025!P309</f>
        <v>70000</v>
      </c>
      <c r="O310" s="51">
        <f>[1]Data2025!Q309</f>
        <v>350000</v>
      </c>
      <c r="P310" s="52" t="s">
        <v>54</v>
      </c>
      <c r="Q310" s="53" t="str">
        <f>VLOOKUP(K310,[1]Sheet1!$C$1:$D$101,2,)</f>
        <v>Hand Sanitizer (Kemasan Botol 500ml)</v>
      </c>
      <c r="R310" s="54">
        <v>1250000</v>
      </c>
      <c r="S310" s="55">
        <v>1300000</v>
      </c>
      <c r="T310" s="56">
        <f>[1]Data2025!T309</f>
        <v>0</v>
      </c>
      <c r="U310" s="57" t="s">
        <v>60</v>
      </c>
      <c r="V310" s="56" t="e">
        <f>[1]Data2025!V309</f>
        <v>#N/A</v>
      </c>
      <c r="W310" s="56" t="e">
        <f>[1]Data2025!X309</f>
        <v>#N/A</v>
      </c>
      <c r="X310" s="57" t="s">
        <v>61</v>
      </c>
      <c r="Y310" s="57" t="str">
        <f t="shared" si="15"/>
        <v>Alat Kebersihan</v>
      </c>
      <c r="Z310" s="58" t="str">
        <f t="shared" si="16"/>
        <v>Alat Kebersihan</v>
      </c>
      <c r="AA310" s="59" t="s">
        <v>65</v>
      </c>
      <c r="AB310" s="60">
        <v>50000</v>
      </c>
      <c r="AC310" s="60">
        <v>1250000</v>
      </c>
      <c r="AD310" s="54">
        <v>1250000</v>
      </c>
      <c r="AE310" s="61">
        <v>1126126.1261261262</v>
      </c>
      <c r="AF310" s="61">
        <v>1250000</v>
      </c>
      <c r="AG310" s="62" t="s">
        <v>38</v>
      </c>
      <c r="AH310" s="63" t="e">
        <f>[1]Data2025!W309</f>
        <v>#N/A</v>
      </c>
    </row>
    <row r="311" spans="1:36" ht="16.5" thickTop="1" thickBot="1">
      <c r="A311" s="41">
        <f>[1]Data2025!G310</f>
        <v>112</v>
      </c>
      <c r="B311" s="42" t="str">
        <f>[1]Data2025!K310</f>
        <v>BPU50</v>
      </c>
      <c r="C311" s="43" t="str">
        <f>[1]Data2025!D310</f>
        <v>06. 07. 01.</v>
      </c>
      <c r="D311" s="44" t="str">
        <f>[1]Data2025!C310</f>
        <v>5.1.02.02.01.0061</v>
      </c>
      <c r="E311" s="45">
        <f>[1]Data2025!E310</f>
        <v>45734</v>
      </c>
      <c r="F311" s="46" t="str">
        <f>[1]Data2025!F310</f>
        <v>20/03/2025</v>
      </c>
      <c r="G311" s="45" t="str">
        <f>[1]Data2025!H310</f>
        <v>20/03/2025</v>
      </c>
      <c r="H311" s="45" t="str">
        <f t="shared" si="14"/>
        <v>20/03/2025</v>
      </c>
      <c r="I311" s="47" t="str">
        <f>[1]Data2025!J310</f>
        <v>20/03/2025</v>
      </c>
      <c r="J311" s="48" t="str">
        <f>[1]Data2025!L310</f>
        <v>Biaya Rekening Listrik--</v>
      </c>
      <c r="K311" s="48" t="str">
        <f>[1]Data2025!M310</f>
        <v>Langganan jasa Listrik</v>
      </c>
      <c r="L311" s="49">
        <f>[1]Data2025!N310</f>
        <v>1</v>
      </c>
      <c r="M311" s="49" t="str">
        <f>[1]Data2025!O310</f>
        <v>bulan</v>
      </c>
      <c r="N311" s="50">
        <f>[1]Data2025!P310</f>
        <v>2000000</v>
      </c>
      <c r="O311" s="51">
        <f>[1]Data2025!Q310</f>
        <v>2000000</v>
      </c>
      <c r="P311" s="52" t="s">
        <v>71</v>
      </c>
      <c r="Q311" s="53" t="e">
        <f>VLOOKUP(K311,[1]Sheet1!$C$1:$D$101,2,)</f>
        <v>#N/A</v>
      </c>
      <c r="R311" s="54">
        <v>1000000</v>
      </c>
      <c r="S311" s="55">
        <v>1002000</v>
      </c>
      <c r="T311" s="56">
        <f>[1]Data2025!T310</f>
        <v>0</v>
      </c>
      <c r="U311" s="57" t="s">
        <v>35</v>
      </c>
      <c r="V311" s="56" t="e">
        <f>[1]Data2025!V310</f>
        <v>#N/A</v>
      </c>
      <c r="W311" s="56" t="e">
        <f>[1]Data2025!X310</f>
        <v>#N/A</v>
      </c>
      <c r="X311" s="57" t="s">
        <v>78</v>
      </c>
      <c r="Y311" s="57" t="str">
        <f t="shared" si="15"/>
        <v>Jasa PLN</v>
      </c>
      <c r="Z311" s="58" t="str">
        <f t="shared" si="16"/>
        <v>Jasa PLN</v>
      </c>
      <c r="AA311" s="59" t="s">
        <v>73</v>
      </c>
      <c r="AB311" s="60">
        <v>1000000</v>
      </c>
      <c r="AC311" s="60">
        <v>1000000</v>
      </c>
      <c r="AD311" s="54">
        <v>1000000</v>
      </c>
      <c r="AE311" s="61">
        <v>900900.90090090095</v>
      </c>
      <c r="AF311" s="61">
        <v>1000000</v>
      </c>
      <c r="AG311" s="62" t="s">
        <v>38</v>
      </c>
      <c r="AH311" s="63" t="e">
        <f>[1]Data2025!W310</f>
        <v>#N/A</v>
      </c>
    </row>
    <row r="312" spans="1:36" ht="16.5" thickTop="1" thickBot="1">
      <c r="A312" s="41">
        <f>[1]Data2025!G311</f>
        <v>113</v>
      </c>
      <c r="B312" s="42" t="str">
        <f>[1]Data2025!K311</f>
        <v>BPU51</v>
      </c>
      <c r="C312" s="43" t="str">
        <f>[1]Data2025!D311</f>
        <v>06. 07. 05.</v>
      </c>
      <c r="D312" s="44" t="str">
        <f>[1]Data2025!C311</f>
        <v>5.1.02.02.01.0063</v>
      </c>
      <c r="E312" s="45">
        <f>[1]Data2025!E311</f>
        <v>45734</v>
      </c>
      <c r="F312" s="46" t="str">
        <f>[1]Data2025!F311</f>
        <v>20/03/2025</v>
      </c>
      <c r="G312" s="45" t="str">
        <f>[1]Data2025!H311</f>
        <v>20/03/2025</v>
      </c>
      <c r="H312" s="45" t="str">
        <f t="shared" si="14"/>
        <v>20/03/2025</v>
      </c>
      <c r="I312" s="47" t="str">
        <f>[1]Data2025!J311</f>
        <v>20/03/2025</v>
      </c>
      <c r="J312" s="48" t="str">
        <f>[1]Data2025!L311</f>
        <v>Biaya Langganan Internet--</v>
      </c>
      <c r="K312" s="48" t="str">
        <f>[1]Data2025!M311</f>
        <v>Langganan jasa Indihome</v>
      </c>
      <c r="L312" s="49">
        <f>[1]Data2025!N311</f>
        <v>1</v>
      </c>
      <c r="M312" s="49" t="str">
        <f>[1]Data2025!O311</f>
        <v>bulan</v>
      </c>
      <c r="N312" s="50">
        <f>[1]Data2025!P311</f>
        <v>1500000</v>
      </c>
      <c r="O312" s="51">
        <f>[1]Data2025!Q311</f>
        <v>1500000</v>
      </c>
      <c r="P312" s="52" t="s">
        <v>74</v>
      </c>
      <c r="Q312" s="53" t="e">
        <f>VLOOKUP(K312,[1]Sheet1!$C$1:$D$101,2,)</f>
        <v>#N/A</v>
      </c>
      <c r="R312" s="54">
        <v>180000</v>
      </c>
      <c r="S312" s="55">
        <v>1360000</v>
      </c>
      <c r="T312" s="56">
        <f>[1]Data2025!T311</f>
        <v>0</v>
      </c>
      <c r="U312" s="57" t="s">
        <v>60</v>
      </c>
      <c r="V312" s="56" t="e">
        <f>[1]Data2025!V311</f>
        <v>#N/A</v>
      </c>
      <c r="W312" s="56" t="e">
        <f>[1]Data2025!X311</f>
        <v>#N/A</v>
      </c>
      <c r="X312" s="57" t="s">
        <v>61</v>
      </c>
      <c r="Y312" s="57" t="str">
        <f t="shared" si="15"/>
        <v>Jasa Internet</v>
      </c>
      <c r="Z312" s="58" t="str">
        <f t="shared" si="16"/>
        <v>Jasa Internet</v>
      </c>
      <c r="AA312" s="59" t="s">
        <v>37</v>
      </c>
      <c r="AB312" s="60">
        <v>15000</v>
      </c>
      <c r="AC312" s="60">
        <v>1200000</v>
      </c>
      <c r="AD312" s="54">
        <v>180000</v>
      </c>
      <c r="AE312" s="61">
        <v>162162.16216216216</v>
      </c>
      <c r="AF312" s="61">
        <v>180000</v>
      </c>
      <c r="AG312" s="62" t="s">
        <v>38</v>
      </c>
      <c r="AH312" s="63" t="e">
        <f>[1]Data2025!W311</f>
        <v>#N/A</v>
      </c>
      <c r="AI312" s="92"/>
      <c r="AJ312" s="92"/>
    </row>
    <row r="313" spans="1:36" ht="16.5" thickTop="1" thickBot="1">
      <c r="A313" s="41">
        <f>[1]Data2025!G312</f>
        <v>115</v>
      </c>
      <c r="B313" s="42" t="str">
        <f>[1]Data2025!K312</f>
        <v>BNU38</v>
      </c>
      <c r="C313" s="43" t="str">
        <f>[1]Data2025!D312</f>
        <v>07. 12. 01.</v>
      </c>
      <c r="D313" s="44" t="str">
        <f>[1]Data2025!C312</f>
        <v>5.1.02.02.01.0013</v>
      </c>
      <c r="E313" s="45">
        <f>[1]Data2025!E312</f>
        <v>45735</v>
      </c>
      <c r="F313" s="46" t="str">
        <f>[1]Data2025!F312</f>
        <v>21/03/2025</v>
      </c>
      <c r="G313" s="45" t="str">
        <f>[1]Data2025!H312</f>
        <v>21/03/2025</v>
      </c>
      <c r="H313" s="45" t="str">
        <f t="shared" si="14"/>
        <v>21/03/2025</v>
      </c>
      <c r="I313" s="47" t="str">
        <f>[1]Data2025!J312</f>
        <v>21/03/2025</v>
      </c>
      <c r="J313" s="48" t="str">
        <f>[1]Data2025!L312</f>
        <v>Selatieli Nehe</v>
      </c>
      <c r="K313" s="48" t="str">
        <f>[1]Data2025!M312</f>
        <v>Gaji Guru Tidak Tetap Sekolah</v>
      </c>
      <c r="L313" s="49">
        <f>[1]Data2025!N312</f>
        <v>41</v>
      </c>
      <c r="M313" s="49" t="str">
        <f>[1]Data2025!O312</f>
        <v>jpl</v>
      </c>
      <c r="N313" s="50">
        <f>[1]Data2025!P312</f>
        <v>60000</v>
      </c>
      <c r="O313" s="51">
        <f>[1]Data2025!Q312</f>
        <v>2460000</v>
      </c>
      <c r="P313" s="52" t="s">
        <v>76</v>
      </c>
      <c r="Q313" s="53" t="e">
        <f>VLOOKUP(K313,[1]Sheet1!$C$1:$D$101,2,)</f>
        <v>#N/A</v>
      </c>
      <c r="R313" s="54">
        <v>480000</v>
      </c>
      <c r="S313" s="55">
        <v>3360000</v>
      </c>
      <c r="T313" s="56">
        <f>[1]Data2025!T312</f>
        <v>0</v>
      </c>
      <c r="U313" s="57" t="s">
        <v>62</v>
      </c>
      <c r="V313" s="56" t="e">
        <f>[1]Data2025!V312</f>
        <v>#N/A</v>
      </c>
      <c r="W313" s="56" t="e">
        <f>[1]Data2025!X312</f>
        <v>#N/A</v>
      </c>
      <c r="X313" s="57" t="s">
        <v>63</v>
      </c>
      <c r="Y313" s="57" t="str">
        <f t="shared" si="15"/>
        <v>Honorarium</v>
      </c>
      <c r="Z313" s="58" t="str">
        <f t="shared" si="16"/>
        <v>Honorarium</v>
      </c>
      <c r="AA313" s="59" t="s">
        <v>37</v>
      </c>
      <c r="AB313" s="60">
        <v>40000</v>
      </c>
      <c r="AC313" s="60">
        <v>3200000</v>
      </c>
      <c r="AD313" s="54">
        <v>480000</v>
      </c>
      <c r="AE313" s="61">
        <v>432432.43243243243</v>
      </c>
      <c r="AF313" s="61">
        <v>480000</v>
      </c>
      <c r="AG313" s="62" t="s">
        <v>38</v>
      </c>
      <c r="AH313" s="63" t="e">
        <f>[1]Data2025!W312</f>
        <v>#N/A</v>
      </c>
    </row>
    <row r="314" spans="1:36" s="88" customFormat="1" ht="16.5" thickTop="1" thickBot="1">
      <c r="A314" s="41">
        <f>[1]Data2025!G313</f>
        <v>116</v>
      </c>
      <c r="B314" s="42" t="str">
        <f>[1]Data2025!K313</f>
        <v>BNU39</v>
      </c>
      <c r="C314" s="43" t="str">
        <f>[1]Data2025!D313</f>
        <v>07. 12. 01.</v>
      </c>
      <c r="D314" s="44" t="str">
        <f>[1]Data2025!C313</f>
        <v>5.1.02.02.01.0013</v>
      </c>
      <c r="E314" s="45">
        <f>[1]Data2025!E313</f>
        <v>45735</v>
      </c>
      <c r="F314" s="46" t="str">
        <f>[1]Data2025!F313</f>
        <v>21/03/2025</v>
      </c>
      <c r="G314" s="45" t="str">
        <f>[1]Data2025!H313</f>
        <v>21/03/2025</v>
      </c>
      <c r="H314" s="45" t="str">
        <f t="shared" si="14"/>
        <v>21/03/2025</v>
      </c>
      <c r="I314" s="47" t="str">
        <f>[1]Data2025!J313</f>
        <v>21/03/2025</v>
      </c>
      <c r="J314" s="48" t="str">
        <f>[1]Data2025!L313</f>
        <v>Arifin Metodi Bate'e</v>
      </c>
      <c r="K314" s="48" t="str">
        <f>[1]Data2025!M313</f>
        <v>Gaji Guru Tidak Tetap Sekolah</v>
      </c>
      <c r="L314" s="49">
        <f>[1]Data2025!N313</f>
        <v>34</v>
      </c>
      <c r="M314" s="49" t="str">
        <f>[1]Data2025!O313</f>
        <v>jpl</v>
      </c>
      <c r="N314" s="50">
        <f>[1]Data2025!P313</f>
        <v>60000</v>
      </c>
      <c r="O314" s="51">
        <f>[1]Data2025!Q313</f>
        <v>2040000</v>
      </c>
      <c r="P314" s="52" t="s">
        <v>76</v>
      </c>
      <c r="Q314" s="53" t="e">
        <f>VLOOKUP(K314,[1]Sheet1!$C$1:$D$101,2,)</f>
        <v>#N/A</v>
      </c>
      <c r="R314" s="77">
        <v>1360000</v>
      </c>
      <c r="S314" s="78">
        <v>1362000</v>
      </c>
      <c r="T314" s="56">
        <f>[1]Data2025!T313</f>
        <v>0</v>
      </c>
      <c r="U314" s="80" t="s">
        <v>35</v>
      </c>
      <c r="V314" s="56" t="e">
        <f>[1]Data2025!V313</f>
        <v>#N/A</v>
      </c>
      <c r="W314" s="56" t="e">
        <f>[1]Data2025!X313</f>
        <v>#N/A</v>
      </c>
      <c r="X314" s="80" t="s">
        <v>78</v>
      </c>
      <c r="Y314" s="57" t="str">
        <f t="shared" si="15"/>
        <v>Honorarium</v>
      </c>
      <c r="Z314" s="58" t="str">
        <f t="shared" si="16"/>
        <v>Honorarium</v>
      </c>
      <c r="AA314" s="82" t="s">
        <v>84</v>
      </c>
      <c r="AB314" s="83">
        <v>1360000</v>
      </c>
      <c r="AC314" s="83">
        <v>1360000</v>
      </c>
      <c r="AD314" s="77">
        <v>1360000</v>
      </c>
      <c r="AE314" s="84">
        <v>1225225.2252252253</v>
      </c>
      <c r="AF314" s="84">
        <v>1360000</v>
      </c>
      <c r="AG314" s="62" t="s">
        <v>38</v>
      </c>
      <c r="AH314" s="63" t="e">
        <f>[1]Data2025!W313</f>
        <v>#N/A</v>
      </c>
      <c r="AI314" s="87"/>
      <c r="AJ314" s="87"/>
    </row>
    <row r="315" spans="1:36" s="88" customFormat="1" ht="16.5" thickTop="1" thickBot="1">
      <c r="A315" s="41">
        <f>[1]Data2025!G314</f>
        <v>117</v>
      </c>
      <c r="B315" s="42" t="str">
        <f>[1]Data2025!K314</f>
        <v>BNU40</v>
      </c>
      <c r="C315" s="43" t="str">
        <f>[1]Data2025!D314</f>
        <v>07. 12. 01.</v>
      </c>
      <c r="D315" s="44" t="str">
        <f>[1]Data2025!C314</f>
        <v>5.1.02.02.01.0013</v>
      </c>
      <c r="E315" s="45">
        <f>[1]Data2025!E314</f>
        <v>45735</v>
      </c>
      <c r="F315" s="46" t="str">
        <f>[1]Data2025!F314</f>
        <v>21/03/2025</v>
      </c>
      <c r="G315" s="45" t="str">
        <f>[1]Data2025!H314</f>
        <v>21/03/2025</v>
      </c>
      <c r="H315" s="45" t="str">
        <f t="shared" si="14"/>
        <v>21/03/2025</v>
      </c>
      <c r="I315" s="47" t="str">
        <f>[1]Data2025!J314</f>
        <v>21/03/2025</v>
      </c>
      <c r="J315" s="48" t="str">
        <f>[1]Data2025!L314</f>
        <v>Ferdiwati Wau</v>
      </c>
      <c r="K315" s="48" t="str">
        <f>[1]Data2025!M314</f>
        <v>Gaji Guru Tidak Tetap Sekolah</v>
      </c>
      <c r="L315" s="49">
        <f>[1]Data2025!N314</f>
        <v>34</v>
      </c>
      <c r="M315" s="49" t="str">
        <f>[1]Data2025!O314</f>
        <v>jpl</v>
      </c>
      <c r="N315" s="50">
        <f>[1]Data2025!P314</f>
        <v>60000</v>
      </c>
      <c r="O315" s="51">
        <f>[1]Data2025!Q314</f>
        <v>2040000</v>
      </c>
      <c r="P315" s="52" t="s">
        <v>76</v>
      </c>
      <c r="Q315" s="53" t="e">
        <f>VLOOKUP(K315,[1]Sheet1!$C$1:$D$101,2,)</f>
        <v>#N/A</v>
      </c>
      <c r="R315" s="77">
        <v>15238975</v>
      </c>
      <c r="S315" s="78">
        <v>15240975</v>
      </c>
      <c r="T315" s="56">
        <f>[1]Data2025!T314</f>
        <v>0</v>
      </c>
      <c r="U315" s="80" t="s">
        <v>35</v>
      </c>
      <c r="V315" s="56" t="e">
        <f>[1]Data2025!V314</f>
        <v>#N/A</v>
      </c>
      <c r="W315" s="56" t="e">
        <f>[1]Data2025!X314</f>
        <v>#N/A</v>
      </c>
      <c r="X315" s="80" t="s">
        <v>78</v>
      </c>
      <c r="Y315" s="57" t="str">
        <f t="shared" si="15"/>
        <v>Honorarium</v>
      </c>
      <c r="Z315" s="58" t="str">
        <f t="shared" si="16"/>
        <v>Honorarium</v>
      </c>
      <c r="AA315" s="82" t="s">
        <v>84</v>
      </c>
      <c r="AB315" s="83">
        <v>15238975</v>
      </c>
      <c r="AC315" s="83">
        <v>15238975</v>
      </c>
      <c r="AD315" s="77">
        <v>15238975</v>
      </c>
      <c r="AE315" s="84">
        <v>13728806.306306306</v>
      </c>
      <c r="AF315" s="84">
        <v>15238975</v>
      </c>
      <c r="AG315" s="62" t="s">
        <v>38</v>
      </c>
      <c r="AH315" s="63" t="e">
        <f>[1]Data2025!W314</f>
        <v>#N/A</v>
      </c>
    </row>
    <row r="316" spans="1:36" s="88" customFormat="1" ht="16.5" thickTop="1" thickBot="1">
      <c r="A316" s="41">
        <f>[1]Data2025!G315</f>
        <v>118</v>
      </c>
      <c r="B316" s="42" t="str">
        <f>[1]Data2025!K315</f>
        <v>BNU41</v>
      </c>
      <c r="C316" s="43" t="str">
        <f>[1]Data2025!D315</f>
        <v>07. 12. 01.</v>
      </c>
      <c r="D316" s="44" t="str">
        <f>[1]Data2025!C315</f>
        <v>5.1.02.02.01.0013</v>
      </c>
      <c r="E316" s="45">
        <f>[1]Data2025!E315</f>
        <v>45735</v>
      </c>
      <c r="F316" s="46" t="str">
        <f>[1]Data2025!F315</f>
        <v>21/03/2025</v>
      </c>
      <c r="G316" s="45" t="str">
        <f>[1]Data2025!H315</f>
        <v>21/03/2025</v>
      </c>
      <c r="H316" s="45" t="str">
        <f t="shared" si="14"/>
        <v>21/03/2025</v>
      </c>
      <c r="I316" s="47" t="str">
        <f>[1]Data2025!J315</f>
        <v>21/03/2025</v>
      </c>
      <c r="J316" s="48" t="str">
        <f>[1]Data2025!L315</f>
        <v>Noni Alfanita Sarumaha, S.Pd</v>
      </c>
      <c r="K316" s="48" t="str">
        <f>[1]Data2025!M315</f>
        <v>Gaji Guru Tidak Tetap Sekolah</v>
      </c>
      <c r="L316" s="49">
        <f>[1]Data2025!N315</f>
        <v>37</v>
      </c>
      <c r="M316" s="49" t="str">
        <f>[1]Data2025!O315</f>
        <v>jpl</v>
      </c>
      <c r="N316" s="50">
        <f>[1]Data2025!P315</f>
        <v>60000</v>
      </c>
      <c r="O316" s="51">
        <f>[1]Data2025!Q315</f>
        <v>2220000</v>
      </c>
      <c r="P316" s="52" t="s">
        <v>76</v>
      </c>
      <c r="Q316" s="53" t="e">
        <f>VLOOKUP(K316,[1]Sheet1!$C$1:$D$101,2,)</f>
        <v>#N/A</v>
      </c>
      <c r="R316" s="77">
        <v>900000</v>
      </c>
      <c r="S316" s="78">
        <v>902000</v>
      </c>
      <c r="T316" s="56">
        <f>[1]Data2025!T315</f>
        <v>0</v>
      </c>
      <c r="U316" s="80" t="s">
        <v>35</v>
      </c>
      <c r="V316" s="56" t="e">
        <f>[1]Data2025!V315</f>
        <v>#N/A</v>
      </c>
      <c r="W316" s="56" t="e">
        <f>[1]Data2025!X315</f>
        <v>#N/A</v>
      </c>
      <c r="X316" s="80" t="s">
        <v>78</v>
      </c>
      <c r="Y316" s="57" t="str">
        <f t="shared" si="15"/>
        <v>Honorarium</v>
      </c>
      <c r="Z316" s="58" t="str">
        <f t="shared" si="16"/>
        <v>Honorarium</v>
      </c>
      <c r="AA316" s="82" t="s">
        <v>84</v>
      </c>
      <c r="AB316" s="83">
        <v>900000</v>
      </c>
      <c r="AC316" s="83">
        <v>900000</v>
      </c>
      <c r="AD316" s="77">
        <v>900000</v>
      </c>
      <c r="AE316" s="84">
        <v>810810.81081081077</v>
      </c>
      <c r="AF316" s="84">
        <v>900000</v>
      </c>
      <c r="AG316" s="62" t="s">
        <v>38</v>
      </c>
      <c r="AH316" s="63" t="e">
        <f>[1]Data2025!W315</f>
        <v>#N/A</v>
      </c>
      <c r="AI316" s="87"/>
      <c r="AJ316" s="87"/>
    </row>
    <row r="317" spans="1:36" s="88" customFormat="1" ht="16.5" thickTop="1" thickBot="1">
      <c r="A317" s="41">
        <f>[1]Data2025!G316</f>
        <v>119</v>
      </c>
      <c r="B317" s="42" t="str">
        <f>[1]Data2025!K316</f>
        <v>BNU42</v>
      </c>
      <c r="C317" s="43" t="str">
        <f>[1]Data2025!D316</f>
        <v>07. 12. 01.</v>
      </c>
      <c r="D317" s="44" t="str">
        <f>[1]Data2025!C316</f>
        <v>5.1.02.02.01.0013</v>
      </c>
      <c r="E317" s="45">
        <f>[1]Data2025!E316</f>
        <v>45735</v>
      </c>
      <c r="F317" s="46" t="str">
        <f>[1]Data2025!F316</f>
        <v>21/03/2025</v>
      </c>
      <c r="G317" s="45" t="str">
        <f>[1]Data2025!H316</f>
        <v>21/03/2025</v>
      </c>
      <c r="H317" s="45" t="str">
        <f t="shared" si="14"/>
        <v>21/03/2025</v>
      </c>
      <c r="I317" s="47" t="str">
        <f>[1]Data2025!J316</f>
        <v>21/03/2025</v>
      </c>
      <c r="J317" s="48" t="str">
        <f>[1]Data2025!L316</f>
        <v>EMILA HAFO</v>
      </c>
      <c r="K317" s="48" t="str">
        <f>[1]Data2025!M316</f>
        <v>Gaji Guru Tidak Tetap Sekolah</v>
      </c>
      <c r="L317" s="49">
        <f>[1]Data2025!N316</f>
        <v>35</v>
      </c>
      <c r="M317" s="49" t="str">
        <f>[1]Data2025!O316</f>
        <v>jpl</v>
      </c>
      <c r="N317" s="50">
        <f>[1]Data2025!P316</f>
        <v>60000</v>
      </c>
      <c r="O317" s="51">
        <f>[1]Data2025!Q316</f>
        <v>2100000</v>
      </c>
      <c r="P317" s="52" t="s">
        <v>76</v>
      </c>
      <c r="Q317" s="53" t="e">
        <f>VLOOKUP(K317,[1]Sheet1!$C$1:$D$101,2,)</f>
        <v>#N/A</v>
      </c>
      <c r="R317" s="77">
        <v>1400000</v>
      </c>
      <c r="S317" s="78">
        <v>1402000</v>
      </c>
      <c r="T317" s="56">
        <f>[1]Data2025!T316</f>
        <v>0</v>
      </c>
      <c r="U317" s="80" t="s">
        <v>35</v>
      </c>
      <c r="V317" s="56" t="e">
        <f>[1]Data2025!V316</f>
        <v>#N/A</v>
      </c>
      <c r="W317" s="56" t="e">
        <f>[1]Data2025!X316</f>
        <v>#N/A</v>
      </c>
      <c r="X317" s="80" t="s">
        <v>78</v>
      </c>
      <c r="Y317" s="57" t="str">
        <f t="shared" si="15"/>
        <v>Honorarium</v>
      </c>
      <c r="Z317" s="58" t="str">
        <f t="shared" si="16"/>
        <v>Honorarium</v>
      </c>
      <c r="AA317" s="82" t="s">
        <v>84</v>
      </c>
      <c r="AB317" s="83">
        <v>1400000</v>
      </c>
      <c r="AC317" s="83">
        <v>1400000</v>
      </c>
      <c r="AD317" s="77">
        <v>1400000</v>
      </c>
      <c r="AE317" s="84">
        <v>1261261.2612612613</v>
      </c>
      <c r="AF317" s="84">
        <v>1400000</v>
      </c>
      <c r="AG317" s="62" t="s">
        <v>38</v>
      </c>
      <c r="AH317" s="63" t="e">
        <f>[1]Data2025!W316</f>
        <v>#N/A</v>
      </c>
    </row>
    <row r="318" spans="1:36" s="88" customFormat="1" ht="16.5" thickTop="1" thickBot="1">
      <c r="A318" s="41">
        <f>[1]Data2025!G317</f>
        <v>120</v>
      </c>
      <c r="B318" s="42" t="str">
        <f>[1]Data2025!K317</f>
        <v>BNU43</v>
      </c>
      <c r="C318" s="43" t="str">
        <f>[1]Data2025!D317</f>
        <v>07. 12. 01.</v>
      </c>
      <c r="D318" s="44" t="str">
        <f>[1]Data2025!C317</f>
        <v>5.1.02.02.01.0013</v>
      </c>
      <c r="E318" s="45">
        <f>[1]Data2025!E317</f>
        <v>45735</v>
      </c>
      <c r="F318" s="46" t="str">
        <f>[1]Data2025!F317</f>
        <v>21/03/2025</v>
      </c>
      <c r="G318" s="45" t="str">
        <f>[1]Data2025!H317</f>
        <v>21/03/2025</v>
      </c>
      <c r="H318" s="45" t="str">
        <f t="shared" si="14"/>
        <v>21/03/2025</v>
      </c>
      <c r="I318" s="47" t="str">
        <f>[1]Data2025!J317</f>
        <v>21/03/2025</v>
      </c>
      <c r="J318" s="48" t="str">
        <f>[1]Data2025!L317</f>
        <v>Asep Nurhidayat</v>
      </c>
      <c r="K318" s="48" t="str">
        <f>[1]Data2025!M317</f>
        <v>Gaji Guru Tidak Tetap Sekolah</v>
      </c>
      <c r="L318" s="49">
        <f>[1]Data2025!N317</f>
        <v>21</v>
      </c>
      <c r="M318" s="49" t="str">
        <f>[1]Data2025!O317</f>
        <v>jpl</v>
      </c>
      <c r="N318" s="50">
        <f>[1]Data2025!P317</f>
        <v>60000</v>
      </c>
      <c r="O318" s="51">
        <f>[1]Data2025!Q317</f>
        <v>1260000</v>
      </c>
      <c r="P318" s="52" t="s">
        <v>76</v>
      </c>
      <c r="Q318" s="53" t="e">
        <f>VLOOKUP(K318,[1]Sheet1!$C$1:$D$101,2,)</f>
        <v>#N/A</v>
      </c>
      <c r="R318" s="77">
        <v>1200000</v>
      </c>
      <c r="S318" s="78">
        <v>1202000</v>
      </c>
      <c r="T318" s="56">
        <f>[1]Data2025!T317</f>
        <v>0</v>
      </c>
      <c r="U318" s="80" t="s">
        <v>35</v>
      </c>
      <c r="V318" s="56" t="e">
        <f>[1]Data2025!V317</f>
        <v>#N/A</v>
      </c>
      <c r="W318" s="56" t="e">
        <f>[1]Data2025!X317</f>
        <v>#N/A</v>
      </c>
      <c r="X318" s="80" t="s">
        <v>78</v>
      </c>
      <c r="Y318" s="57" t="str">
        <f t="shared" si="15"/>
        <v>Honorarium</v>
      </c>
      <c r="Z318" s="58" t="str">
        <f t="shared" si="16"/>
        <v>Honorarium</v>
      </c>
      <c r="AA318" s="82" t="s">
        <v>84</v>
      </c>
      <c r="AB318" s="83">
        <v>1200000</v>
      </c>
      <c r="AC318" s="83">
        <v>1200000</v>
      </c>
      <c r="AD318" s="77">
        <v>1200000</v>
      </c>
      <c r="AE318" s="84">
        <v>1081081.0810810812</v>
      </c>
      <c r="AF318" s="84">
        <v>1200000</v>
      </c>
      <c r="AG318" s="62" t="s">
        <v>38</v>
      </c>
      <c r="AH318" s="63" t="e">
        <f>[1]Data2025!W317</f>
        <v>#N/A</v>
      </c>
    </row>
    <row r="319" spans="1:36" s="88" customFormat="1" ht="16.5" thickTop="1" thickBot="1">
      <c r="A319" s="41">
        <f>[1]Data2025!G318</f>
        <v>121</v>
      </c>
      <c r="B319" s="42" t="str">
        <f>[1]Data2025!K318</f>
        <v>BNU44</v>
      </c>
      <c r="C319" s="43" t="str">
        <f>[1]Data2025!D318</f>
        <v>07. 12. 01.</v>
      </c>
      <c r="D319" s="44" t="str">
        <f>[1]Data2025!C318</f>
        <v>5.1.02.02.01.0013</v>
      </c>
      <c r="E319" s="45">
        <f>[1]Data2025!E318</f>
        <v>45735</v>
      </c>
      <c r="F319" s="46" t="str">
        <f>[1]Data2025!F318</f>
        <v>21/03/2025</v>
      </c>
      <c r="G319" s="45" t="str">
        <f>[1]Data2025!H318</f>
        <v>21/03/2025</v>
      </c>
      <c r="H319" s="45" t="str">
        <f t="shared" si="14"/>
        <v>21/03/2025</v>
      </c>
      <c r="I319" s="47" t="str">
        <f>[1]Data2025!J318</f>
        <v>21/03/2025</v>
      </c>
      <c r="J319" s="48" t="str">
        <f>[1]Data2025!L318</f>
        <v>Amonius Dakhi</v>
      </c>
      <c r="K319" s="48" t="str">
        <f>[1]Data2025!M318</f>
        <v>Gaji Guru Tidak Tetap Sekolah</v>
      </c>
      <c r="L319" s="49">
        <f>[1]Data2025!N318</f>
        <v>24</v>
      </c>
      <c r="M319" s="49" t="str">
        <f>[1]Data2025!O318</f>
        <v>orang / jam pelajaran</v>
      </c>
      <c r="N319" s="50">
        <f>[1]Data2025!P318</f>
        <v>50000</v>
      </c>
      <c r="O319" s="51">
        <f>[1]Data2025!Q318</f>
        <v>1200000</v>
      </c>
      <c r="P319" s="52" t="s">
        <v>76</v>
      </c>
      <c r="Q319" s="53" t="e">
        <f>VLOOKUP(K319,[1]Sheet1!$C$1:$D$101,2,)</f>
        <v>#N/A</v>
      </c>
      <c r="R319" s="77">
        <v>11901025</v>
      </c>
      <c r="S319" s="78">
        <v>11903025</v>
      </c>
      <c r="T319" s="56">
        <f>[1]Data2025!T318</f>
        <v>0</v>
      </c>
      <c r="U319" s="80" t="s">
        <v>35</v>
      </c>
      <c r="V319" s="56" t="e">
        <f>[1]Data2025!V318</f>
        <v>#N/A</v>
      </c>
      <c r="W319" s="56" t="e">
        <f>[1]Data2025!X318</f>
        <v>#N/A</v>
      </c>
      <c r="X319" s="80" t="s">
        <v>78</v>
      </c>
      <c r="Y319" s="57" t="str">
        <f t="shared" si="15"/>
        <v>Honorarium</v>
      </c>
      <c r="Z319" s="58" t="str">
        <f t="shared" si="16"/>
        <v>Honorarium</v>
      </c>
      <c r="AA319" s="82" t="s">
        <v>84</v>
      </c>
      <c r="AB319" s="83">
        <v>11901025</v>
      </c>
      <c r="AC319" s="83">
        <v>11901025</v>
      </c>
      <c r="AD319" s="77">
        <v>11901025</v>
      </c>
      <c r="AE319" s="84">
        <v>10721644.144144144</v>
      </c>
      <c r="AF319" s="84">
        <v>11901025</v>
      </c>
      <c r="AG319" s="62" t="s">
        <v>38</v>
      </c>
      <c r="AH319" s="63" t="e">
        <f>[1]Data2025!W318</f>
        <v>#N/A</v>
      </c>
    </row>
    <row r="320" spans="1:36" ht="16.5" thickTop="1" thickBot="1">
      <c r="A320" s="41">
        <f>[1]Data2025!G319</f>
        <v>122</v>
      </c>
      <c r="B320" s="42" t="str">
        <f>[1]Data2025!K319</f>
        <v>BNU45</v>
      </c>
      <c r="C320" s="43" t="str">
        <f>[1]Data2025!D319</f>
        <v>07. 12. 01.</v>
      </c>
      <c r="D320" s="44" t="str">
        <f>[1]Data2025!C319</f>
        <v>5.1.02.02.01.0013</v>
      </c>
      <c r="E320" s="45">
        <f>[1]Data2025!E319</f>
        <v>45735</v>
      </c>
      <c r="F320" s="46" t="str">
        <f>[1]Data2025!F319</f>
        <v>21/03/2025</v>
      </c>
      <c r="G320" s="45" t="str">
        <f>[1]Data2025!H319</f>
        <v>21/03/2025</v>
      </c>
      <c r="H320" s="45" t="str">
        <f t="shared" si="14"/>
        <v>21/03/2025</v>
      </c>
      <c r="I320" s="47" t="str">
        <f>[1]Data2025!J319</f>
        <v>21/03/2025</v>
      </c>
      <c r="J320" s="48" t="str">
        <f>[1]Data2025!L319</f>
        <v>NELPI KARIANA WATI GOHAE</v>
      </c>
      <c r="K320" s="48" t="str">
        <f>[1]Data2025!M319</f>
        <v>Gaji Guru Tidak Tetap Sekolah</v>
      </c>
      <c r="L320" s="49">
        <f>[1]Data2025!N319</f>
        <v>24</v>
      </c>
      <c r="M320" s="49" t="str">
        <f>[1]Data2025!O319</f>
        <v>orang / jam pelajaran</v>
      </c>
      <c r="N320" s="50">
        <f>[1]Data2025!P319</f>
        <v>50000</v>
      </c>
      <c r="O320" s="51">
        <f>[1]Data2025!Q319</f>
        <v>1200000</v>
      </c>
      <c r="P320" s="52" t="s">
        <v>76</v>
      </c>
      <c r="Q320" s="53" t="e">
        <f>VLOOKUP(K320,[1]Sheet1!$C$1:$D$101,2,)</f>
        <v>#N/A</v>
      </c>
      <c r="R320" s="54">
        <v>900000</v>
      </c>
      <c r="S320" s="55">
        <v>1020000</v>
      </c>
      <c r="T320" s="56">
        <f>[1]Data2025!T319</f>
        <v>0</v>
      </c>
      <c r="U320" s="57" t="s">
        <v>60</v>
      </c>
      <c r="V320" s="56" t="e">
        <f>[1]Data2025!V319</f>
        <v>#N/A</v>
      </c>
      <c r="W320" s="56" t="e">
        <f>[1]Data2025!X319</f>
        <v>#N/A</v>
      </c>
      <c r="X320" s="57" t="s">
        <v>61</v>
      </c>
      <c r="Y320" s="57" t="str">
        <f t="shared" si="15"/>
        <v>Honorarium</v>
      </c>
      <c r="Z320" s="58" t="str">
        <f t="shared" si="16"/>
        <v>Honorarium</v>
      </c>
      <c r="AA320" s="59" t="s">
        <v>42</v>
      </c>
      <c r="AB320" s="60">
        <v>15000</v>
      </c>
      <c r="AC320" s="60">
        <v>900000</v>
      </c>
      <c r="AD320" s="54">
        <v>900000</v>
      </c>
      <c r="AE320" s="61">
        <v>810810.81081081077</v>
      </c>
      <c r="AF320" s="61">
        <v>900000</v>
      </c>
      <c r="AG320" s="62" t="s">
        <v>38</v>
      </c>
      <c r="AH320" s="63" t="e">
        <f>[1]Data2025!W319</f>
        <v>#N/A</v>
      </c>
      <c r="AI320" s="92"/>
      <c r="AJ320" s="92"/>
    </row>
    <row r="321" spans="1:34" s="88" customFormat="1" ht="26" thickTop="1" thickBot="1">
      <c r="A321" s="41">
        <f>[1]Data2025!G320</f>
        <v>123</v>
      </c>
      <c r="B321" s="42" t="str">
        <f>[1]Data2025!K320</f>
        <v>BNU46</v>
      </c>
      <c r="C321" s="43" t="str">
        <f>[1]Data2025!D320</f>
        <v>07. 12. 01.</v>
      </c>
      <c r="D321" s="44" t="str">
        <f>[1]Data2025!C320</f>
        <v>5.1.02.02.01.0013</v>
      </c>
      <c r="E321" s="45">
        <f>[1]Data2025!E320</f>
        <v>45735</v>
      </c>
      <c r="F321" s="46" t="str">
        <f>[1]Data2025!F320</f>
        <v>21/03/2025</v>
      </c>
      <c r="G321" s="45" t="str">
        <f>[1]Data2025!H320</f>
        <v>21/03/2025</v>
      </c>
      <c r="H321" s="45" t="str">
        <f t="shared" si="14"/>
        <v>21/03/2025</v>
      </c>
      <c r="I321" s="47" t="str">
        <f>[1]Data2025!J320</f>
        <v>21/03/2025</v>
      </c>
      <c r="J321" s="48" t="str">
        <f>[1]Data2025!L320</f>
        <v>MERCY GRACE KARTIKA SARI ZAGOTO (1558776677230122)</v>
      </c>
      <c r="K321" s="48" t="str">
        <f>[1]Data2025!M320</f>
        <v>Gaji Guru Tidak Tetap Sekolah</v>
      </c>
      <c r="L321" s="49">
        <f>[1]Data2025!N320</f>
        <v>35</v>
      </c>
      <c r="M321" s="49" t="str">
        <f>[1]Data2025!O320</f>
        <v>orang / jam pelajaran</v>
      </c>
      <c r="N321" s="50">
        <f>[1]Data2025!P320</f>
        <v>50000</v>
      </c>
      <c r="O321" s="51">
        <f>[1]Data2025!Q320</f>
        <v>1750000</v>
      </c>
      <c r="P321" s="52" t="s">
        <v>76</v>
      </c>
      <c r="Q321" s="53" t="e">
        <f>VLOOKUP(K321,[1]Sheet1!$C$1:$D$101,2,)</f>
        <v>#N/A</v>
      </c>
      <c r="R321" s="77">
        <v>55000</v>
      </c>
      <c r="S321" s="78">
        <v>65000</v>
      </c>
      <c r="T321" s="56">
        <f>[1]Data2025!T320</f>
        <v>0</v>
      </c>
      <c r="U321" s="80" t="s">
        <v>35</v>
      </c>
      <c r="V321" s="56" t="e">
        <f>[1]Data2025!V320</f>
        <v>#N/A</v>
      </c>
      <c r="W321" s="56" t="e">
        <f>[1]Data2025!X320</f>
        <v>#N/A</v>
      </c>
      <c r="X321" s="80" t="s">
        <v>36</v>
      </c>
      <c r="Y321" s="57" t="str">
        <f t="shared" si="15"/>
        <v>Honorarium</v>
      </c>
      <c r="Z321" s="58" t="str">
        <f t="shared" si="16"/>
        <v>Honorarium</v>
      </c>
      <c r="AA321" s="82" t="s">
        <v>37</v>
      </c>
      <c r="AB321" s="83">
        <v>11000</v>
      </c>
      <c r="AC321" s="83">
        <v>55000</v>
      </c>
      <c r="AD321" s="77">
        <v>55000</v>
      </c>
      <c r="AE321" s="84">
        <v>49549.549549549549</v>
      </c>
      <c r="AF321" s="84">
        <v>55000</v>
      </c>
      <c r="AG321" s="62" t="s">
        <v>38</v>
      </c>
      <c r="AH321" s="63" t="e">
        <f>[1]Data2025!W320</f>
        <v>#N/A</v>
      </c>
    </row>
    <row r="322" spans="1:34" s="88" customFormat="1" ht="16.5" thickTop="1" thickBot="1">
      <c r="A322" s="41">
        <f>[1]Data2025!G321</f>
        <v>124</v>
      </c>
      <c r="B322" s="42" t="str">
        <f>[1]Data2025!K321</f>
        <v>BNU47</v>
      </c>
      <c r="C322" s="43" t="str">
        <f>[1]Data2025!D321</f>
        <v>07. 12. 02.</v>
      </c>
      <c r="D322" s="44" t="str">
        <f>[1]Data2025!C321</f>
        <v>5.1.02.02.01.0026</v>
      </c>
      <c r="E322" s="45">
        <f>[1]Data2025!E321</f>
        <v>45735</v>
      </c>
      <c r="F322" s="46" t="str">
        <f>[1]Data2025!F321</f>
        <v>21/03/2025</v>
      </c>
      <c r="G322" s="45" t="str">
        <f>[1]Data2025!H321</f>
        <v>21/03/2025</v>
      </c>
      <c r="H322" s="45" t="str">
        <f t="shared" si="14"/>
        <v>21/03/2025</v>
      </c>
      <c r="I322" s="47" t="str">
        <f>[1]Data2025!J321</f>
        <v>21/03/2025</v>
      </c>
      <c r="J322" s="48" t="str">
        <f>[1]Data2025!L321</f>
        <v>Estera Nehe</v>
      </c>
      <c r="K322" s="48" t="str">
        <f>[1]Data2025!M321</f>
        <v>Gaji Pegawai Tidak Tetap Sekolah</v>
      </c>
      <c r="L322" s="49">
        <f>[1]Data2025!N321</f>
        <v>1</v>
      </c>
      <c r="M322" s="49" t="str">
        <f>[1]Data2025!O321</f>
        <v>bulan</v>
      </c>
      <c r="N322" s="50">
        <f>[1]Data2025!P321</f>
        <v>2000000</v>
      </c>
      <c r="O322" s="51">
        <f>[1]Data2025!Q321</f>
        <v>2000000</v>
      </c>
      <c r="P322" s="52" t="s">
        <v>76</v>
      </c>
      <c r="Q322" s="53" t="e">
        <f>VLOOKUP(K322,[1]Sheet1!$C$1:$D$101,2,)</f>
        <v>#N/A</v>
      </c>
      <c r="R322" s="77">
        <v>95000</v>
      </c>
      <c r="S322" s="78">
        <v>97000</v>
      </c>
      <c r="T322" s="56">
        <f>[1]Data2025!T321</f>
        <v>0</v>
      </c>
      <c r="U322" s="80" t="s">
        <v>35</v>
      </c>
      <c r="V322" s="56" t="e">
        <f>[1]Data2025!V321</f>
        <v>#N/A</v>
      </c>
      <c r="W322" s="56" t="e">
        <f>[1]Data2025!X321</f>
        <v>#N/A</v>
      </c>
      <c r="X322" s="80" t="s">
        <v>36</v>
      </c>
      <c r="Y322" s="57" t="str">
        <f t="shared" si="15"/>
        <v>Honorarium</v>
      </c>
      <c r="Z322" s="58" t="str">
        <f t="shared" si="16"/>
        <v>Honorarium</v>
      </c>
      <c r="AA322" s="82" t="s">
        <v>40</v>
      </c>
      <c r="AB322" s="83">
        <v>95000</v>
      </c>
      <c r="AC322" s="83">
        <v>95000</v>
      </c>
      <c r="AD322" s="77">
        <v>95000</v>
      </c>
      <c r="AE322" s="84">
        <v>85585.585585585592</v>
      </c>
      <c r="AF322" s="84">
        <v>95000</v>
      </c>
      <c r="AG322" s="62" t="s">
        <v>38</v>
      </c>
      <c r="AH322" s="63" t="e">
        <f>[1]Data2025!W321</f>
        <v>#N/A</v>
      </c>
    </row>
    <row r="323" spans="1:34" s="88" customFormat="1" ht="16.5" thickTop="1" thickBot="1">
      <c r="A323" s="41">
        <f>[1]Data2025!G322</f>
        <v>125</v>
      </c>
      <c r="B323" s="42" t="str">
        <f>[1]Data2025!K322</f>
        <v>BNU48</v>
      </c>
      <c r="C323" s="43" t="str">
        <f>[1]Data2025!D322</f>
        <v>07. 12. 02.</v>
      </c>
      <c r="D323" s="44" t="str">
        <f>[1]Data2025!C322</f>
        <v>5.1.02.02.01.0026</v>
      </c>
      <c r="E323" s="45">
        <f>[1]Data2025!E322</f>
        <v>45735</v>
      </c>
      <c r="F323" s="46" t="str">
        <f>[1]Data2025!F322</f>
        <v>21/03/2025</v>
      </c>
      <c r="G323" s="45" t="str">
        <f>[1]Data2025!H322</f>
        <v>21/03/2025</v>
      </c>
      <c r="H323" s="45" t="str">
        <f t="shared" si="14"/>
        <v>21/03/2025</v>
      </c>
      <c r="I323" s="47" t="str">
        <f>[1]Data2025!J322</f>
        <v>21/03/2025</v>
      </c>
      <c r="J323" s="48" t="str">
        <f>[1]Data2025!L322</f>
        <v>Hatieli Buulolo</v>
      </c>
      <c r="K323" s="48" t="str">
        <f>[1]Data2025!M322</f>
        <v>Gaji Pegawai Tidak Tetap Sekolah</v>
      </c>
      <c r="L323" s="49">
        <f>[1]Data2025!N322</f>
        <v>1</v>
      </c>
      <c r="M323" s="49" t="str">
        <f>[1]Data2025!O322</f>
        <v>bulan</v>
      </c>
      <c r="N323" s="50">
        <f>[1]Data2025!P322</f>
        <v>2500000</v>
      </c>
      <c r="O323" s="51">
        <f>[1]Data2025!Q322</f>
        <v>2500000</v>
      </c>
      <c r="P323" s="52" t="s">
        <v>76</v>
      </c>
      <c r="Q323" s="53" t="e">
        <f>VLOOKUP(K323,[1]Sheet1!$C$1:$D$101,2,)</f>
        <v>#N/A</v>
      </c>
      <c r="R323" s="77">
        <v>550000</v>
      </c>
      <c r="S323" s="78">
        <v>750000</v>
      </c>
      <c r="T323" s="56">
        <f>[1]Data2025!T322</f>
        <v>0</v>
      </c>
      <c r="U323" s="80" t="s">
        <v>35</v>
      </c>
      <c r="V323" s="56" t="e">
        <f>[1]Data2025!V322</f>
        <v>#N/A</v>
      </c>
      <c r="W323" s="56" t="e">
        <f>[1]Data2025!X322</f>
        <v>#N/A</v>
      </c>
      <c r="X323" s="80" t="s">
        <v>36</v>
      </c>
      <c r="Y323" s="57" t="str">
        <f t="shared" si="15"/>
        <v>Honorarium</v>
      </c>
      <c r="Z323" s="58" t="str">
        <f t="shared" si="16"/>
        <v>Honorarium</v>
      </c>
      <c r="AA323" s="82" t="s">
        <v>42</v>
      </c>
      <c r="AB323" s="83">
        <v>5500</v>
      </c>
      <c r="AC323" s="83">
        <v>550000</v>
      </c>
      <c r="AD323" s="77">
        <v>550000</v>
      </c>
      <c r="AE323" s="84">
        <v>495495.4954954955</v>
      </c>
      <c r="AF323" s="84">
        <v>550000</v>
      </c>
      <c r="AG323" s="62" t="s">
        <v>38</v>
      </c>
      <c r="AH323" s="63" t="e">
        <f>[1]Data2025!W322</f>
        <v>#N/A</v>
      </c>
    </row>
    <row r="324" spans="1:34" ht="16.5" thickTop="1" thickBot="1">
      <c r="A324" s="41">
        <f>[1]Data2025!G323</f>
        <v>126</v>
      </c>
      <c r="B324" s="42" t="str">
        <f>[1]Data2025!K323</f>
        <v>BNU49</v>
      </c>
      <c r="C324" s="43" t="str">
        <f>[1]Data2025!D323</f>
        <v>07. 12. 02.</v>
      </c>
      <c r="D324" s="44" t="str">
        <f>[1]Data2025!C323</f>
        <v>5.1.02.02.01.0026</v>
      </c>
      <c r="E324" s="45">
        <f>[1]Data2025!E323</f>
        <v>45735</v>
      </c>
      <c r="F324" s="46" t="str">
        <f>[1]Data2025!F323</f>
        <v>21/03/2025</v>
      </c>
      <c r="G324" s="45" t="str">
        <f>[1]Data2025!H323</f>
        <v>21/03/2025</v>
      </c>
      <c r="H324" s="45" t="str">
        <f t="shared" si="14"/>
        <v>21/03/2025</v>
      </c>
      <c r="I324" s="47" t="str">
        <f>[1]Data2025!J323</f>
        <v>21/03/2025</v>
      </c>
      <c r="J324" s="48" t="str">
        <f>[1]Data2025!L323</f>
        <v>David J. Sitinjak</v>
      </c>
      <c r="K324" s="48" t="str">
        <f>[1]Data2025!M323</f>
        <v>Gaji Pegawai Tidak Tetap Sekolah</v>
      </c>
      <c r="L324" s="49">
        <f>[1]Data2025!N323</f>
        <v>1</v>
      </c>
      <c r="M324" s="49" t="str">
        <f>[1]Data2025!O323</f>
        <v>bulan</v>
      </c>
      <c r="N324" s="50">
        <f>[1]Data2025!P323</f>
        <v>2500000</v>
      </c>
      <c r="O324" s="51">
        <f>[1]Data2025!Q323</f>
        <v>2500000</v>
      </c>
      <c r="P324" s="52" t="s">
        <v>76</v>
      </c>
      <c r="Q324" s="53" t="e">
        <f>VLOOKUP(K324,[1]Sheet1!$C$1:$D$101,2,)</f>
        <v>#N/A</v>
      </c>
      <c r="R324" s="77">
        <v>120000</v>
      </c>
      <c r="S324" s="78">
        <v>124000</v>
      </c>
      <c r="T324" s="56">
        <f>[1]Data2025!T323</f>
        <v>0</v>
      </c>
      <c r="U324" s="80" t="s">
        <v>35</v>
      </c>
      <c r="V324" s="56" t="e">
        <f>[1]Data2025!V323</f>
        <v>#N/A</v>
      </c>
      <c r="W324" s="56" t="e">
        <f>[1]Data2025!X323</f>
        <v>#N/A</v>
      </c>
      <c r="X324" s="80" t="s">
        <v>36</v>
      </c>
      <c r="Y324" s="57" t="str">
        <f t="shared" si="15"/>
        <v>Honorarium</v>
      </c>
      <c r="Z324" s="58" t="str">
        <f t="shared" si="16"/>
        <v>Honorarium</v>
      </c>
      <c r="AA324" s="82" t="s">
        <v>44</v>
      </c>
      <c r="AB324" s="60">
        <v>60000</v>
      </c>
      <c r="AC324" s="60">
        <v>120000</v>
      </c>
      <c r="AD324" s="54">
        <v>120000</v>
      </c>
      <c r="AE324" s="61">
        <v>108108.10810810811</v>
      </c>
      <c r="AF324" s="61">
        <v>120000</v>
      </c>
      <c r="AG324" s="62" t="s">
        <v>38</v>
      </c>
      <c r="AH324" s="63" t="e">
        <f>[1]Data2025!W323</f>
        <v>#N/A</v>
      </c>
    </row>
    <row r="325" spans="1:34" ht="16.5" thickTop="1" thickBot="1">
      <c r="A325" s="41">
        <f>[1]Data2025!G324</f>
        <v>127</v>
      </c>
      <c r="B325" s="42" t="str">
        <f>[1]Data2025!K324</f>
        <v>BNU50</v>
      </c>
      <c r="C325" s="43" t="str">
        <f>[1]Data2025!D324</f>
        <v>07. 12. 02.</v>
      </c>
      <c r="D325" s="44" t="str">
        <f>[1]Data2025!C324</f>
        <v>5.1.02.02.01.0026</v>
      </c>
      <c r="E325" s="45">
        <f>[1]Data2025!E324</f>
        <v>45735</v>
      </c>
      <c r="F325" s="46" t="str">
        <f>[1]Data2025!F324</f>
        <v>21/03/2025</v>
      </c>
      <c r="G325" s="45" t="str">
        <f>[1]Data2025!H324</f>
        <v>21/03/2025</v>
      </c>
      <c r="H325" s="45" t="str">
        <f t="shared" ref="H325:H388" si="18">G325</f>
        <v>21/03/2025</v>
      </c>
      <c r="I325" s="47" t="str">
        <f>[1]Data2025!J324</f>
        <v>21/03/2025</v>
      </c>
      <c r="J325" s="48" t="str">
        <f>[1]Data2025!L324</f>
        <v>Siona Ziraluo</v>
      </c>
      <c r="K325" s="48" t="str">
        <f>[1]Data2025!M324</f>
        <v>Gaji Pegawai Tidak Tetap Sekolah</v>
      </c>
      <c r="L325" s="49">
        <f>[1]Data2025!N324</f>
        <v>1</v>
      </c>
      <c r="M325" s="49" t="str">
        <f>[1]Data2025!O324</f>
        <v>bulan</v>
      </c>
      <c r="N325" s="50">
        <f>[1]Data2025!P324</f>
        <v>2000000</v>
      </c>
      <c r="O325" s="51">
        <f>[1]Data2025!Q324</f>
        <v>2000000</v>
      </c>
      <c r="P325" s="52" t="s">
        <v>76</v>
      </c>
      <c r="Q325" s="53" t="e">
        <f>VLOOKUP(K325,[1]Sheet1!$C$1:$D$101,2,)</f>
        <v>#N/A</v>
      </c>
      <c r="R325" s="77">
        <v>40000</v>
      </c>
      <c r="S325" s="78">
        <v>44000</v>
      </c>
      <c r="T325" s="56">
        <f>[1]Data2025!T324</f>
        <v>0</v>
      </c>
      <c r="U325" s="80" t="s">
        <v>35</v>
      </c>
      <c r="V325" s="56" t="e">
        <f>[1]Data2025!V324</f>
        <v>#N/A</v>
      </c>
      <c r="W325" s="56" t="e">
        <f>[1]Data2025!X324</f>
        <v>#N/A</v>
      </c>
      <c r="X325" s="80" t="s">
        <v>36</v>
      </c>
      <c r="Y325" s="57" t="str">
        <f t="shared" ref="Y325:Y388" si="19">P325</f>
        <v>Honorarium</v>
      </c>
      <c r="Z325" s="58" t="str">
        <f t="shared" ref="Z325:Z388" si="20">Y325</f>
        <v>Honorarium</v>
      </c>
      <c r="AA325" s="82" t="s">
        <v>42</v>
      </c>
      <c r="AB325" s="60">
        <v>20000</v>
      </c>
      <c r="AC325" s="60">
        <v>40000</v>
      </c>
      <c r="AD325" s="54">
        <v>40000</v>
      </c>
      <c r="AE325" s="61">
        <v>36036.036036036036</v>
      </c>
      <c r="AF325" s="61">
        <v>40000</v>
      </c>
      <c r="AG325" s="62" t="s">
        <v>38</v>
      </c>
      <c r="AH325" s="63" t="e">
        <f>[1]Data2025!W324</f>
        <v>#N/A</v>
      </c>
    </row>
    <row r="326" spans="1:34" ht="16.5" thickTop="1" thickBot="1">
      <c r="A326" s="41">
        <f>[1]Data2025!G325</f>
        <v>128</v>
      </c>
      <c r="B326" s="42" t="str">
        <f>[1]Data2025!K325</f>
        <v>BNU51</v>
      </c>
      <c r="C326" s="43" t="str">
        <f>[1]Data2025!D325</f>
        <v>07. 12. 02.</v>
      </c>
      <c r="D326" s="44" t="str">
        <f>[1]Data2025!C325</f>
        <v>5.1.02.02.01.0026</v>
      </c>
      <c r="E326" s="45">
        <f>[1]Data2025!E325</f>
        <v>45735</v>
      </c>
      <c r="F326" s="46" t="str">
        <f>[1]Data2025!F325</f>
        <v>21/03/2025</v>
      </c>
      <c r="G326" s="45" t="str">
        <f>[1]Data2025!H325</f>
        <v>21/03/2025</v>
      </c>
      <c r="H326" s="45" t="str">
        <f t="shared" si="18"/>
        <v>21/03/2025</v>
      </c>
      <c r="I326" s="47" t="str">
        <f>[1]Data2025!J325</f>
        <v>21/03/2025</v>
      </c>
      <c r="J326" s="48" t="str">
        <f>[1]Data2025!L325</f>
        <v>Merdina Ziraluo</v>
      </c>
      <c r="K326" s="48" t="str">
        <f>[1]Data2025!M325</f>
        <v>Gaji Pegawai Tidak Tetap Sekolah</v>
      </c>
      <c r="L326" s="49">
        <f>[1]Data2025!N325</f>
        <v>1</v>
      </c>
      <c r="M326" s="49" t="str">
        <f>[1]Data2025!O325</f>
        <v>bulan</v>
      </c>
      <c r="N326" s="50">
        <f>[1]Data2025!P325</f>
        <v>2500000</v>
      </c>
      <c r="O326" s="51">
        <f>[1]Data2025!Q325</f>
        <v>2500000</v>
      </c>
      <c r="P326" s="52" t="s">
        <v>76</v>
      </c>
      <c r="Q326" s="53" t="e">
        <f>VLOOKUP(K326,[1]Sheet1!$C$1:$D$101,2,)</f>
        <v>#N/A</v>
      </c>
      <c r="R326" s="77">
        <v>155000</v>
      </c>
      <c r="S326" s="78">
        <v>165000</v>
      </c>
      <c r="T326" s="56">
        <f>[1]Data2025!T325</f>
        <v>0</v>
      </c>
      <c r="U326" s="80" t="s">
        <v>35</v>
      </c>
      <c r="V326" s="56" t="e">
        <f>[1]Data2025!V325</f>
        <v>#N/A</v>
      </c>
      <c r="W326" s="56" t="e">
        <f>[1]Data2025!X325</f>
        <v>#N/A</v>
      </c>
      <c r="X326" s="80" t="s">
        <v>36</v>
      </c>
      <c r="Y326" s="57" t="str">
        <f t="shared" si="19"/>
        <v>Honorarium</v>
      </c>
      <c r="Z326" s="58" t="str">
        <f t="shared" si="20"/>
        <v>Honorarium</v>
      </c>
      <c r="AA326" s="82" t="s">
        <v>44</v>
      </c>
      <c r="AB326" s="60">
        <v>31000</v>
      </c>
      <c r="AC326" s="60">
        <v>155000</v>
      </c>
      <c r="AD326" s="54">
        <v>155000</v>
      </c>
      <c r="AE326" s="61">
        <v>139639.63963963964</v>
      </c>
      <c r="AF326" s="61">
        <v>155000</v>
      </c>
      <c r="AG326" s="62" t="s">
        <v>38</v>
      </c>
      <c r="AH326" s="63" t="e">
        <f>[1]Data2025!W325</f>
        <v>#N/A</v>
      </c>
    </row>
    <row r="327" spans="1:34" ht="16.5" thickTop="1" thickBot="1">
      <c r="A327" s="41">
        <f>[1]Data2025!G326</f>
        <v>129</v>
      </c>
      <c r="B327" s="42" t="str">
        <f>[1]Data2025!K326</f>
        <v>BNU52</v>
      </c>
      <c r="C327" s="43" t="str">
        <f>[1]Data2025!D326</f>
        <v>07. 12. 02.</v>
      </c>
      <c r="D327" s="44" t="str">
        <f>[1]Data2025!C326</f>
        <v>5.1.02.02.01.0026</v>
      </c>
      <c r="E327" s="45">
        <f>[1]Data2025!E326</f>
        <v>45735</v>
      </c>
      <c r="F327" s="46" t="str">
        <f>[1]Data2025!F326</f>
        <v>21/03/2025</v>
      </c>
      <c r="G327" s="45" t="str">
        <f>[1]Data2025!H326</f>
        <v>21/03/2025</v>
      </c>
      <c r="H327" s="45" t="str">
        <f t="shared" si="18"/>
        <v>21/03/2025</v>
      </c>
      <c r="I327" s="47" t="str">
        <f>[1]Data2025!J326</f>
        <v>21/03/2025</v>
      </c>
      <c r="J327" s="48" t="str">
        <f>[1]Data2025!L326</f>
        <v>Oksilia Buulolo, S.S</v>
      </c>
      <c r="K327" s="48" t="str">
        <f>[1]Data2025!M326</f>
        <v>Gaji Pegawai Tidak Tetap Sekolah</v>
      </c>
      <c r="L327" s="49">
        <f>[1]Data2025!N326</f>
        <v>1</v>
      </c>
      <c r="M327" s="49" t="str">
        <f>[1]Data2025!O326</f>
        <v>bulan/orang</v>
      </c>
      <c r="N327" s="50">
        <f>[1]Data2025!P326</f>
        <v>2000000</v>
      </c>
      <c r="O327" s="51">
        <f>[1]Data2025!Q326</f>
        <v>2000000</v>
      </c>
      <c r="P327" s="52" t="s">
        <v>76</v>
      </c>
      <c r="Q327" s="53" t="e">
        <f>VLOOKUP(K327,[1]Sheet1!$C$1:$D$101,2,)</f>
        <v>#N/A</v>
      </c>
      <c r="R327" s="77">
        <v>40000</v>
      </c>
      <c r="S327" s="78">
        <v>44000</v>
      </c>
      <c r="T327" s="56">
        <f>[1]Data2025!T326</f>
        <v>0</v>
      </c>
      <c r="U327" s="80" t="s">
        <v>35</v>
      </c>
      <c r="V327" s="56" t="e">
        <f>[1]Data2025!V326</f>
        <v>#N/A</v>
      </c>
      <c r="W327" s="56" t="e">
        <f>[1]Data2025!X326</f>
        <v>#N/A</v>
      </c>
      <c r="X327" s="80" t="s">
        <v>36</v>
      </c>
      <c r="Y327" s="57" t="str">
        <f t="shared" si="19"/>
        <v>Honorarium</v>
      </c>
      <c r="Z327" s="58" t="str">
        <f t="shared" si="20"/>
        <v>Honorarium</v>
      </c>
      <c r="AA327" s="82" t="s">
        <v>47</v>
      </c>
      <c r="AB327" s="60">
        <v>20000</v>
      </c>
      <c r="AC327" s="60">
        <v>40000</v>
      </c>
      <c r="AD327" s="54">
        <v>40000</v>
      </c>
      <c r="AE327" s="61">
        <v>36036.036036036036</v>
      </c>
      <c r="AF327" s="61">
        <v>40000</v>
      </c>
      <c r="AG327" s="62" t="s">
        <v>38</v>
      </c>
      <c r="AH327" s="63" t="e">
        <f>[1]Data2025!W326</f>
        <v>#N/A</v>
      </c>
    </row>
    <row r="328" spans="1:34" ht="16.5" thickTop="1" thickBot="1">
      <c r="A328" s="41">
        <f>[1]Data2025!G327</f>
        <v>130</v>
      </c>
      <c r="B328" s="42" t="str">
        <f>[1]Data2025!K327</f>
        <v>BNU53</v>
      </c>
      <c r="C328" s="43" t="str">
        <f>[1]Data2025!D327</f>
        <v>07. 12. 02.</v>
      </c>
      <c r="D328" s="44" t="str">
        <f>[1]Data2025!C327</f>
        <v>5.1.02.02.01.0026</v>
      </c>
      <c r="E328" s="45">
        <f>[1]Data2025!E327</f>
        <v>45735</v>
      </c>
      <c r="F328" s="46" t="str">
        <f>[1]Data2025!F327</f>
        <v>21/03/2025</v>
      </c>
      <c r="G328" s="45" t="str">
        <f>[1]Data2025!H327</f>
        <v>21/03/2025</v>
      </c>
      <c r="H328" s="45" t="str">
        <f t="shared" si="18"/>
        <v>21/03/2025</v>
      </c>
      <c r="I328" s="47" t="str">
        <f>[1]Data2025!J327</f>
        <v>21/03/2025</v>
      </c>
      <c r="J328" s="48" t="str">
        <f>[1]Data2025!L327</f>
        <v>Novika Efdimasari Halawa, S.S.I</v>
      </c>
      <c r="K328" s="48" t="str">
        <f>[1]Data2025!M327</f>
        <v>Gaji Pegawai Tidak Tetap Sekolah</v>
      </c>
      <c r="L328" s="49">
        <f>[1]Data2025!N327</f>
        <v>1</v>
      </c>
      <c r="M328" s="49" t="str">
        <f>[1]Data2025!O327</f>
        <v>bulan/orang</v>
      </c>
      <c r="N328" s="50">
        <f>[1]Data2025!P327</f>
        <v>2000000</v>
      </c>
      <c r="O328" s="51">
        <f>[1]Data2025!Q327</f>
        <v>2000000</v>
      </c>
      <c r="P328" s="52" t="s">
        <v>76</v>
      </c>
      <c r="Q328" s="53" t="e">
        <f>VLOOKUP(K328,[1]Sheet1!$C$1:$D$101,2,)</f>
        <v>#N/A</v>
      </c>
      <c r="R328" s="77">
        <v>396000</v>
      </c>
      <c r="S328" s="78">
        <v>420000</v>
      </c>
      <c r="T328" s="56">
        <f>[1]Data2025!T327</f>
        <v>0</v>
      </c>
      <c r="U328" s="80" t="s">
        <v>35</v>
      </c>
      <c r="V328" s="56" t="e">
        <f>[1]Data2025!V327</f>
        <v>#N/A</v>
      </c>
      <c r="W328" s="56" t="e">
        <f>[1]Data2025!X327</f>
        <v>#N/A</v>
      </c>
      <c r="X328" s="80" t="s">
        <v>36</v>
      </c>
      <c r="Y328" s="57" t="str">
        <f t="shared" si="19"/>
        <v>Honorarium</v>
      </c>
      <c r="Z328" s="58" t="str">
        <f t="shared" si="20"/>
        <v>Honorarium</v>
      </c>
      <c r="AA328" s="82" t="s">
        <v>48</v>
      </c>
      <c r="AB328" s="60">
        <v>33000</v>
      </c>
      <c r="AC328" s="60">
        <v>396000</v>
      </c>
      <c r="AD328" s="54">
        <v>396000</v>
      </c>
      <c r="AE328" s="61">
        <v>356756.75675675675</v>
      </c>
      <c r="AF328" s="61">
        <v>396000</v>
      </c>
      <c r="AG328" s="62" t="s">
        <v>38</v>
      </c>
      <c r="AH328" s="63" t="e">
        <f>[1]Data2025!W327</f>
        <v>#N/A</v>
      </c>
    </row>
    <row r="329" spans="1:34" ht="16.5" thickTop="1" thickBot="1">
      <c r="A329" s="41">
        <f>[1]Data2025!G328</f>
        <v>131</v>
      </c>
      <c r="B329" s="42" t="str">
        <f>[1]Data2025!K328</f>
        <v>BNU54</v>
      </c>
      <c r="C329" s="43" t="str">
        <f>[1]Data2025!D328</f>
        <v>07. 12. 04.</v>
      </c>
      <c r="D329" s="44" t="str">
        <f>[1]Data2025!C328</f>
        <v>5.1.02.02.01.0016</v>
      </c>
      <c r="E329" s="45">
        <f>[1]Data2025!E328</f>
        <v>45735</v>
      </c>
      <c r="F329" s="46" t="str">
        <f>[1]Data2025!F328</f>
        <v>21/03/2025</v>
      </c>
      <c r="G329" s="45" t="str">
        <f>[1]Data2025!H328</f>
        <v>21/03/2025</v>
      </c>
      <c r="H329" s="45" t="str">
        <f t="shared" si="18"/>
        <v>21/03/2025</v>
      </c>
      <c r="I329" s="47" t="str">
        <f>[1]Data2025!J328</f>
        <v>21/03/2025</v>
      </c>
      <c r="J329" s="48" t="str">
        <f>[1]Data2025!L328</f>
        <v>Zefrianus Zai</v>
      </c>
      <c r="K329" s="48" t="str">
        <f>[1]Data2025!M328</f>
        <v>Gaji Pegawai Tidak Tetap Sekolah</v>
      </c>
      <c r="L329" s="49">
        <f>[1]Data2025!N328</f>
        <v>1</v>
      </c>
      <c r="M329" s="49" t="str">
        <f>[1]Data2025!O328</f>
        <v>bulan/orang</v>
      </c>
      <c r="N329" s="50">
        <f>[1]Data2025!P328</f>
        <v>2000000</v>
      </c>
      <c r="O329" s="51">
        <f>[1]Data2025!Q328</f>
        <v>2000000</v>
      </c>
      <c r="P329" s="52" t="s">
        <v>76</v>
      </c>
      <c r="Q329" s="53" t="e">
        <f>VLOOKUP(K329,[1]Sheet1!$C$1:$D$101,2,)</f>
        <v>#N/A</v>
      </c>
      <c r="R329" s="77">
        <v>75000</v>
      </c>
      <c r="S329" s="78">
        <v>85000</v>
      </c>
      <c r="T329" s="56">
        <f>[1]Data2025!T328</f>
        <v>0</v>
      </c>
      <c r="U329" s="80" t="s">
        <v>35</v>
      </c>
      <c r="V329" s="56" t="e">
        <f>[1]Data2025!V328</f>
        <v>#N/A</v>
      </c>
      <c r="W329" s="56" t="e">
        <f>[1]Data2025!X328</f>
        <v>#N/A</v>
      </c>
      <c r="X329" s="80" t="s">
        <v>36</v>
      </c>
      <c r="Y329" s="57" t="str">
        <f t="shared" si="19"/>
        <v>Honorarium</v>
      </c>
      <c r="Z329" s="58" t="str">
        <f t="shared" si="20"/>
        <v>Honorarium</v>
      </c>
      <c r="AA329" s="82" t="s">
        <v>42</v>
      </c>
      <c r="AB329" s="60">
        <v>15000</v>
      </c>
      <c r="AC329" s="60">
        <v>75000</v>
      </c>
      <c r="AD329" s="54">
        <v>75000</v>
      </c>
      <c r="AE329" s="61">
        <v>67567.567567567574</v>
      </c>
      <c r="AF329" s="61">
        <v>75000</v>
      </c>
      <c r="AG329" s="62" t="s">
        <v>38</v>
      </c>
      <c r="AH329" s="63" t="e">
        <f>[1]Data2025!W328</f>
        <v>#N/A</v>
      </c>
    </row>
    <row r="330" spans="1:34" ht="16.5" thickTop="1" thickBot="1">
      <c r="A330" s="41">
        <f>[1]Data2025!G329</f>
        <v>132</v>
      </c>
      <c r="B330" s="42" t="str">
        <f>[1]Data2025!K329</f>
        <v>BPU52</v>
      </c>
      <c r="C330" s="43" t="str">
        <f>[1]Data2025!D329</f>
        <v>07. 12. 04.</v>
      </c>
      <c r="D330" s="44" t="str">
        <f>[1]Data2025!C329</f>
        <v>5.1.02.02.01.0030</v>
      </c>
      <c r="E330" s="45">
        <f>[1]Data2025!E329</f>
        <v>45735</v>
      </c>
      <c r="F330" s="46" t="str">
        <f>[1]Data2025!F329</f>
        <v>21/03/2025</v>
      </c>
      <c r="G330" s="45" t="str">
        <f>[1]Data2025!H329</f>
        <v>21/03/2025</v>
      </c>
      <c r="H330" s="45" t="str">
        <f t="shared" si="18"/>
        <v>21/03/2025</v>
      </c>
      <c r="I330" s="47" t="str">
        <f>[1]Data2025!J329</f>
        <v>21/03/2025</v>
      </c>
      <c r="J330" s="48" t="str">
        <f>[1]Data2025!L329</f>
        <v>Thomas Hondro</v>
      </c>
      <c r="K330" s="48" t="str">
        <f>[1]Data2025!M329</f>
        <v>Gaji Pegawai Tidak Tetap Sekolah</v>
      </c>
      <c r="L330" s="49">
        <f>[1]Data2025!N329</f>
        <v>1</v>
      </c>
      <c r="M330" s="49" t="str">
        <f>[1]Data2025!O329</f>
        <v>bulan</v>
      </c>
      <c r="N330" s="50">
        <f>[1]Data2025!P329</f>
        <v>1000000</v>
      </c>
      <c r="O330" s="51">
        <f>[1]Data2025!Q329</f>
        <v>1000000</v>
      </c>
      <c r="P330" s="52" t="s">
        <v>76</v>
      </c>
      <c r="Q330" s="53" t="e">
        <f>VLOOKUP(K330,[1]Sheet1!$C$1:$D$101,2,)</f>
        <v>#N/A</v>
      </c>
      <c r="R330" s="77">
        <v>300000</v>
      </c>
      <c r="S330" s="78">
        <v>310000</v>
      </c>
      <c r="T330" s="56">
        <f>[1]Data2025!T329</f>
        <v>0</v>
      </c>
      <c r="U330" s="80" t="s">
        <v>35</v>
      </c>
      <c r="V330" s="56" t="e">
        <f>[1]Data2025!V329</f>
        <v>#N/A</v>
      </c>
      <c r="W330" s="56" t="e">
        <f>[1]Data2025!X329</f>
        <v>#N/A</v>
      </c>
      <c r="X330" s="80" t="s">
        <v>36</v>
      </c>
      <c r="Y330" s="57" t="str">
        <f t="shared" si="19"/>
        <v>Honorarium</v>
      </c>
      <c r="Z330" s="58" t="str">
        <f t="shared" si="20"/>
        <v>Honorarium</v>
      </c>
      <c r="AA330" s="82" t="s">
        <v>44</v>
      </c>
      <c r="AB330" s="60">
        <v>60000</v>
      </c>
      <c r="AC330" s="60">
        <v>300000</v>
      </c>
      <c r="AD330" s="54">
        <v>300000</v>
      </c>
      <c r="AE330" s="61">
        <v>270270.2702702703</v>
      </c>
      <c r="AF330" s="61">
        <v>300000</v>
      </c>
      <c r="AG330" s="62" t="s">
        <v>38</v>
      </c>
      <c r="AH330" s="63" t="e">
        <f>[1]Data2025!W329</f>
        <v>#N/A</v>
      </c>
    </row>
    <row r="331" spans="1:34" ht="16.5" thickTop="1" thickBot="1">
      <c r="A331" s="41">
        <f>[1]Data2025!G330</f>
        <v>0</v>
      </c>
      <c r="B331" s="42">
        <f>[1]Data2025!K330</f>
        <v>0</v>
      </c>
      <c r="C331" s="43">
        <f>[1]Data2025!D330</f>
        <v>0</v>
      </c>
      <c r="D331" s="44">
        <f>[1]Data2025!C330</f>
        <v>0</v>
      </c>
      <c r="E331" s="45">
        <f>[1]Data2025!E330</f>
        <v>0</v>
      </c>
      <c r="F331" s="46">
        <f>[1]Data2025!F330</f>
        <v>0</v>
      </c>
      <c r="G331" s="45">
        <f>[1]Data2025!H330</f>
        <v>0</v>
      </c>
      <c r="H331" s="45">
        <f t="shared" si="18"/>
        <v>0</v>
      </c>
      <c r="I331" s="47">
        <f>[1]Data2025!J330</f>
        <v>0</v>
      </c>
      <c r="J331" s="48">
        <f>[1]Data2025!L330</f>
        <v>0</v>
      </c>
      <c r="K331" s="48">
        <f>[1]Data2025!M330</f>
        <v>0</v>
      </c>
      <c r="L331" s="49">
        <f>[1]Data2025!N330</f>
        <v>0</v>
      </c>
      <c r="M331" s="49">
        <f>[1]Data2025!O330</f>
        <v>0</v>
      </c>
      <c r="N331" s="50">
        <f>[1]Data2025!P330</f>
        <v>0</v>
      </c>
      <c r="O331" s="51">
        <f>[1]Data2025!Q330</f>
        <v>0</v>
      </c>
      <c r="P331" s="52"/>
      <c r="Q331" s="53" t="e">
        <f>VLOOKUP(K331,[1]Sheet1!$C$1:$D$101,2,)</f>
        <v>#N/A</v>
      </c>
      <c r="R331" s="77">
        <v>37500</v>
      </c>
      <c r="S331" s="78">
        <v>47500</v>
      </c>
      <c r="T331" s="56">
        <f>[1]Data2025!T330</f>
        <v>0</v>
      </c>
      <c r="U331" s="80" t="s">
        <v>35</v>
      </c>
      <c r="V331" s="56" t="e">
        <f>[1]Data2025!V330</f>
        <v>#N/A</v>
      </c>
      <c r="W331" s="56" t="e">
        <f>[1]Data2025!X330</f>
        <v>#N/A</v>
      </c>
      <c r="X331" s="80" t="s">
        <v>36</v>
      </c>
      <c r="Y331" s="57">
        <f t="shared" si="19"/>
        <v>0</v>
      </c>
      <c r="Z331" s="58">
        <f t="shared" si="20"/>
        <v>0</v>
      </c>
      <c r="AA331" s="82" t="s">
        <v>37</v>
      </c>
      <c r="AB331" s="60">
        <v>7500</v>
      </c>
      <c r="AC331" s="60">
        <v>37500</v>
      </c>
      <c r="AD331" s="54">
        <v>37500</v>
      </c>
      <c r="AE331" s="61">
        <v>33783.783783783787</v>
      </c>
      <c r="AF331" s="61">
        <v>37500</v>
      </c>
      <c r="AG331" s="62" t="s">
        <v>38</v>
      </c>
      <c r="AH331" s="63" t="e">
        <f>[1]Data2025!W330</f>
        <v>#N/A</v>
      </c>
    </row>
    <row r="332" spans="1:34" ht="16.5" thickTop="1" thickBot="1">
      <c r="A332" s="41">
        <f>[1]Data2025!G331</f>
        <v>325</v>
      </c>
      <c r="B332" s="42">
        <f>[1]Data2025!K331</f>
        <v>0</v>
      </c>
      <c r="C332" s="43" t="str">
        <f>[1]Data2025!D331</f>
        <v>03. 03. 14.</v>
      </c>
      <c r="D332" s="44" t="str">
        <f>[1]Data2025!C331</f>
        <v>5.1.02.01.01.0052</v>
      </c>
      <c r="E332" s="45">
        <f>[1]Data2025!E331</f>
        <v>0</v>
      </c>
      <c r="F332" s="46">
        <f>[1]Data2025!F331</f>
        <v>0</v>
      </c>
      <c r="G332" s="45">
        <f>[1]Data2025!H331</f>
        <v>0</v>
      </c>
      <c r="H332" s="45">
        <f t="shared" si="18"/>
        <v>0</v>
      </c>
      <c r="I332" s="47">
        <f>[1]Data2025!J331</f>
        <v>0</v>
      </c>
      <c r="J332" s="48" t="str">
        <f>[1]Data2025!L331</f>
        <v>Kudapan pada Kegiatan rubrik/Ibadah Bulanan</v>
      </c>
      <c r="K332" s="48" t="str">
        <f>[1]Data2025!M331</f>
        <v>Kue Besar</v>
      </c>
      <c r="L332" s="49">
        <f>[1]Data2025!N331</f>
        <v>100</v>
      </c>
      <c r="M332" s="49" t="str">
        <f>[1]Data2025!O331</f>
        <v>kotak</v>
      </c>
      <c r="N332" s="50">
        <f>[1]Data2025!P331</f>
        <v>15000</v>
      </c>
      <c r="O332" s="51">
        <f>[1]Data2025!Q331</f>
        <v>1500000</v>
      </c>
      <c r="P332" s="52" t="s">
        <v>58</v>
      </c>
      <c r="Q332" s="53" t="str">
        <f>VLOOKUP(K332,[1]Sheet1!$C$1:$D$101,2,)</f>
        <v>Kue (bahan tepung terigu, gula, telur, mentega; berat 100gr, panjang 15cm, lebar 8 cm)</v>
      </c>
      <c r="R332" s="77">
        <v>69000</v>
      </c>
      <c r="S332" s="78">
        <v>75000</v>
      </c>
      <c r="T332" s="56" t="str">
        <f>[1]Data2025!T331</f>
        <v>Rumah Roti Helena</v>
      </c>
      <c r="U332" s="80" t="s">
        <v>35</v>
      </c>
      <c r="V332" s="56" t="str">
        <f>[1]Data2025!V331</f>
        <v>Fudi Supiyanto</v>
      </c>
      <c r="W332" s="56" t="str">
        <f>[1]Data2025!X331</f>
        <v>Jln Ahmad Yani No.89 Kel. Pasar Telukdalam, Nias Selatan</v>
      </c>
      <c r="X332" s="80" t="s">
        <v>36</v>
      </c>
      <c r="Y332" s="57" t="str">
        <f t="shared" si="19"/>
        <v>Kudapan</v>
      </c>
      <c r="Z332" s="58" t="str">
        <f t="shared" si="20"/>
        <v>Kudapan</v>
      </c>
      <c r="AA332" s="82" t="s">
        <v>44</v>
      </c>
      <c r="AB332" s="60">
        <v>23000</v>
      </c>
      <c r="AC332" s="60">
        <v>69000</v>
      </c>
      <c r="AD332" s="54">
        <v>69000</v>
      </c>
      <c r="AE332" s="61">
        <v>62162.16216216216</v>
      </c>
      <c r="AF332" s="61">
        <v>69000</v>
      </c>
      <c r="AG332" s="62" t="s">
        <v>38</v>
      </c>
      <c r="AH332" s="63" t="str">
        <f>[1]Data2025!W331</f>
        <v>082164895397</v>
      </c>
    </row>
    <row r="333" spans="1:34" ht="16.5" thickTop="1" thickBot="1">
      <c r="A333" s="41">
        <f>[1]Data2025!G332</f>
        <v>326</v>
      </c>
      <c r="B333" s="42">
        <f>[1]Data2025!K332</f>
        <v>0</v>
      </c>
      <c r="C333" s="43" t="str">
        <f>[1]Data2025!D332</f>
        <v>03. 03. 21.</v>
      </c>
      <c r="D333" s="44" t="str">
        <f>[1]Data2025!C332</f>
        <v>5.1.02.01.01.0026</v>
      </c>
      <c r="E333" s="45">
        <f>[1]Data2025!E332</f>
        <v>0</v>
      </c>
      <c r="F333" s="46">
        <f>[1]Data2025!F332</f>
        <v>0</v>
      </c>
      <c r="G333" s="45">
        <f>[1]Data2025!H332</f>
        <v>0</v>
      </c>
      <c r="H333" s="45">
        <f t="shared" si="18"/>
        <v>0</v>
      </c>
      <c r="I333" s="47">
        <f>[1]Data2025!J332</f>
        <v>0</v>
      </c>
      <c r="J333" s="48" t="str">
        <f>[1]Data2025!L332</f>
        <v>Spanduk Uk. 1 x 6 meter-</v>
      </c>
      <c r="K333" s="48" t="str">
        <f>[1]Data2025!M332</f>
        <v>Spanduk Uk. 1 x 6 meter-</v>
      </c>
      <c r="L333" s="49">
        <f>[1]Data2025!N332</f>
        <v>2</v>
      </c>
      <c r="M333" s="49" t="str">
        <f>[1]Data2025!O332</f>
        <v>buah</v>
      </c>
      <c r="N333" s="50">
        <f>[1]Data2025!P332</f>
        <v>300000</v>
      </c>
      <c r="O333" s="51">
        <f>[1]Data2025!Q332</f>
        <v>600000</v>
      </c>
      <c r="P333" s="52" t="s">
        <v>64</v>
      </c>
      <c r="Q333" s="53" t="e">
        <f>VLOOKUP(K333,[1]Sheet1!$C$1:$D$101,2,)</f>
        <v>#N/A</v>
      </c>
      <c r="R333" s="77">
        <v>125000</v>
      </c>
      <c r="S333" s="78">
        <v>135000</v>
      </c>
      <c r="T333" s="56" t="str">
        <f>[1]Data2025!T332</f>
        <v>UD. BALIZATO</v>
      </c>
      <c r="U333" s="80" t="s">
        <v>35</v>
      </c>
      <c r="V333" s="56" t="str">
        <f>[1]Data2025!V332</f>
        <v>Pieter B.P. Loi</v>
      </c>
      <c r="W333" s="56" t="str">
        <f>[1]Data2025!X332</f>
        <v>Jl. Diponegoro Kel. Pasar Telukdalam - Nias Selatan</v>
      </c>
      <c r="X333" s="80" t="s">
        <v>36</v>
      </c>
      <c r="Y333" s="57" t="str">
        <f t="shared" si="19"/>
        <v>Spanduk</v>
      </c>
      <c r="Z333" s="58" t="str">
        <f t="shared" si="20"/>
        <v>Spanduk</v>
      </c>
      <c r="AA333" s="82" t="s">
        <v>49</v>
      </c>
      <c r="AB333" s="60">
        <v>25000</v>
      </c>
      <c r="AC333" s="60">
        <v>125000</v>
      </c>
      <c r="AD333" s="54">
        <v>125000</v>
      </c>
      <c r="AE333" s="61">
        <v>112612.61261261262</v>
      </c>
      <c r="AF333" s="61">
        <v>125000</v>
      </c>
      <c r="AG333" s="62" t="s">
        <v>38</v>
      </c>
      <c r="AH333" s="63" t="str">
        <f>[1]Data2025!W332</f>
        <v>082166506229</v>
      </c>
    </row>
    <row r="334" spans="1:34" ht="38.5" thickTop="1" thickBot="1">
      <c r="A334" s="41">
        <f>[1]Data2025!G333</f>
        <v>327</v>
      </c>
      <c r="B334" s="42">
        <f>[1]Data2025!K333</f>
        <v>0</v>
      </c>
      <c r="C334" s="43" t="str">
        <f>[1]Data2025!D333</f>
        <v>03. 04. 01.</v>
      </c>
      <c r="D334" s="44" t="str">
        <f>[1]Data2025!C333</f>
        <v>5.1.02.01.01.0055</v>
      </c>
      <c r="E334" s="45">
        <f>[1]Data2025!E333</f>
        <v>0</v>
      </c>
      <c r="F334" s="46">
        <f>[1]Data2025!F333</f>
        <v>0</v>
      </c>
      <c r="G334" s="45">
        <f>[1]Data2025!H333</f>
        <v>0</v>
      </c>
      <c r="H334" s="45">
        <f t="shared" si="18"/>
        <v>0</v>
      </c>
      <c r="I334" s="47">
        <f>[1]Data2025!J333</f>
        <v>0</v>
      </c>
      <c r="J334" s="48" t="str">
        <f>[1]Data2025!L333</f>
        <v>Satuan Biaya Konsumsi Makanan dan Minuman Fasilitas Pelayanan Urusan Pendidikan Biasa, Makan - Provinsi Sumatera Utara--</v>
      </c>
      <c r="K334" s="48" t="str">
        <f>[1]Data2025!M333</f>
        <v>Nasi Kotak</v>
      </c>
      <c r="L334" s="49">
        <f>[1]Data2025!N333</f>
        <v>30</v>
      </c>
      <c r="M334" s="49" t="str">
        <f>[1]Data2025!O333</f>
        <v>kotak</v>
      </c>
      <c r="N334" s="50">
        <f>[1]Data2025!P333</f>
        <v>40000</v>
      </c>
      <c r="O334" s="51">
        <f>[1]Data2025!Q333</f>
        <v>1200000</v>
      </c>
      <c r="P334" s="52" t="s">
        <v>59</v>
      </c>
      <c r="Q334" s="53" t="str">
        <f>VLOOKUP(K334,[1]Sheet1!$C$1:$D$101,2,)</f>
        <v>Nasi Kotak (isi: Nasi putih;Sop daging; Sayur; Berat 1000gr; Dimensi; (PxLxT) 25cmx25cmx10cm)</v>
      </c>
      <c r="R334" s="77">
        <v>209000</v>
      </c>
      <c r="S334" s="78">
        <v>229000</v>
      </c>
      <c r="T334" s="56" t="str">
        <f>[1]Data2025!T333</f>
        <v>Resto JFC Esther</v>
      </c>
      <c r="U334" s="80" t="s">
        <v>35</v>
      </c>
      <c r="V334" s="56" t="str">
        <f>[1]Data2025!V333</f>
        <v>Limaati Daeli</v>
      </c>
      <c r="W334" s="56" t="str">
        <f>[1]Data2025!X333</f>
        <v>Jl. Saonigeho Km. 2 Telukdalam - Nias Selatan</v>
      </c>
      <c r="X334" s="80" t="s">
        <v>36</v>
      </c>
      <c r="Y334" s="57" t="str">
        <f t="shared" si="19"/>
        <v>Konsumsi</v>
      </c>
      <c r="Z334" s="58" t="str">
        <f t="shared" si="20"/>
        <v>Konsumsi</v>
      </c>
      <c r="AA334" s="82" t="s">
        <v>42</v>
      </c>
      <c r="AB334" s="60">
        <v>20900</v>
      </c>
      <c r="AC334" s="60">
        <v>209000</v>
      </c>
      <c r="AD334" s="54">
        <v>209000</v>
      </c>
      <c r="AE334" s="61">
        <v>188288.28828828828</v>
      </c>
      <c r="AF334" s="61">
        <v>209000</v>
      </c>
      <c r="AG334" s="62" t="s">
        <v>38</v>
      </c>
      <c r="AH334" s="63" t="str">
        <f>[1]Data2025!W333</f>
        <v>085297578868</v>
      </c>
    </row>
    <row r="335" spans="1:34" s="88" customFormat="1" ht="38.5" thickTop="1" thickBot="1">
      <c r="A335" s="41">
        <f>[1]Data2025!G334</f>
        <v>328</v>
      </c>
      <c r="B335" s="42">
        <f>[1]Data2025!K334</f>
        <v>0</v>
      </c>
      <c r="C335" s="43" t="str">
        <f>[1]Data2025!D334</f>
        <v>04. 06. 14.</v>
      </c>
      <c r="D335" s="44" t="str">
        <f>[1]Data2025!C334</f>
        <v>5.1.02.01.01.0052</v>
      </c>
      <c r="E335" s="45">
        <f>[1]Data2025!E334</f>
        <v>0</v>
      </c>
      <c r="F335" s="46">
        <f>[1]Data2025!F334</f>
        <v>0</v>
      </c>
      <c r="G335" s="45">
        <f>[1]Data2025!H334</f>
        <v>0</v>
      </c>
      <c r="H335" s="45">
        <f t="shared" si="18"/>
        <v>0</v>
      </c>
      <c r="I335" s="47">
        <f>[1]Data2025!J334</f>
        <v>0</v>
      </c>
      <c r="J335" s="48" t="str">
        <f>[1]Data2025!L334</f>
        <v>Kudapan pada Kegiatan Workshop Peningkatan Kompetensi Guru Menggunakan Metode/Strategi Pembelajaran</v>
      </c>
      <c r="K335" s="48" t="str">
        <f>[1]Data2025!M334</f>
        <v>Kue Besar</v>
      </c>
      <c r="L335" s="49">
        <f>[1]Data2025!N334</f>
        <v>60</v>
      </c>
      <c r="M335" s="49" t="str">
        <f>[1]Data2025!O334</f>
        <v>kotak</v>
      </c>
      <c r="N335" s="50">
        <f>[1]Data2025!P334</f>
        <v>15000</v>
      </c>
      <c r="O335" s="51">
        <f>[1]Data2025!Q334</f>
        <v>900000</v>
      </c>
      <c r="P335" s="52" t="s">
        <v>58</v>
      </c>
      <c r="Q335" s="53" t="str">
        <f>VLOOKUP(K335,[1]Sheet1!$C$1:$D$101,2,)</f>
        <v>Kue (bahan tepung terigu, gula, telur, mentega; berat 100gr, panjang 15cm, lebar 8 cm)</v>
      </c>
      <c r="R335" s="77">
        <v>10000</v>
      </c>
      <c r="S335" s="78">
        <v>14000</v>
      </c>
      <c r="T335" s="56" t="str">
        <f>[1]Data2025!T334</f>
        <v>Resto JFC Esther</v>
      </c>
      <c r="U335" s="80" t="s">
        <v>35</v>
      </c>
      <c r="V335" s="56" t="str">
        <f>[1]Data2025!V334</f>
        <v>Limaati Daeli</v>
      </c>
      <c r="W335" s="56" t="str">
        <f>[1]Data2025!X334</f>
        <v>Jl. Saonigeho Km. 2 Telukdalam - Nias Selatan</v>
      </c>
      <c r="X335" s="80" t="s">
        <v>36</v>
      </c>
      <c r="Y335" s="57" t="str">
        <f t="shared" si="19"/>
        <v>Kudapan</v>
      </c>
      <c r="Z335" s="58" t="str">
        <f t="shared" si="20"/>
        <v>Kudapan</v>
      </c>
      <c r="AA335" s="82" t="s">
        <v>37</v>
      </c>
      <c r="AB335" s="83">
        <v>5000</v>
      </c>
      <c r="AC335" s="83">
        <v>10000</v>
      </c>
      <c r="AD335" s="77">
        <v>10000</v>
      </c>
      <c r="AE335" s="84">
        <v>9009.0090090090089</v>
      </c>
      <c r="AF335" s="84">
        <v>10000</v>
      </c>
      <c r="AG335" s="62" t="s">
        <v>38</v>
      </c>
      <c r="AH335" s="63" t="str">
        <f>[1]Data2025!W334</f>
        <v>085297578868</v>
      </c>
    </row>
    <row r="336" spans="1:34" ht="38.5" thickTop="1" thickBot="1">
      <c r="A336" s="41">
        <f>[1]Data2025!G335</f>
        <v>329</v>
      </c>
      <c r="B336" s="42">
        <f>[1]Data2025!K335</f>
        <v>0</v>
      </c>
      <c r="C336" s="43" t="str">
        <f>[1]Data2025!D335</f>
        <v>04. 06. 14.</v>
      </c>
      <c r="D336" s="44" t="str">
        <f>[1]Data2025!C335</f>
        <v>5.1.02.01.01.0052</v>
      </c>
      <c r="E336" s="45">
        <f>[1]Data2025!E335</f>
        <v>0</v>
      </c>
      <c r="F336" s="46">
        <f>[1]Data2025!F335</f>
        <v>0</v>
      </c>
      <c r="G336" s="45">
        <f>[1]Data2025!H335</f>
        <v>0</v>
      </c>
      <c r="H336" s="45">
        <f t="shared" si="18"/>
        <v>0</v>
      </c>
      <c r="I336" s="47">
        <f>[1]Data2025!J335</f>
        <v>0</v>
      </c>
      <c r="J336" s="48" t="str">
        <f>[1]Data2025!L335</f>
        <v>Konsumsi pada Kegiatan Workshop Peningkatan Kompetensi Guru Menggunakan Metode/Strategi Pembelajaran</v>
      </c>
      <c r="K336" s="48" t="str">
        <f>[1]Data2025!M335</f>
        <v>Nasi Kotak</v>
      </c>
      <c r="L336" s="49">
        <f>[1]Data2025!N335</f>
        <v>60</v>
      </c>
      <c r="M336" s="49" t="str">
        <f>[1]Data2025!O335</f>
        <v>kotak</v>
      </c>
      <c r="N336" s="50">
        <f>[1]Data2025!P335</f>
        <v>40000</v>
      </c>
      <c r="O336" s="51">
        <f>[1]Data2025!Q335</f>
        <v>2400000</v>
      </c>
      <c r="P336" s="52" t="s">
        <v>59</v>
      </c>
      <c r="Q336" s="53" t="str">
        <f>VLOOKUP(K336,[1]Sheet1!$C$1:$D$101,2,)</f>
        <v>Nasi Kotak (isi: Nasi putih;Sop daging; Sayur; Berat 1000gr; Dimensi; (PxLxT) 25cmx25cmx10cm)</v>
      </c>
      <c r="R336" s="77">
        <v>235000</v>
      </c>
      <c r="S336" s="78">
        <v>237000</v>
      </c>
      <c r="T336" s="56" t="str">
        <f>[1]Data2025!T335</f>
        <v>Resto JFC Esther</v>
      </c>
      <c r="U336" s="80" t="s">
        <v>35</v>
      </c>
      <c r="V336" s="56" t="str">
        <f>[1]Data2025!V335</f>
        <v>Limaati Daeli</v>
      </c>
      <c r="W336" s="56" t="str">
        <f>[1]Data2025!X335</f>
        <v>Jl. Saonigeho Km. 2 Telukdalam - Nias Selatan</v>
      </c>
      <c r="X336" s="80" t="s">
        <v>36</v>
      </c>
      <c r="Y336" s="57" t="str">
        <f t="shared" si="19"/>
        <v>Konsumsi</v>
      </c>
      <c r="Z336" s="58" t="str">
        <f t="shared" si="20"/>
        <v>Konsumsi</v>
      </c>
      <c r="AA336" s="82" t="s">
        <v>40</v>
      </c>
      <c r="AB336" s="60">
        <v>235000</v>
      </c>
      <c r="AC336" s="60">
        <v>235000</v>
      </c>
      <c r="AD336" s="54">
        <v>235000</v>
      </c>
      <c r="AE336" s="61">
        <v>211711.71171171172</v>
      </c>
      <c r="AF336" s="61">
        <v>235000</v>
      </c>
      <c r="AG336" s="62" t="s">
        <v>38</v>
      </c>
      <c r="AH336" s="63" t="str">
        <f>[1]Data2025!W335</f>
        <v>085297578868</v>
      </c>
    </row>
    <row r="337" spans="1:36" s="88" customFormat="1" ht="26" thickTop="1" thickBot="1">
      <c r="A337" s="41">
        <f>[1]Data2025!G336</f>
        <v>330</v>
      </c>
      <c r="B337" s="42">
        <f>[1]Data2025!K336</f>
        <v>0</v>
      </c>
      <c r="C337" s="43" t="str">
        <f>[1]Data2025!D336</f>
        <v>04. 06. 27.</v>
      </c>
      <c r="D337" s="44" t="str">
        <f>[1]Data2025!C336</f>
        <v>5.1.02.01.01.0052</v>
      </c>
      <c r="E337" s="45">
        <f>[1]Data2025!E336</f>
        <v>0</v>
      </c>
      <c r="F337" s="46">
        <f>[1]Data2025!F336</f>
        <v>0</v>
      </c>
      <c r="G337" s="45">
        <f>[1]Data2025!H336</f>
        <v>0</v>
      </c>
      <c r="H337" s="45">
        <f t="shared" si="18"/>
        <v>0</v>
      </c>
      <c r="I337" s="47">
        <f>[1]Data2025!J336</f>
        <v>0</v>
      </c>
      <c r="J337" s="48" t="str">
        <f>[1]Data2025!L336</f>
        <v>Kudapan pada Kegiatan Workshop Peningkatan Kompetensi Guru "Prinsip Pembelajaran dan Asesmen"</v>
      </c>
      <c r="K337" s="48" t="str">
        <f>[1]Data2025!M336</f>
        <v>Kue Besar</v>
      </c>
      <c r="L337" s="49">
        <f>[1]Data2025!N336</f>
        <v>60</v>
      </c>
      <c r="M337" s="49" t="str">
        <f>[1]Data2025!O336</f>
        <v>kotak</v>
      </c>
      <c r="N337" s="50">
        <f>[1]Data2025!P336</f>
        <v>15000</v>
      </c>
      <c r="O337" s="51">
        <f>[1]Data2025!Q336</f>
        <v>900000</v>
      </c>
      <c r="P337" s="52" t="s">
        <v>58</v>
      </c>
      <c r="Q337" s="53" t="str">
        <f>VLOOKUP(K337,[1]Sheet1!$C$1:$D$101,2,)</f>
        <v>Kue (bahan tepung terigu, gula, telur, mentega; berat 100gr, panjang 15cm, lebar 8 cm)</v>
      </c>
      <c r="R337" s="77">
        <v>440000</v>
      </c>
      <c r="S337" s="78">
        <v>448000</v>
      </c>
      <c r="T337" s="56" t="str">
        <f>[1]Data2025!T336</f>
        <v>Rumah Roti Helena</v>
      </c>
      <c r="U337" s="80" t="s">
        <v>35</v>
      </c>
      <c r="V337" s="56" t="str">
        <f>[1]Data2025!V336</f>
        <v>Fudi Supiyanto</v>
      </c>
      <c r="W337" s="56" t="str">
        <f>[1]Data2025!X336</f>
        <v>Jln Ahmad Yani No.89 Kel. Pasar Telukdalam, Nias Selatan</v>
      </c>
      <c r="X337" s="80" t="s">
        <v>36</v>
      </c>
      <c r="Y337" s="57" t="str">
        <f t="shared" si="19"/>
        <v>Kudapan</v>
      </c>
      <c r="Z337" s="58" t="str">
        <f t="shared" si="20"/>
        <v>Kudapan</v>
      </c>
      <c r="AA337" s="82" t="s">
        <v>48</v>
      </c>
      <c r="AB337" s="83">
        <v>110000</v>
      </c>
      <c r="AC337" s="83">
        <v>440000</v>
      </c>
      <c r="AD337" s="77">
        <v>440000</v>
      </c>
      <c r="AE337" s="84">
        <v>396396.39639639639</v>
      </c>
      <c r="AF337" s="84">
        <v>440000</v>
      </c>
      <c r="AG337" s="62" t="s">
        <v>38</v>
      </c>
      <c r="AH337" s="63" t="str">
        <f>[1]Data2025!W336</f>
        <v>082164895397</v>
      </c>
    </row>
    <row r="338" spans="1:36" s="88" customFormat="1" ht="26" thickTop="1" thickBot="1">
      <c r="A338" s="41">
        <f>[1]Data2025!G337</f>
        <v>331</v>
      </c>
      <c r="B338" s="42">
        <f>[1]Data2025!K337</f>
        <v>0</v>
      </c>
      <c r="C338" s="43" t="str">
        <f>[1]Data2025!D337</f>
        <v>04. 06. 27.</v>
      </c>
      <c r="D338" s="44" t="str">
        <f>[1]Data2025!C337</f>
        <v>5.1.02.01.01.0052</v>
      </c>
      <c r="E338" s="45">
        <f>[1]Data2025!E337</f>
        <v>0</v>
      </c>
      <c r="F338" s="46">
        <f>[1]Data2025!F337</f>
        <v>0</v>
      </c>
      <c r="G338" s="45">
        <f>[1]Data2025!H337</f>
        <v>0</v>
      </c>
      <c r="H338" s="45">
        <f t="shared" si="18"/>
        <v>0</v>
      </c>
      <c r="I338" s="47">
        <f>[1]Data2025!J337</f>
        <v>0</v>
      </c>
      <c r="J338" s="48" t="str">
        <f>[1]Data2025!L337</f>
        <v>Konsumsi pada Kegiatan Workshop Peningkatan Kompetensi Guru "Prinsip Pembelajaran dan Asesmen"</v>
      </c>
      <c r="K338" s="48" t="str">
        <f>[1]Data2025!M337</f>
        <v>Nasi Kotak</v>
      </c>
      <c r="L338" s="49">
        <f>[1]Data2025!N337</f>
        <v>60</v>
      </c>
      <c r="M338" s="49" t="str">
        <f>[1]Data2025!O337</f>
        <v>kotak</v>
      </c>
      <c r="N338" s="50">
        <f>[1]Data2025!P337</f>
        <v>40000</v>
      </c>
      <c r="O338" s="51">
        <f>[1]Data2025!Q337</f>
        <v>2400000</v>
      </c>
      <c r="P338" s="52" t="s">
        <v>59</v>
      </c>
      <c r="Q338" s="53" t="str">
        <f>VLOOKUP(K338,[1]Sheet1!$C$1:$D$101,2,)</f>
        <v>Nasi Kotak (isi: Nasi putih;Sop daging; Sayur; Berat 1000gr; Dimensi; (PxLxT) 25cmx25cmx10cm)</v>
      </c>
      <c r="R338" s="77">
        <v>426000</v>
      </c>
      <c r="S338" s="78">
        <v>450000</v>
      </c>
      <c r="T338" s="56" t="str">
        <f>[1]Data2025!T337</f>
        <v>Resto JFC Esther</v>
      </c>
      <c r="U338" s="80" t="s">
        <v>35</v>
      </c>
      <c r="V338" s="56" t="str">
        <f>[1]Data2025!V337</f>
        <v>Limaati Daeli</v>
      </c>
      <c r="W338" s="56" t="str">
        <f>[1]Data2025!X337</f>
        <v>Jl. Saonigeho Km. 2 Telukdalam - Nias Selatan</v>
      </c>
      <c r="X338" s="80" t="s">
        <v>36</v>
      </c>
      <c r="Y338" s="57" t="str">
        <f t="shared" si="19"/>
        <v>Konsumsi</v>
      </c>
      <c r="Z338" s="58" t="str">
        <f t="shared" si="20"/>
        <v>Konsumsi</v>
      </c>
      <c r="AA338" s="82" t="s">
        <v>42</v>
      </c>
      <c r="AB338" s="83">
        <v>35500</v>
      </c>
      <c r="AC338" s="83">
        <v>426000</v>
      </c>
      <c r="AD338" s="77">
        <v>426000</v>
      </c>
      <c r="AE338" s="84">
        <v>383783.78378378379</v>
      </c>
      <c r="AF338" s="84">
        <v>426000</v>
      </c>
      <c r="AG338" s="62" t="s">
        <v>38</v>
      </c>
      <c r="AH338" s="63" t="str">
        <f>[1]Data2025!W337</f>
        <v>085297578868</v>
      </c>
    </row>
    <row r="339" spans="1:36" s="88" customFormat="1" ht="26" thickTop="1" thickBot="1">
      <c r="A339" s="41">
        <f>[1]Data2025!G338</f>
        <v>332</v>
      </c>
      <c r="B339" s="42">
        <f>[1]Data2025!K338</f>
        <v>0</v>
      </c>
      <c r="C339" s="43" t="str">
        <f>[1]Data2025!D338</f>
        <v>05. 05. 02.</v>
      </c>
      <c r="D339" s="44" t="str">
        <f>[1]Data2025!C338</f>
        <v>5.1.02.01.01.0052</v>
      </c>
      <c r="E339" s="45">
        <f>[1]Data2025!E338</f>
        <v>0</v>
      </c>
      <c r="F339" s="46">
        <f>[1]Data2025!F338</f>
        <v>0</v>
      </c>
      <c r="G339" s="45">
        <f>[1]Data2025!H338</f>
        <v>0</v>
      </c>
      <c r="H339" s="45">
        <f t="shared" si="18"/>
        <v>0</v>
      </c>
      <c r="I339" s="47">
        <f>[1]Data2025!J338</f>
        <v>0</v>
      </c>
      <c r="J339" s="48" t="str">
        <f>[1]Data2025!L338</f>
        <v>Air Mineral pada pelaksanaan kegiatan bulanan Gerakan Bersih Lingkungan Sekolah</v>
      </c>
      <c r="K339" s="48" t="str">
        <f>[1]Data2025!M338</f>
        <v>Aqua Cup</v>
      </c>
      <c r="L339" s="49">
        <f>[1]Data2025!N338</f>
        <v>25</v>
      </c>
      <c r="M339" s="49" t="str">
        <f>[1]Data2025!O338</f>
        <v>dus</v>
      </c>
      <c r="N339" s="50">
        <f>[1]Data2025!P338</f>
        <v>50000</v>
      </c>
      <c r="O339" s="51">
        <f>[1]Data2025!Q338</f>
        <v>1250000</v>
      </c>
      <c r="P339" s="52" t="s">
        <v>34</v>
      </c>
      <c r="Q339" s="53" t="str">
        <f>VLOOKUP(K339,[1]Sheet1!$C$1:$D$101,2,)</f>
        <v>Aqua Cup (Diameter: 6.3cm. Tinggi: 9.5cm)</v>
      </c>
      <c r="R339" s="77">
        <v>50000</v>
      </c>
      <c r="S339" s="78">
        <v>54000</v>
      </c>
      <c r="T339" s="56" t="str">
        <f>[1]Data2025!T338</f>
        <v>Rumah Roti Helena</v>
      </c>
      <c r="U339" s="80" t="s">
        <v>35</v>
      </c>
      <c r="V339" s="56" t="str">
        <f>[1]Data2025!V338</f>
        <v>Fudi Supiyanto</v>
      </c>
      <c r="W339" s="56" t="str">
        <f>[1]Data2025!X338</f>
        <v>Jln Ahmad Yani No.89 Kel. Pasar Telukdalam, Nias Selatan</v>
      </c>
      <c r="X339" s="80" t="s">
        <v>36</v>
      </c>
      <c r="Y339" s="57" t="str">
        <f t="shared" si="19"/>
        <v>Air Mineral</v>
      </c>
      <c r="Z339" s="58" t="str">
        <f t="shared" si="20"/>
        <v>Air Mineral</v>
      </c>
      <c r="AA339" s="82" t="s">
        <v>42</v>
      </c>
      <c r="AB339" s="83">
        <v>25000</v>
      </c>
      <c r="AC339" s="83">
        <v>50000</v>
      </c>
      <c r="AD339" s="77">
        <v>50000</v>
      </c>
      <c r="AE339" s="84">
        <v>45045.045045045044</v>
      </c>
      <c r="AF339" s="84">
        <v>50000</v>
      </c>
      <c r="AG339" s="62" t="s">
        <v>38</v>
      </c>
      <c r="AH339" s="63" t="str">
        <f>[1]Data2025!W338</f>
        <v>082164895397</v>
      </c>
    </row>
    <row r="340" spans="1:36" s="88" customFormat="1" ht="16.5" thickTop="1" thickBot="1">
      <c r="A340" s="41">
        <f>[1]Data2025!G339</f>
        <v>333</v>
      </c>
      <c r="B340" s="42">
        <f>[1]Data2025!K339</f>
        <v>0</v>
      </c>
      <c r="C340" s="43" t="str">
        <f>[1]Data2025!D339</f>
        <v>05. 08. 02.</v>
      </c>
      <c r="D340" s="44" t="str">
        <f>[1]Data2025!C339</f>
        <v>5.1.02.01.01.0012</v>
      </c>
      <c r="E340" s="45">
        <f>[1]Data2025!E339</f>
        <v>0</v>
      </c>
      <c r="F340" s="46">
        <f>[1]Data2025!F339</f>
        <v>0</v>
      </c>
      <c r="G340" s="45">
        <f>[1]Data2025!H339</f>
        <v>0</v>
      </c>
      <c r="H340" s="45">
        <f t="shared" si="18"/>
        <v>0</v>
      </c>
      <c r="I340" s="47">
        <f>[1]Data2025!J339</f>
        <v>0</v>
      </c>
      <c r="J340" s="48" t="str">
        <f>[1]Data2025!L339</f>
        <v>Besi Anti Maling Lampu</v>
      </c>
      <c r="K340" s="48" t="str">
        <f>[1]Data2025!M339</f>
        <v>Besi</v>
      </c>
      <c r="L340" s="49">
        <f>[1]Data2025!N339</f>
        <v>20</v>
      </c>
      <c r="M340" s="49" t="str">
        <f>[1]Data2025!O339</f>
        <v>buah</v>
      </c>
      <c r="N340" s="50">
        <f>[1]Data2025!P339</f>
        <v>285000</v>
      </c>
      <c r="O340" s="51">
        <f>[1]Data2025!Q339</f>
        <v>5700000</v>
      </c>
      <c r="P340" s="52" t="s">
        <v>85</v>
      </c>
      <c r="Q340" s="53" t="e">
        <f>VLOOKUP(K340,[1]Sheet1!$C$1:$D$101,2,)</f>
        <v>#N/A</v>
      </c>
      <c r="R340" s="77">
        <v>45000</v>
      </c>
      <c r="S340" s="78">
        <v>47000</v>
      </c>
      <c r="T340" s="56" t="str">
        <f>[1]Data2025!T339</f>
        <v>CV. GORIYAKU WIRATRADE</v>
      </c>
      <c r="U340" s="80" t="s">
        <v>35</v>
      </c>
      <c r="V340" s="56" t="str">
        <f>[1]Data2025!V339</f>
        <v>Wirawan Bazikho</v>
      </c>
      <c r="W340" s="56" t="str">
        <f>[1]Data2025!X339</f>
        <v>Jl. Diponegoro No. 87, Kel Pasar Telukdalam - Nias Selatan</v>
      </c>
      <c r="X340" s="80" t="s">
        <v>36</v>
      </c>
      <c r="Y340" s="57" t="str">
        <f t="shared" si="19"/>
        <v>Bahan /Alat Pemeliharaan</v>
      </c>
      <c r="Z340" s="58" t="str">
        <f t="shared" si="20"/>
        <v>Bahan /Alat Pemeliharaan</v>
      </c>
      <c r="AA340" s="82" t="s">
        <v>44</v>
      </c>
      <c r="AB340" s="83">
        <v>45000</v>
      </c>
      <c r="AC340" s="83">
        <v>45000</v>
      </c>
      <c r="AD340" s="77">
        <v>45000</v>
      </c>
      <c r="AE340" s="84">
        <v>40540.54054054054</v>
      </c>
      <c r="AF340" s="84">
        <v>45000</v>
      </c>
      <c r="AG340" s="62" t="s">
        <v>38</v>
      </c>
      <c r="AH340" s="63" t="str">
        <f>[1]Data2025!W339</f>
        <v>082166714290</v>
      </c>
    </row>
    <row r="341" spans="1:36" s="88" customFormat="1" ht="16.5" thickTop="1" thickBot="1">
      <c r="A341" s="41">
        <f>[1]Data2025!G340</f>
        <v>334</v>
      </c>
      <c r="B341" s="42">
        <f>[1]Data2025!K340</f>
        <v>0</v>
      </c>
      <c r="C341" s="43" t="str">
        <f>[1]Data2025!D340</f>
        <v>05. 08. 02.</v>
      </c>
      <c r="D341" s="44" t="str">
        <f>[1]Data2025!C340</f>
        <v>5.1.02.01.01.0012</v>
      </c>
      <c r="E341" s="45">
        <f>[1]Data2025!E340</f>
        <v>0</v>
      </c>
      <c r="F341" s="46">
        <f>[1]Data2025!F340</f>
        <v>0</v>
      </c>
      <c r="G341" s="45">
        <f>[1]Data2025!H340</f>
        <v>0</v>
      </c>
      <c r="H341" s="45">
        <f t="shared" si="18"/>
        <v>0</v>
      </c>
      <c r="I341" s="47">
        <f>[1]Data2025!J340</f>
        <v>0</v>
      </c>
      <c r="J341" s="48" t="str">
        <f>[1]Data2025!L340</f>
        <v>Kalsiboard</v>
      </c>
      <c r="K341" s="48" t="str">
        <f>[1]Data2025!M340</f>
        <v>Kalsiboard</v>
      </c>
      <c r="L341" s="49">
        <f>[1]Data2025!N340</f>
        <v>10</v>
      </c>
      <c r="M341" s="49" t="str">
        <f>[1]Data2025!O340</f>
        <v>lembar</v>
      </c>
      <c r="N341" s="50">
        <f>[1]Data2025!P340</f>
        <v>350000</v>
      </c>
      <c r="O341" s="51">
        <f>[1]Data2025!Q340</f>
        <v>3500000</v>
      </c>
      <c r="P341" s="52" t="s">
        <v>85</v>
      </c>
      <c r="Q341" s="53" t="e">
        <f>VLOOKUP(K341,[1]Sheet1!$C$1:$D$101,2,)</f>
        <v>#N/A</v>
      </c>
      <c r="R341" s="77">
        <v>77500</v>
      </c>
      <c r="S341" s="78">
        <v>87500</v>
      </c>
      <c r="T341" s="56" t="str">
        <f>[1]Data2025!T340</f>
        <v>CV. GORIYAKU WIRATRADE</v>
      </c>
      <c r="U341" s="80" t="s">
        <v>35</v>
      </c>
      <c r="V341" s="56" t="str">
        <f>[1]Data2025!V340</f>
        <v>Wirawan Bazikho</v>
      </c>
      <c r="W341" s="56" t="str">
        <f>[1]Data2025!X340</f>
        <v>Jl. Diponegoro No. 87, Kel Pasar Telukdalam - Nias Selatan</v>
      </c>
      <c r="X341" s="80" t="s">
        <v>36</v>
      </c>
      <c r="Y341" s="57" t="str">
        <f t="shared" si="19"/>
        <v>Bahan /Alat Pemeliharaan</v>
      </c>
      <c r="Z341" s="58" t="str">
        <f t="shared" si="20"/>
        <v>Bahan /Alat Pemeliharaan</v>
      </c>
      <c r="AA341" s="82" t="s">
        <v>42</v>
      </c>
      <c r="AB341" s="83">
        <v>15500</v>
      </c>
      <c r="AC341" s="83">
        <v>77500</v>
      </c>
      <c r="AD341" s="77">
        <v>77500</v>
      </c>
      <c r="AE341" s="84">
        <v>69819.819819819822</v>
      </c>
      <c r="AF341" s="84">
        <v>77500</v>
      </c>
      <c r="AG341" s="62" t="s">
        <v>38</v>
      </c>
      <c r="AH341" s="63" t="str">
        <f>[1]Data2025!W340</f>
        <v>082166714290</v>
      </c>
    </row>
    <row r="342" spans="1:36" s="88" customFormat="1" ht="16.5" thickTop="1" thickBot="1">
      <c r="A342" s="41">
        <f>[1]Data2025!G341</f>
        <v>335</v>
      </c>
      <c r="B342" s="42">
        <f>[1]Data2025!K341</f>
        <v>0</v>
      </c>
      <c r="C342" s="43" t="str">
        <f>[1]Data2025!D341</f>
        <v>05. 08. 02.</v>
      </c>
      <c r="D342" s="44" t="str">
        <f>[1]Data2025!C341</f>
        <v>5.1.02.01.01.0012</v>
      </c>
      <c r="E342" s="45">
        <f>[1]Data2025!E341</f>
        <v>0</v>
      </c>
      <c r="F342" s="46">
        <f>[1]Data2025!F341</f>
        <v>0</v>
      </c>
      <c r="G342" s="45">
        <f>[1]Data2025!H341</f>
        <v>0</v>
      </c>
      <c r="H342" s="45">
        <f t="shared" si="18"/>
        <v>0</v>
      </c>
      <c r="I342" s="47">
        <f>[1]Data2025!J341</f>
        <v>0</v>
      </c>
      <c r="J342" s="48" t="str">
        <f>[1]Data2025!L341</f>
        <v>Besi Anti Maling Proyektor</v>
      </c>
      <c r="K342" s="48" t="str">
        <f>[1]Data2025!M341</f>
        <v>Besi</v>
      </c>
      <c r="L342" s="49">
        <f>[1]Data2025!N341</f>
        <v>3</v>
      </c>
      <c r="M342" s="49" t="str">
        <f>[1]Data2025!O341</f>
        <v>buah</v>
      </c>
      <c r="N342" s="50">
        <f>[1]Data2025!P341</f>
        <v>750000</v>
      </c>
      <c r="O342" s="51">
        <f>[1]Data2025!Q341</f>
        <v>2250000</v>
      </c>
      <c r="P342" s="52" t="s">
        <v>85</v>
      </c>
      <c r="Q342" s="53" t="e">
        <f>VLOOKUP(K342,[1]Sheet1!$C$1:$D$101,2,)</f>
        <v>#N/A</v>
      </c>
      <c r="R342" s="77">
        <v>30000</v>
      </c>
      <c r="S342" s="78">
        <v>40000</v>
      </c>
      <c r="T342" s="56" t="str">
        <f>[1]Data2025!T341</f>
        <v>CV. GORIYAKU WIRATRADE</v>
      </c>
      <c r="U342" s="80" t="s">
        <v>35</v>
      </c>
      <c r="V342" s="56" t="str">
        <f>[1]Data2025!V341</f>
        <v>Wirawan Bazikho</v>
      </c>
      <c r="W342" s="56" t="str">
        <f>[1]Data2025!X341</f>
        <v>Jl. Diponegoro No. 87, Kel Pasar Telukdalam - Nias Selatan</v>
      </c>
      <c r="X342" s="80" t="s">
        <v>36</v>
      </c>
      <c r="Y342" s="57" t="str">
        <f t="shared" si="19"/>
        <v>Bahan /Alat Pemeliharaan</v>
      </c>
      <c r="Z342" s="58" t="str">
        <f t="shared" si="20"/>
        <v>Bahan /Alat Pemeliharaan</v>
      </c>
      <c r="AA342" s="82" t="s">
        <v>37</v>
      </c>
      <c r="AB342" s="83">
        <v>6000</v>
      </c>
      <c r="AC342" s="83">
        <v>30000</v>
      </c>
      <c r="AD342" s="77">
        <v>30000</v>
      </c>
      <c r="AE342" s="84">
        <v>27027.027027027027</v>
      </c>
      <c r="AF342" s="84">
        <v>30000</v>
      </c>
      <c r="AG342" s="62" t="s">
        <v>38</v>
      </c>
      <c r="AH342" s="63" t="str">
        <f>[1]Data2025!W341</f>
        <v>082166714290</v>
      </c>
    </row>
    <row r="343" spans="1:36" s="88" customFormat="1" ht="16.5" thickTop="1" thickBot="1">
      <c r="A343" s="41">
        <f>[1]Data2025!G342</f>
        <v>336</v>
      </c>
      <c r="B343" s="42">
        <f>[1]Data2025!K342</f>
        <v>0</v>
      </c>
      <c r="C343" s="43" t="str">
        <f>[1]Data2025!D342</f>
        <v>05. 08. 02.</v>
      </c>
      <c r="D343" s="44" t="str">
        <f>[1]Data2025!C342</f>
        <v>5.1.02.01.01.0012</v>
      </c>
      <c r="E343" s="45">
        <f>[1]Data2025!E342</f>
        <v>0</v>
      </c>
      <c r="F343" s="46">
        <f>[1]Data2025!F342</f>
        <v>0</v>
      </c>
      <c r="G343" s="45">
        <f>[1]Data2025!H342</f>
        <v>0</v>
      </c>
      <c r="H343" s="45">
        <f t="shared" si="18"/>
        <v>0</v>
      </c>
      <c r="I343" s="47">
        <f>[1]Data2025!J342</f>
        <v>0</v>
      </c>
      <c r="J343" s="48" t="str">
        <f>[1]Data2025!L342</f>
        <v>Jasa Perbaikan dinding kelas</v>
      </c>
      <c r="K343" s="48" t="str">
        <f>[1]Data2025!M342</f>
        <v>Bayar Jasa Perbaikan</v>
      </c>
      <c r="L343" s="49">
        <f>[1]Data2025!N342</f>
        <v>1</v>
      </c>
      <c r="M343" s="49" t="str">
        <f>[1]Data2025!O342</f>
        <v>kegiatan</v>
      </c>
      <c r="N343" s="50">
        <f>[1]Data2025!P342</f>
        <v>1800000</v>
      </c>
      <c r="O343" s="51">
        <f>[1]Data2025!Q342</f>
        <v>1800000</v>
      </c>
      <c r="P343" s="52" t="s">
        <v>39</v>
      </c>
      <c r="Q343" s="53" t="e">
        <f>VLOOKUP(K343,[1]Sheet1!$C$1:$D$101,2,)</f>
        <v>#N/A</v>
      </c>
      <c r="R343" s="77">
        <v>125000</v>
      </c>
      <c r="S343" s="78">
        <v>135000</v>
      </c>
      <c r="T343" s="56">
        <f>[1]Data2025!T342</f>
        <v>0</v>
      </c>
      <c r="U343" s="80" t="s">
        <v>35</v>
      </c>
      <c r="V343" s="56" t="e">
        <f>[1]Data2025!V342</f>
        <v>#N/A</v>
      </c>
      <c r="W343" s="56" t="e">
        <f>[1]Data2025!X342</f>
        <v>#N/A</v>
      </c>
      <c r="X343" s="80" t="s">
        <v>36</v>
      </c>
      <c r="Y343" s="57" t="str">
        <f t="shared" si="19"/>
        <v>Pemeliharaan</v>
      </c>
      <c r="Z343" s="58" t="str">
        <f t="shared" si="20"/>
        <v>Pemeliharaan</v>
      </c>
      <c r="AA343" s="82" t="s">
        <v>42</v>
      </c>
      <c r="AB343" s="83">
        <v>25000</v>
      </c>
      <c r="AC343" s="83">
        <v>125000</v>
      </c>
      <c r="AD343" s="77">
        <v>125000</v>
      </c>
      <c r="AE343" s="84">
        <v>112612.61261261262</v>
      </c>
      <c r="AF343" s="84">
        <v>125000</v>
      </c>
      <c r="AG343" s="62" t="s">
        <v>38</v>
      </c>
      <c r="AH343" s="63" t="e">
        <f>[1]Data2025!W342</f>
        <v>#N/A</v>
      </c>
    </row>
    <row r="344" spans="1:36" ht="16.5" thickTop="1" thickBot="1">
      <c r="A344" s="41">
        <f>[1]Data2025!G343</f>
        <v>337</v>
      </c>
      <c r="B344" s="42">
        <f>[1]Data2025!K343</f>
        <v>0</v>
      </c>
      <c r="C344" s="43" t="str">
        <f>[1]Data2025!D343</f>
        <v>05. 08. 02.</v>
      </c>
      <c r="D344" s="44" t="str">
        <f>[1]Data2025!C343</f>
        <v>5.1.02.01.01.0012</v>
      </c>
      <c r="E344" s="45">
        <f>[1]Data2025!E343</f>
        <v>0</v>
      </c>
      <c r="F344" s="46">
        <f>[1]Data2025!F343</f>
        <v>0</v>
      </c>
      <c r="G344" s="45">
        <f>[1]Data2025!H343</f>
        <v>0</v>
      </c>
      <c r="H344" s="45">
        <f t="shared" si="18"/>
        <v>0</v>
      </c>
      <c r="I344" s="47">
        <f>[1]Data2025!J343</f>
        <v>0</v>
      </c>
      <c r="J344" s="48" t="str">
        <f>[1]Data2025!L343</f>
        <v>Jasa Pemasangan Anti maling</v>
      </c>
      <c r="K344" s="48" t="str">
        <f>[1]Data2025!M343</f>
        <v>Bayar Jasa Perbaikan</v>
      </c>
      <c r="L344" s="49">
        <f>[1]Data2025!N343</f>
        <v>1</v>
      </c>
      <c r="M344" s="49" t="str">
        <f>[1]Data2025!O343</f>
        <v>kegiatan</v>
      </c>
      <c r="N344" s="50">
        <f>[1]Data2025!P343</f>
        <v>2000000</v>
      </c>
      <c r="O344" s="51">
        <f>[1]Data2025!Q343</f>
        <v>2000000</v>
      </c>
      <c r="P344" s="52" t="s">
        <v>39</v>
      </c>
      <c r="Q344" s="53" t="e">
        <f>VLOOKUP(K344,[1]Sheet1!$C$1:$D$101,2,)</f>
        <v>#N/A</v>
      </c>
      <c r="R344" s="77">
        <v>500000</v>
      </c>
      <c r="S344" s="78">
        <v>520000</v>
      </c>
      <c r="T344" s="56">
        <f>[1]Data2025!T343</f>
        <v>0</v>
      </c>
      <c r="U344" s="80" t="s">
        <v>35</v>
      </c>
      <c r="V344" s="56" t="e">
        <f>[1]Data2025!V343</f>
        <v>#N/A</v>
      </c>
      <c r="W344" s="56" t="e">
        <f>[1]Data2025!X343</f>
        <v>#N/A</v>
      </c>
      <c r="X344" s="80" t="s">
        <v>36</v>
      </c>
      <c r="Y344" s="57" t="str">
        <f t="shared" si="19"/>
        <v>Pemeliharaan</v>
      </c>
      <c r="Z344" s="58" t="str">
        <f t="shared" si="20"/>
        <v>Pemeliharaan</v>
      </c>
      <c r="AA344" s="82" t="s">
        <v>44</v>
      </c>
      <c r="AB344" s="60">
        <v>50000</v>
      </c>
      <c r="AC344" s="60">
        <v>500000</v>
      </c>
      <c r="AD344" s="54">
        <v>500000</v>
      </c>
      <c r="AE344" s="61">
        <v>450450.45045045047</v>
      </c>
      <c r="AF344" s="61">
        <v>500000</v>
      </c>
      <c r="AG344" s="62" t="s">
        <v>38</v>
      </c>
      <c r="AH344" s="63" t="e">
        <f>[1]Data2025!W343</f>
        <v>#N/A</v>
      </c>
    </row>
    <row r="345" spans="1:36" ht="16.5" thickTop="1" thickBot="1">
      <c r="A345" s="41">
        <f>[1]Data2025!G344</f>
        <v>338</v>
      </c>
      <c r="B345" s="42">
        <f>[1]Data2025!K344</f>
        <v>0</v>
      </c>
      <c r="C345" s="43" t="str">
        <f>[1]Data2025!D344</f>
        <v>05. 08. 10.</v>
      </c>
      <c r="D345" s="44" t="str">
        <f>[1]Data2025!C344</f>
        <v>5.1.02.01.01.0031</v>
      </c>
      <c r="E345" s="45">
        <f>[1]Data2025!E344</f>
        <v>0</v>
      </c>
      <c r="F345" s="46">
        <f>[1]Data2025!F344</f>
        <v>0</v>
      </c>
      <c r="G345" s="45">
        <f>[1]Data2025!H344</f>
        <v>0</v>
      </c>
      <c r="H345" s="45">
        <f t="shared" si="18"/>
        <v>0</v>
      </c>
      <c r="I345" s="47">
        <f>[1]Data2025!J344</f>
        <v>0</v>
      </c>
      <c r="J345" s="48" t="str">
        <f>[1]Data2025!L344</f>
        <v>bola lampu hannock-45 watt</v>
      </c>
      <c r="K345" s="48" t="str">
        <f>[1]Data2025!M344</f>
        <v>bola lampu hannock-45 watt</v>
      </c>
      <c r="L345" s="49">
        <f>[1]Data2025!N344</f>
        <v>23</v>
      </c>
      <c r="M345" s="49" t="str">
        <f>[1]Data2025!O344</f>
        <v>buah</v>
      </c>
      <c r="N345" s="50">
        <f>[1]Data2025!P344</f>
        <v>77800</v>
      </c>
      <c r="O345" s="51">
        <f>[1]Data2025!Q344</f>
        <v>1789400</v>
      </c>
      <c r="P345" s="52" t="s">
        <v>41</v>
      </c>
      <c r="Q345" s="53" t="e">
        <f>VLOOKUP(K345,[1]Sheet1!$C$1:$D$101,2,)</f>
        <v>#N/A</v>
      </c>
      <c r="R345" s="77">
        <v>240000</v>
      </c>
      <c r="S345" s="78">
        <v>244000</v>
      </c>
      <c r="T345" s="56" t="str">
        <f>[1]Data2025!T344</f>
        <v>CV. GORIYAKU WIRATRADE</v>
      </c>
      <c r="U345" s="80" t="s">
        <v>35</v>
      </c>
      <c r="V345" s="56" t="str">
        <f>[1]Data2025!V344</f>
        <v>Wirawan Bazikho</v>
      </c>
      <c r="W345" s="56" t="str">
        <f>[1]Data2025!X344</f>
        <v>Jl. Diponegoro No. 87, Kel Pasar Telukdalam - Nias Selatan</v>
      </c>
      <c r="X345" s="80" t="s">
        <v>36</v>
      </c>
      <c r="Y345" s="57" t="str">
        <f t="shared" si="19"/>
        <v>Peralatan Listrik</v>
      </c>
      <c r="Z345" s="58" t="str">
        <f t="shared" si="20"/>
        <v>Peralatan Listrik</v>
      </c>
      <c r="AA345" s="82" t="s">
        <v>40</v>
      </c>
      <c r="AB345" s="60">
        <v>120000</v>
      </c>
      <c r="AC345" s="60">
        <v>240000</v>
      </c>
      <c r="AD345" s="54">
        <v>240000</v>
      </c>
      <c r="AE345" s="61">
        <v>216216.21621621621</v>
      </c>
      <c r="AF345" s="61">
        <v>240000</v>
      </c>
      <c r="AG345" s="62" t="s">
        <v>38</v>
      </c>
      <c r="AH345" s="63" t="str">
        <f>[1]Data2025!W344</f>
        <v>082166714290</v>
      </c>
    </row>
    <row r="346" spans="1:36" s="88" customFormat="1" ht="16.5" thickTop="1" thickBot="1">
      <c r="A346" s="41">
        <f>[1]Data2025!G345</f>
        <v>339</v>
      </c>
      <c r="B346" s="42">
        <f>[1]Data2025!K345</f>
        <v>0</v>
      </c>
      <c r="C346" s="43" t="str">
        <f>[1]Data2025!D345</f>
        <v>06. 05. 02.</v>
      </c>
      <c r="D346" s="44" t="str">
        <f>[1]Data2025!C345</f>
        <v>5.1.02.01.01.0052</v>
      </c>
      <c r="E346" s="45">
        <f>[1]Data2025!E345</f>
        <v>0</v>
      </c>
      <c r="F346" s="46">
        <f>[1]Data2025!F345</f>
        <v>0</v>
      </c>
      <c r="G346" s="45">
        <f>[1]Data2025!H345</f>
        <v>0</v>
      </c>
      <c r="H346" s="45">
        <f t="shared" si="18"/>
        <v>0</v>
      </c>
      <c r="I346" s="47">
        <f>[1]Data2025!J345</f>
        <v>0</v>
      </c>
      <c r="J346" s="48" t="str">
        <f>[1]Data2025!L345</f>
        <v>Kudapan Rapat Rutin Bulanan</v>
      </c>
      <c r="K346" s="48" t="str">
        <f>[1]Data2025!M345</f>
        <v>Kue Besar</v>
      </c>
      <c r="L346" s="49">
        <f>[1]Data2025!N345</f>
        <v>60</v>
      </c>
      <c r="M346" s="49" t="str">
        <f>[1]Data2025!O345</f>
        <v>buah</v>
      </c>
      <c r="N346" s="50">
        <f>[1]Data2025!P345</f>
        <v>15000</v>
      </c>
      <c r="O346" s="51">
        <f>[1]Data2025!Q345</f>
        <v>900000</v>
      </c>
      <c r="P346" s="52" t="s">
        <v>58</v>
      </c>
      <c r="Q346" s="53" t="str">
        <f>VLOOKUP(K346,[1]Sheet1!$C$1:$D$101,2,)</f>
        <v>Kue (bahan tepung terigu, gula, telur, mentega; berat 100gr, panjang 15cm, lebar 8 cm)</v>
      </c>
      <c r="R346" s="77">
        <v>30000</v>
      </c>
      <c r="S346" s="78">
        <v>34000</v>
      </c>
      <c r="T346" s="56" t="str">
        <f>[1]Data2025!T345</f>
        <v>Rumah Roti Helena</v>
      </c>
      <c r="U346" s="80" t="s">
        <v>35</v>
      </c>
      <c r="V346" s="56" t="str">
        <f>[1]Data2025!V345</f>
        <v>Fudi Supiyanto</v>
      </c>
      <c r="W346" s="56" t="str">
        <f>[1]Data2025!X345</f>
        <v>Jln Ahmad Yani No.89 Kel. Pasar Telukdalam, Nias Selatan</v>
      </c>
      <c r="X346" s="80" t="s">
        <v>36</v>
      </c>
      <c r="Y346" s="57" t="str">
        <f t="shared" si="19"/>
        <v>Kudapan</v>
      </c>
      <c r="Z346" s="58" t="str">
        <f t="shared" si="20"/>
        <v>Kudapan</v>
      </c>
      <c r="AA346" s="82" t="s">
        <v>42</v>
      </c>
      <c r="AB346" s="83">
        <v>15000</v>
      </c>
      <c r="AC346" s="83">
        <v>30000</v>
      </c>
      <c r="AD346" s="77">
        <v>30000</v>
      </c>
      <c r="AE346" s="84">
        <v>27027.027027027027</v>
      </c>
      <c r="AF346" s="84">
        <v>30000</v>
      </c>
      <c r="AG346" s="62" t="s">
        <v>38</v>
      </c>
      <c r="AH346" s="63" t="str">
        <f>[1]Data2025!W345</f>
        <v>082164895397</v>
      </c>
    </row>
    <row r="347" spans="1:36" s="88" customFormat="1" ht="16.5" thickTop="1" thickBot="1">
      <c r="A347" s="41">
        <f>[1]Data2025!G346</f>
        <v>340</v>
      </c>
      <c r="B347" s="42">
        <f>[1]Data2025!K346</f>
        <v>0</v>
      </c>
      <c r="C347" s="43" t="str">
        <f>[1]Data2025!D346</f>
        <v>06. 05. 08.</v>
      </c>
      <c r="D347" s="44" t="str">
        <f>[1]Data2025!C346</f>
        <v>5.1.02.01.01.0024</v>
      </c>
      <c r="E347" s="45">
        <f>[1]Data2025!E346</f>
        <v>0</v>
      </c>
      <c r="F347" s="46">
        <f>[1]Data2025!F346</f>
        <v>0</v>
      </c>
      <c r="G347" s="45">
        <f>[1]Data2025!H346</f>
        <v>0</v>
      </c>
      <c r="H347" s="45">
        <f t="shared" si="18"/>
        <v>0</v>
      </c>
      <c r="I347" s="47">
        <f>[1]Data2025!J346</f>
        <v>0</v>
      </c>
      <c r="J347" s="48" t="str">
        <f>[1]Data2025!L346</f>
        <v>Plastik Mika</v>
      </c>
      <c r="K347" s="48" t="str">
        <f>[1]Data2025!M346</f>
        <v>Plastik Mika</v>
      </c>
      <c r="L347" s="49">
        <f>[1]Data2025!N346</f>
        <v>5</v>
      </c>
      <c r="M347" s="49" t="str">
        <f>[1]Data2025!O346</f>
        <v>bungkus</v>
      </c>
      <c r="N347" s="50">
        <f>[1]Data2025!P346</f>
        <v>60000</v>
      </c>
      <c r="O347" s="51">
        <f>[1]Data2025!Q346</f>
        <v>300000</v>
      </c>
      <c r="P347" s="52" t="s">
        <v>43</v>
      </c>
      <c r="Q347" s="53" t="str">
        <f>VLOOKUP(K347,[1]Sheet1!$C$1:$D$101,2,)</f>
        <v>Plastik Mika Jilid F4 (Length 21.0Cm, Width 33.0Cm, Height 7.0Cm, Weight 548Gr)</v>
      </c>
      <c r="R347" s="77">
        <v>70800</v>
      </c>
      <c r="S347" s="78">
        <v>74800</v>
      </c>
      <c r="T347" s="56" t="str">
        <f>[1]Data2025!T346</f>
        <v>UD. JOSUA</v>
      </c>
      <c r="U347" s="80" t="s">
        <v>35</v>
      </c>
      <c r="V347" s="56" t="str">
        <f>[1]Data2025!V346</f>
        <v>Gestiwan Bazikho</v>
      </c>
      <c r="W347" s="56" t="str">
        <f>[1]Data2025!X346</f>
        <v>Jl. Diponegoro Kel. Pasar Telukdalam - Nias Selatan</v>
      </c>
      <c r="X347" s="80" t="s">
        <v>36</v>
      </c>
      <c r="Y347" s="57" t="str">
        <f t="shared" si="19"/>
        <v>Alat Tulis Kantor (ATK)</v>
      </c>
      <c r="Z347" s="58" t="str">
        <f t="shared" si="20"/>
        <v>Alat Tulis Kantor (ATK)</v>
      </c>
      <c r="AA347" s="82" t="s">
        <v>42</v>
      </c>
      <c r="AB347" s="83">
        <v>35400</v>
      </c>
      <c r="AC347" s="83">
        <v>70800</v>
      </c>
      <c r="AD347" s="77">
        <v>70800</v>
      </c>
      <c r="AE347" s="84">
        <v>63783.783783783787</v>
      </c>
      <c r="AF347" s="84">
        <v>70800</v>
      </c>
      <c r="AG347" s="62" t="s">
        <v>38</v>
      </c>
      <c r="AH347" s="63" t="str">
        <f>[1]Data2025!W346</f>
        <v>081375309828</v>
      </c>
    </row>
    <row r="348" spans="1:36" ht="26" thickTop="1" thickBot="1">
      <c r="A348" s="41">
        <f>[1]Data2025!G347</f>
        <v>341</v>
      </c>
      <c r="B348" s="42">
        <f>[1]Data2025!K347</f>
        <v>0</v>
      </c>
      <c r="C348" s="43" t="str">
        <f>[1]Data2025!D347</f>
        <v>06. 05. 08.</v>
      </c>
      <c r="D348" s="44" t="str">
        <f>[1]Data2025!C347</f>
        <v>5.1.02.01.01.0024</v>
      </c>
      <c r="E348" s="45">
        <f>[1]Data2025!E347</f>
        <v>0</v>
      </c>
      <c r="F348" s="46">
        <f>[1]Data2025!F347</f>
        <v>0</v>
      </c>
      <c r="G348" s="45">
        <f>[1]Data2025!H347</f>
        <v>0</v>
      </c>
      <c r="H348" s="45">
        <f t="shared" si="18"/>
        <v>0</v>
      </c>
      <c r="I348" s="47">
        <f>[1]Data2025!J347</f>
        <v>0</v>
      </c>
      <c r="J348" s="48" t="str">
        <f>[1]Data2025!L347</f>
        <v>Kertas Warna Blank Folio, Ukuran : 8,5 x 14",  70 gram</v>
      </c>
      <c r="K348" s="48" t="str">
        <f>[1]Data2025!M347</f>
        <v>Kertas Warna Blank Folio, Ukuran : 8,5 x 14",  70 gram</v>
      </c>
      <c r="L348" s="49">
        <f>[1]Data2025!N347</f>
        <v>2</v>
      </c>
      <c r="M348" s="49" t="str">
        <f>[1]Data2025!O347</f>
        <v>rim</v>
      </c>
      <c r="N348" s="50">
        <f>[1]Data2025!P347</f>
        <v>90000</v>
      </c>
      <c r="O348" s="51">
        <f>[1]Data2025!Q347</f>
        <v>180000</v>
      </c>
      <c r="P348" s="52" t="s">
        <v>43</v>
      </c>
      <c r="Q348" s="53" t="str">
        <f>VLOOKUP(K348,[1]Sheet1!$C$1:$D$101,2,)</f>
        <v>Kertas Hvs Warna 70 Gsm (Length 21.0Cm, Width 33.0Cm, Height 7.0Cm, Weight 2400Gr)</v>
      </c>
      <c r="R348" s="77">
        <v>200000</v>
      </c>
      <c r="S348" s="78">
        <v>220000</v>
      </c>
      <c r="T348" s="56" t="str">
        <f>[1]Data2025!T347</f>
        <v>UD. JOSUA</v>
      </c>
      <c r="U348" s="80" t="s">
        <v>35</v>
      </c>
      <c r="V348" s="56" t="str">
        <f>[1]Data2025!V347</f>
        <v>Gestiwan Bazikho</v>
      </c>
      <c r="W348" s="56" t="str">
        <f>[1]Data2025!X347</f>
        <v>Jl. Diponegoro Kel. Pasar Telukdalam - Nias Selatan</v>
      </c>
      <c r="X348" s="80" t="s">
        <v>36</v>
      </c>
      <c r="Y348" s="57" t="str">
        <f t="shared" si="19"/>
        <v>Alat Tulis Kantor (ATK)</v>
      </c>
      <c r="Z348" s="58" t="str">
        <f t="shared" si="20"/>
        <v>Alat Tulis Kantor (ATK)</v>
      </c>
      <c r="AA348" s="82" t="s">
        <v>37</v>
      </c>
      <c r="AB348" s="60">
        <v>20000</v>
      </c>
      <c r="AC348" s="60">
        <v>200000</v>
      </c>
      <c r="AD348" s="54">
        <v>200000</v>
      </c>
      <c r="AE348" s="61">
        <v>180180.18018018018</v>
      </c>
      <c r="AF348" s="61">
        <v>200000</v>
      </c>
      <c r="AG348" s="62" t="s">
        <v>38</v>
      </c>
      <c r="AH348" s="63" t="str">
        <f>[1]Data2025!W347</f>
        <v>081375309828</v>
      </c>
    </row>
    <row r="349" spans="1:36" s="88" customFormat="1" ht="16.5" thickTop="1" thickBot="1">
      <c r="A349" s="41">
        <f>[1]Data2025!G348</f>
        <v>342</v>
      </c>
      <c r="B349" s="42">
        <f>[1]Data2025!K348</f>
        <v>0</v>
      </c>
      <c r="C349" s="43" t="str">
        <f>[1]Data2025!D348</f>
        <v>06. 05. 08.</v>
      </c>
      <c r="D349" s="44" t="str">
        <f>[1]Data2025!C348</f>
        <v>5.1.02.01.01.0024</v>
      </c>
      <c r="E349" s="45">
        <f>[1]Data2025!E348</f>
        <v>0</v>
      </c>
      <c r="F349" s="46">
        <f>[1]Data2025!F348</f>
        <v>0</v>
      </c>
      <c r="G349" s="45">
        <f>[1]Data2025!H348</f>
        <v>0</v>
      </c>
      <c r="H349" s="45">
        <f t="shared" si="18"/>
        <v>0</v>
      </c>
      <c r="I349" s="47">
        <f>[1]Data2025!J348</f>
        <v>0</v>
      </c>
      <c r="J349" s="48" t="str">
        <f>[1]Data2025!L348</f>
        <v>Kertas Lain-Lain Kertas Buffalo</v>
      </c>
      <c r="K349" s="48" t="str">
        <f>[1]Data2025!M348</f>
        <v>Kertas Lain-Lain Kertas Buffalo</v>
      </c>
      <c r="L349" s="49">
        <f>[1]Data2025!N348</f>
        <v>5</v>
      </c>
      <c r="M349" s="49" t="str">
        <f>[1]Data2025!O348</f>
        <v>bungkus</v>
      </c>
      <c r="N349" s="50">
        <f>[1]Data2025!P348</f>
        <v>31000</v>
      </c>
      <c r="O349" s="51">
        <f>[1]Data2025!Q348</f>
        <v>155000</v>
      </c>
      <c r="P349" s="52" t="s">
        <v>43</v>
      </c>
      <c r="Q349" s="53" t="str">
        <f>VLOOKUP(K349,[1]Sheet1!$C$1:$D$101,2,)</f>
        <v>Kertas Buffalo F4 (Length 21.0Cm, Width 33.0Cm, Height 7.0Cm, Weight 1006Gr)</v>
      </c>
      <c r="R349" s="77">
        <v>440000</v>
      </c>
      <c r="S349" s="78">
        <v>448000</v>
      </c>
      <c r="T349" s="56" t="str">
        <f>[1]Data2025!T348</f>
        <v>UD. JOSUA</v>
      </c>
      <c r="U349" s="80" t="s">
        <v>35</v>
      </c>
      <c r="V349" s="56" t="str">
        <f>[1]Data2025!V348</f>
        <v>Gestiwan Bazikho</v>
      </c>
      <c r="W349" s="56" t="str">
        <f>[1]Data2025!X348</f>
        <v>Jl. Diponegoro Kel. Pasar Telukdalam - Nias Selatan</v>
      </c>
      <c r="X349" s="80" t="s">
        <v>36</v>
      </c>
      <c r="Y349" s="57" t="str">
        <f t="shared" si="19"/>
        <v>Alat Tulis Kantor (ATK)</v>
      </c>
      <c r="Z349" s="58" t="str">
        <f t="shared" si="20"/>
        <v>Alat Tulis Kantor (ATK)</v>
      </c>
      <c r="AA349" s="82" t="s">
        <v>48</v>
      </c>
      <c r="AB349" s="83">
        <v>110000</v>
      </c>
      <c r="AC349" s="83">
        <v>440000</v>
      </c>
      <c r="AD349" s="77">
        <v>440000</v>
      </c>
      <c r="AE349" s="84">
        <v>396396.39639639639</v>
      </c>
      <c r="AF349" s="84">
        <v>440000</v>
      </c>
      <c r="AG349" s="62" t="s">
        <v>38</v>
      </c>
      <c r="AH349" s="63" t="str">
        <f>[1]Data2025!W348</f>
        <v>081375309828</v>
      </c>
      <c r="AI349" s="87"/>
      <c r="AJ349" s="87"/>
    </row>
    <row r="350" spans="1:36" ht="26" thickTop="1" thickBot="1">
      <c r="A350" s="41">
        <f>[1]Data2025!G349</f>
        <v>343</v>
      </c>
      <c r="B350" s="42">
        <f>[1]Data2025!K349</f>
        <v>0</v>
      </c>
      <c r="C350" s="43" t="str">
        <f>[1]Data2025!D349</f>
        <v>06. 05. 08.</v>
      </c>
      <c r="D350" s="44" t="str">
        <f>[1]Data2025!C349</f>
        <v>5.1.02.01.01.0024</v>
      </c>
      <c r="E350" s="45">
        <f>[1]Data2025!E349</f>
        <v>0</v>
      </c>
      <c r="F350" s="46">
        <f>[1]Data2025!F349</f>
        <v>0</v>
      </c>
      <c r="G350" s="45">
        <f>[1]Data2025!H349</f>
        <v>0</v>
      </c>
      <c r="H350" s="45">
        <f t="shared" si="18"/>
        <v>0</v>
      </c>
      <c r="I350" s="47">
        <f>[1]Data2025!J349</f>
        <v>0</v>
      </c>
      <c r="J350" s="48" t="str">
        <f>[1]Data2025!L349</f>
        <v>Kertas Post-It Warna Warni  Sign Here</v>
      </c>
      <c r="K350" s="48" t="str">
        <f>[1]Data2025!M349</f>
        <v>Kertas Post-It Warna Warni  Sign Here</v>
      </c>
      <c r="L350" s="49">
        <f>[1]Data2025!N349</f>
        <v>5</v>
      </c>
      <c r="M350" s="49" t="str">
        <f>[1]Data2025!O349</f>
        <v>buah</v>
      </c>
      <c r="N350" s="50">
        <f>[1]Data2025!P349</f>
        <v>22800</v>
      </c>
      <c r="O350" s="51">
        <f>[1]Data2025!Q349</f>
        <v>114000</v>
      </c>
      <c r="P350" s="52" t="s">
        <v>43</v>
      </c>
      <c r="Q350" s="53" t="str">
        <f>VLOOKUP(K350,[1]Sheet1!$C$1:$D$101,2,)</f>
        <v>Post It Warna Warni (Length 7.0Cm, Width 7.0Cm, Height 7.0Cm, Weight 44Gr)</v>
      </c>
      <c r="R350" s="77">
        <v>25000</v>
      </c>
      <c r="S350" s="78">
        <v>35000</v>
      </c>
      <c r="T350" s="56" t="str">
        <f>[1]Data2025!T349</f>
        <v>UD. JOSUA</v>
      </c>
      <c r="U350" s="80" t="s">
        <v>35</v>
      </c>
      <c r="V350" s="56" t="str">
        <f>[1]Data2025!V349</f>
        <v>Gestiwan Bazikho</v>
      </c>
      <c r="W350" s="56" t="str">
        <f>[1]Data2025!X349</f>
        <v>Jl. Diponegoro Kel. Pasar Telukdalam - Nias Selatan</v>
      </c>
      <c r="X350" s="80" t="s">
        <v>36</v>
      </c>
      <c r="Y350" s="57" t="str">
        <f t="shared" si="19"/>
        <v>Alat Tulis Kantor (ATK)</v>
      </c>
      <c r="Z350" s="58" t="str">
        <f t="shared" si="20"/>
        <v>Alat Tulis Kantor (ATK)</v>
      </c>
      <c r="AA350" s="82" t="s">
        <v>37</v>
      </c>
      <c r="AB350" s="60">
        <v>5000</v>
      </c>
      <c r="AC350" s="60">
        <v>25000</v>
      </c>
      <c r="AD350" s="54">
        <v>25000</v>
      </c>
      <c r="AE350" s="61">
        <v>22522.522522522522</v>
      </c>
      <c r="AF350" s="61">
        <v>25000</v>
      </c>
      <c r="AG350" s="62" t="s">
        <v>38</v>
      </c>
      <c r="AH350" s="63" t="str">
        <f>[1]Data2025!W349</f>
        <v>081375309828</v>
      </c>
    </row>
    <row r="351" spans="1:36" ht="26" thickTop="1" thickBot="1">
      <c r="A351" s="41">
        <f>[1]Data2025!G350</f>
        <v>344</v>
      </c>
      <c r="B351" s="42">
        <f>[1]Data2025!K350</f>
        <v>0</v>
      </c>
      <c r="C351" s="43" t="str">
        <f>[1]Data2025!D350</f>
        <v>06. 05. 08.</v>
      </c>
      <c r="D351" s="44" t="str">
        <f>[1]Data2025!C350</f>
        <v>5.1.02.01.01.0024</v>
      </c>
      <c r="E351" s="45">
        <f>[1]Data2025!E350</f>
        <v>0</v>
      </c>
      <c r="F351" s="46">
        <f>[1]Data2025!F350</f>
        <v>0</v>
      </c>
      <c r="G351" s="45">
        <f>[1]Data2025!H350</f>
        <v>0</v>
      </c>
      <c r="H351" s="45">
        <f t="shared" si="18"/>
        <v>0</v>
      </c>
      <c r="I351" s="47">
        <f>[1]Data2025!J350</f>
        <v>0</v>
      </c>
      <c r="J351" s="48" t="str">
        <f>[1]Data2025!L350</f>
        <v>Kertas HVS 60 gram Merk : Paper One HVS F4 uk. 8.27"x11.69"</v>
      </c>
      <c r="K351" s="48" t="str">
        <f>[1]Data2025!M350</f>
        <v>Kertas HVS 60 gram Merk : Paper One HVS F4 uk. 8.27"x11.69"</v>
      </c>
      <c r="L351" s="49">
        <f>[1]Data2025!N350</f>
        <v>10</v>
      </c>
      <c r="M351" s="49" t="str">
        <f>[1]Data2025!O350</f>
        <v>rim</v>
      </c>
      <c r="N351" s="50">
        <f>[1]Data2025!P350</f>
        <v>48500</v>
      </c>
      <c r="O351" s="51">
        <f>[1]Data2025!Q350</f>
        <v>485000</v>
      </c>
      <c r="P351" s="52" t="s">
        <v>43</v>
      </c>
      <c r="Q351" s="53" t="str">
        <f>VLOOKUP(K351,[1]Sheet1!$C$1:$D$101,2,)</f>
        <v>Kertas Hvs 60Gsm Paper One F4 (Length 33.0Cm, Width 21.0Cm, Height 7.0Cm, Weight 1400Gr)</v>
      </c>
      <c r="R351" s="77">
        <v>2000000</v>
      </c>
      <c r="S351" s="78">
        <v>2080000</v>
      </c>
      <c r="T351" s="56" t="str">
        <f>[1]Data2025!T350</f>
        <v>UD. JOSUA</v>
      </c>
      <c r="U351" s="80" t="s">
        <v>35</v>
      </c>
      <c r="V351" s="56" t="str">
        <f>[1]Data2025!V350</f>
        <v>Gestiwan Bazikho</v>
      </c>
      <c r="W351" s="56" t="str">
        <f>[1]Data2025!X350</f>
        <v>Jl. Diponegoro Kel. Pasar Telukdalam - Nias Selatan</v>
      </c>
      <c r="X351" s="80" t="s">
        <v>36</v>
      </c>
      <c r="Y351" s="57" t="str">
        <f t="shared" si="19"/>
        <v>Alat Tulis Kantor (ATK)</v>
      </c>
      <c r="Z351" s="58" t="str">
        <f t="shared" si="20"/>
        <v>Alat Tulis Kantor (ATK)</v>
      </c>
      <c r="AA351" s="82" t="s">
        <v>50</v>
      </c>
      <c r="AB351" s="60">
        <v>50000</v>
      </c>
      <c r="AC351" s="60">
        <v>2000000</v>
      </c>
      <c r="AD351" s="54">
        <v>2000000</v>
      </c>
      <c r="AE351" s="61">
        <v>1801801.8018018019</v>
      </c>
      <c r="AF351" s="61">
        <v>2000000</v>
      </c>
      <c r="AG351" s="62" t="s">
        <v>38</v>
      </c>
      <c r="AH351" s="63" t="str">
        <f>[1]Data2025!W350</f>
        <v>081375309828</v>
      </c>
    </row>
    <row r="352" spans="1:36" s="88" customFormat="1" ht="38.5" thickTop="1" thickBot="1">
      <c r="A352" s="41">
        <f>[1]Data2025!G351</f>
        <v>345</v>
      </c>
      <c r="B352" s="42">
        <f>[1]Data2025!K351</f>
        <v>0</v>
      </c>
      <c r="C352" s="43" t="str">
        <f>[1]Data2025!D351</f>
        <v>06. 05. 08.</v>
      </c>
      <c r="D352" s="44" t="str">
        <f>[1]Data2025!C351</f>
        <v>5.1.02.01.01.0024</v>
      </c>
      <c r="E352" s="45">
        <f>[1]Data2025!E351</f>
        <v>0</v>
      </c>
      <c r="F352" s="46">
        <f>[1]Data2025!F351</f>
        <v>0</v>
      </c>
      <c r="G352" s="45">
        <f>[1]Data2025!H351</f>
        <v>0</v>
      </c>
      <c r="H352" s="45">
        <f t="shared" si="18"/>
        <v>0</v>
      </c>
      <c r="I352" s="47">
        <f>[1]Data2025!J351</f>
        <v>0</v>
      </c>
      <c r="J352" s="48" t="str">
        <f>[1]Data2025!L351</f>
        <v>Kertas HVS 80 gram Merk : Paper One A4, Ukuran : 8,27" x 11,69", Isi : 500 lembar</v>
      </c>
      <c r="K352" s="48" t="str">
        <f>[1]Data2025!M351</f>
        <v>Kertas HVS 80 gram Merk : Paper One A4, Ukuran : 8,27" x 11,69", Isi : 500 lembar</v>
      </c>
      <c r="L352" s="49">
        <f>[1]Data2025!N351</f>
        <v>40</v>
      </c>
      <c r="M352" s="49" t="str">
        <f>[1]Data2025!O351</f>
        <v>rim</v>
      </c>
      <c r="N352" s="50">
        <f>[1]Data2025!P351</f>
        <v>50000</v>
      </c>
      <c r="O352" s="51">
        <f>[1]Data2025!Q351</f>
        <v>2000000</v>
      </c>
      <c r="P352" s="52" t="s">
        <v>43</v>
      </c>
      <c r="Q352" s="53" t="str">
        <f>VLOOKUP(K352,[1]Sheet1!$C$1:$D$101,2,)</f>
        <v>Kertas Hvs 80 Gram Merk : Paper One A4, Ukuran : 8,27" X 11,69", Isi : 500 Lembar</v>
      </c>
      <c r="R352" s="77">
        <v>550000</v>
      </c>
      <c r="S352" s="78">
        <v>750000</v>
      </c>
      <c r="T352" s="56" t="str">
        <f>[1]Data2025!T351</f>
        <v>UD. JOSUA</v>
      </c>
      <c r="U352" s="80" t="s">
        <v>35</v>
      </c>
      <c r="V352" s="56" t="str">
        <f>[1]Data2025!V351</f>
        <v>Gestiwan Bazikho</v>
      </c>
      <c r="W352" s="56" t="str">
        <f>[1]Data2025!X351</f>
        <v>Jl. Diponegoro Kel. Pasar Telukdalam - Nias Selatan</v>
      </c>
      <c r="X352" s="80" t="s">
        <v>36</v>
      </c>
      <c r="Y352" s="57" t="str">
        <f t="shared" si="19"/>
        <v>Alat Tulis Kantor (ATK)</v>
      </c>
      <c r="Z352" s="58" t="str">
        <f t="shared" si="20"/>
        <v>Alat Tulis Kantor (ATK)</v>
      </c>
      <c r="AA352" s="82" t="s">
        <v>42</v>
      </c>
      <c r="AB352" s="83">
        <v>5500</v>
      </c>
      <c r="AC352" s="83">
        <v>550000</v>
      </c>
      <c r="AD352" s="77">
        <v>550000</v>
      </c>
      <c r="AE352" s="84">
        <v>495495.4954954955</v>
      </c>
      <c r="AF352" s="84">
        <v>550000</v>
      </c>
      <c r="AG352" s="62" t="s">
        <v>38</v>
      </c>
      <c r="AH352" s="63" t="str">
        <f>[1]Data2025!W351</f>
        <v>081375309828</v>
      </c>
    </row>
    <row r="353" spans="1:36" s="88" customFormat="1" ht="16.5" thickTop="1" thickBot="1">
      <c r="A353" s="41">
        <f>[1]Data2025!G352</f>
        <v>346</v>
      </c>
      <c r="B353" s="42">
        <f>[1]Data2025!K352</f>
        <v>0</v>
      </c>
      <c r="C353" s="43" t="str">
        <f>[1]Data2025!D352</f>
        <v>06. 05. 08.</v>
      </c>
      <c r="D353" s="44" t="str">
        <f>[1]Data2025!C352</f>
        <v>5.1.02.01.01.0024</v>
      </c>
      <c r="E353" s="45">
        <f>[1]Data2025!E352</f>
        <v>0</v>
      </c>
      <c r="F353" s="46">
        <f>[1]Data2025!F352</f>
        <v>0</v>
      </c>
      <c r="G353" s="45">
        <f>[1]Data2025!H352</f>
        <v>0</v>
      </c>
      <c r="H353" s="45">
        <f t="shared" si="18"/>
        <v>0</v>
      </c>
      <c r="I353" s="47">
        <f>[1]Data2025!J352</f>
        <v>0</v>
      </c>
      <c r="J353" s="48" t="str">
        <f>[1]Data2025!L352</f>
        <v>Kertas StensiI</v>
      </c>
      <c r="K353" s="48" t="str">
        <f>[1]Data2025!M352</f>
        <v>Kertas StensiI</v>
      </c>
      <c r="L353" s="49">
        <f>[1]Data2025!N352</f>
        <v>10</v>
      </c>
      <c r="M353" s="49" t="str">
        <f>[1]Data2025!O352</f>
        <v>bungkus</v>
      </c>
      <c r="N353" s="50">
        <f>[1]Data2025!P352</f>
        <v>50000</v>
      </c>
      <c r="O353" s="51">
        <f>[1]Data2025!Q352</f>
        <v>500000</v>
      </c>
      <c r="P353" s="52" t="s">
        <v>43</v>
      </c>
      <c r="Q353" s="53" t="str">
        <f>VLOOKUP(K353,[1]Sheet1!$C$1:$D$101,2,)</f>
        <v>Kertas Stencil Folio (Length 33.0Cm, Width 21.0Cm, Height 5.0Cm, Weight 1400Gr)</v>
      </c>
      <c r="R353" s="77">
        <v>48000</v>
      </c>
      <c r="S353" s="78">
        <v>50000</v>
      </c>
      <c r="T353" s="56" t="str">
        <f>[1]Data2025!T352</f>
        <v>UD. JOSUA</v>
      </c>
      <c r="U353" s="80" t="s">
        <v>35</v>
      </c>
      <c r="V353" s="56" t="str">
        <f>[1]Data2025!V352</f>
        <v>Gestiwan Bazikho</v>
      </c>
      <c r="W353" s="56" t="str">
        <f>[1]Data2025!X352</f>
        <v>Jl. Diponegoro Kel. Pasar Telukdalam - Nias Selatan</v>
      </c>
      <c r="X353" s="80" t="s">
        <v>36</v>
      </c>
      <c r="Y353" s="57" t="str">
        <f t="shared" si="19"/>
        <v>Alat Tulis Kantor (ATK)</v>
      </c>
      <c r="Z353" s="58" t="str">
        <f t="shared" si="20"/>
        <v>Alat Tulis Kantor (ATK)</v>
      </c>
      <c r="AA353" s="82" t="s">
        <v>37</v>
      </c>
      <c r="AB353" s="83">
        <v>48000</v>
      </c>
      <c r="AC353" s="83">
        <v>48000</v>
      </c>
      <c r="AD353" s="77">
        <v>48000</v>
      </c>
      <c r="AE353" s="84">
        <v>43243.243243243247</v>
      </c>
      <c r="AF353" s="84">
        <v>48000</v>
      </c>
      <c r="AG353" s="62" t="s">
        <v>38</v>
      </c>
      <c r="AH353" s="63" t="str">
        <f>[1]Data2025!W352</f>
        <v>081375309828</v>
      </c>
    </row>
    <row r="354" spans="1:36" s="88" customFormat="1" ht="16.5" thickTop="1" thickBot="1">
      <c r="A354" s="41">
        <f>[1]Data2025!G353</f>
        <v>347</v>
      </c>
      <c r="B354" s="42">
        <f>[1]Data2025!K353</f>
        <v>0</v>
      </c>
      <c r="C354" s="43" t="str">
        <f>[1]Data2025!D353</f>
        <v>06. 05. 08.</v>
      </c>
      <c r="D354" s="44" t="str">
        <f>[1]Data2025!C353</f>
        <v>5.1.02.01.01.0024</v>
      </c>
      <c r="E354" s="45">
        <f>[1]Data2025!E353</f>
        <v>0</v>
      </c>
      <c r="F354" s="46">
        <f>[1]Data2025!F353</f>
        <v>0</v>
      </c>
      <c r="G354" s="45">
        <f>[1]Data2025!H353</f>
        <v>0</v>
      </c>
      <c r="H354" s="45">
        <f t="shared" si="18"/>
        <v>0</v>
      </c>
      <c r="I354" s="47">
        <f>[1]Data2025!J353</f>
        <v>0</v>
      </c>
      <c r="J354" s="48" t="str">
        <f>[1]Data2025!L353</f>
        <v>Kertas Label</v>
      </c>
      <c r="K354" s="48" t="str">
        <f>[1]Data2025!M353</f>
        <v>Kertas Label</v>
      </c>
      <c r="L354" s="49">
        <f>[1]Data2025!N353</f>
        <v>5</v>
      </c>
      <c r="M354" s="49" t="str">
        <f>[1]Data2025!O353</f>
        <v>lembar</v>
      </c>
      <c r="N354" s="50">
        <f>[1]Data2025!P353</f>
        <v>25000</v>
      </c>
      <c r="O354" s="51">
        <f>[1]Data2025!Q353</f>
        <v>125000</v>
      </c>
      <c r="P354" s="52" t="s">
        <v>43</v>
      </c>
      <c r="Q354" s="53" t="str">
        <f>VLOOKUP(K354,[1]Sheet1!$C$1:$D$101,2,)</f>
        <v>KERTAS LEBEL KOTAK (Length 5.0cm, Width 5.0cm, Height 7.0cm, Weight 5gr)</v>
      </c>
      <c r="R354" s="77">
        <v>114000</v>
      </c>
      <c r="S354" s="78">
        <v>124000</v>
      </c>
      <c r="T354" s="56" t="str">
        <f>[1]Data2025!T353</f>
        <v>UD. JOSUA</v>
      </c>
      <c r="U354" s="80" t="s">
        <v>35</v>
      </c>
      <c r="V354" s="56" t="str">
        <f>[1]Data2025!V353</f>
        <v>Gestiwan Bazikho</v>
      </c>
      <c r="W354" s="56" t="str">
        <f>[1]Data2025!X353</f>
        <v>Jl. Diponegoro Kel. Pasar Telukdalam - Nias Selatan</v>
      </c>
      <c r="X354" s="80" t="s">
        <v>36</v>
      </c>
      <c r="Y354" s="57" t="str">
        <f t="shared" si="19"/>
        <v>Alat Tulis Kantor (ATK)</v>
      </c>
      <c r="Z354" s="58" t="str">
        <f t="shared" si="20"/>
        <v>Alat Tulis Kantor (ATK)</v>
      </c>
      <c r="AA354" s="82" t="s">
        <v>42</v>
      </c>
      <c r="AB354" s="83">
        <v>22800</v>
      </c>
      <c r="AC354" s="83">
        <v>114000</v>
      </c>
      <c r="AD354" s="77">
        <v>114000</v>
      </c>
      <c r="AE354" s="84">
        <v>102702.70270270271</v>
      </c>
      <c r="AF354" s="84">
        <v>114000</v>
      </c>
      <c r="AG354" s="62" t="s">
        <v>38</v>
      </c>
      <c r="AH354" s="63" t="str">
        <f>[1]Data2025!W353</f>
        <v>081375309828</v>
      </c>
      <c r="AI354" s="87"/>
      <c r="AJ354" s="87"/>
    </row>
    <row r="355" spans="1:36" s="88" customFormat="1" ht="26" thickTop="1" thickBot="1">
      <c r="A355" s="41">
        <f>[1]Data2025!G354</f>
        <v>348</v>
      </c>
      <c r="B355" s="42">
        <f>[1]Data2025!K354</f>
        <v>0</v>
      </c>
      <c r="C355" s="43" t="str">
        <f>[1]Data2025!D354</f>
        <v>06. 05. 08.</v>
      </c>
      <c r="D355" s="44" t="str">
        <f>[1]Data2025!C354</f>
        <v>5.1.02.01.01.0024</v>
      </c>
      <c r="E355" s="45">
        <f>[1]Data2025!E354</f>
        <v>0</v>
      </c>
      <c r="F355" s="46">
        <f>[1]Data2025!F354</f>
        <v>0</v>
      </c>
      <c r="G355" s="45">
        <f>[1]Data2025!H354</f>
        <v>0</v>
      </c>
      <c r="H355" s="45">
        <f t="shared" si="18"/>
        <v>0</v>
      </c>
      <c r="I355" s="47">
        <f>[1]Data2025!J354</f>
        <v>0</v>
      </c>
      <c r="J355" s="48" t="str">
        <f>[1]Data2025!L354</f>
        <v>Amplop Coklat Merk : GSU Ukuran : 1/2 folio, bergaris</v>
      </c>
      <c r="K355" s="48" t="str">
        <f>[1]Data2025!M354</f>
        <v>Amplop Coklat Merk : GSU Ukuran : 1/2 folio, bergaris</v>
      </c>
      <c r="L355" s="49">
        <f>[1]Data2025!N354</f>
        <v>1</v>
      </c>
      <c r="M355" s="49" t="str">
        <f>[1]Data2025!O354</f>
        <v>bungkus</v>
      </c>
      <c r="N355" s="50">
        <f>[1]Data2025!P354</f>
        <v>45000</v>
      </c>
      <c r="O355" s="51">
        <f>[1]Data2025!Q354</f>
        <v>45000</v>
      </c>
      <c r="P355" s="52" t="s">
        <v>43</v>
      </c>
      <c r="Q355" s="53" t="str">
        <f>VLOOKUP(K355,[1]Sheet1!$C$1:$D$101,2,)</f>
        <v>Amplop Coklat (Merk : GSU Ukuran : 1/2 folio, bergaris)</v>
      </c>
      <c r="R355" s="77">
        <v>50000</v>
      </c>
      <c r="S355" s="78">
        <v>60000</v>
      </c>
      <c r="T355" s="56" t="str">
        <f>[1]Data2025!T354</f>
        <v>UD. JOSUA</v>
      </c>
      <c r="U355" s="80" t="s">
        <v>35</v>
      </c>
      <c r="V355" s="56" t="str">
        <f>[1]Data2025!V354</f>
        <v>Gestiwan Bazikho</v>
      </c>
      <c r="W355" s="56" t="str">
        <f>[1]Data2025!X354</f>
        <v>Jl. Diponegoro Kel. Pasar Telukdalam - Nias Selatan</v>
      </c>
      <c r="X355" s="80" t="s">
        <v>36</v>
      </c>
      <c r="Y355" s="57" t="str">
        <f t="shared" si="19"/>
        <v>Alat Tulis Kantor (ATK)</v>
      </c>
      <c r="Z355" s="58" t="str">
        <f t="shared" si="20"/>
        <v>Alat Tulis Kantor (ATK)</v>
      </c>
      <c r="AA355" s="82" t="s">
        <v>42</v>
      </c>
      <c r="AB355" s="83">
        <v>10000</v>
      </c>
      <c r="AC355" s="83">
        <v>50000</v>
      </c>
      <c r="AD355" s="77">
        <v>50000</v>
      </c>
      <c r="AE355" s="84">
        <v>45045.045045045044</v>
      </c>
      <c r="AF355" s="84">
        <v>50000</v>
      </c>
      <c r="AG355" s="62" t="s">
        <v>38</v>
      </c>
      <c r="AH355" s="63" t="str">
        <f>[1]Data2025!W354</f>
        <v>081375309828</v>
      </c>
    </row>
    <row r="356" spans="1:36" s="88" customFormat="1" ht="26" thickTop="1" thickBot="1">
      <c r="A356" s="41">
        <f>[1]Data2025!G355</f>
        <v>349</v>
      </c>
      <c r="B356" s="42">
        <f>[1]Data2025!K355</f>
        <v>0</v>
      </c>
      <c r="C356" s="43" t="str">
        <f>[1]Data2025!D355</f>
        <v>06. 05. 08.</v>
      </c>
      <c r="D356" s="44" t="str">
        <f>[1]Data2025!C355</f>
        <v>5.1.02.01.01.0024</v>
      </c>
      <c r="E356" s="45">
        <f>[1]Data2025!E355</f>
        <v>0</v>
      </c>
      <c r="F356" s="46">
        <f>[1]Data2025!F355</f>
        <v>0</v>
      </c>
      <c r="G356" s="45">
        <f>[1]Data2025!H355</f>
        <v>0</v>
      </c>
      <c r="H356" s="45">
        <f t="shared" si="18"/>
        <v>0</v>
      </c>
      <c r="I356" s="47">
        <f>[1]Data2025!J355</f>
        <v>0</v>
      </c>
      <c r="J356" s="48" t="str">
        <f>[1]Data2025!L355</f>
        <v>Amplop Coklat Merk : Garda Ukuran Cabinet</v>
      </c>
      <c r="K356" s="48" t="str">
        <f>[1]Data2025!M355</f>
        <v>Amplop Coklat Merk : Garda Ukuran Cabinet</v>
      </c>
      <c r="L356" s="49">
        <f>[1]Data2025!N355</f>
        <v>3</v>
      </c>
      <c r="M356" s="49" t="str">
        <f>[1]Data2025!O355</f>
        <v>bungkus</v>
      </c>
      <c r="N356" s="50">
        <f>[1]Data2025!P355</f>
        <v>23000</v>
      </c>
      <c r="O356" s="51">
        <f>[1]Data2025!Q355</f>
        <v>69000</v>
      </c>
      <c r="P356" s="52" t="s">
        <v>43</v>
      </c>
      <c r="Q356" s="53" t="str">
        <f>VLOOKUP(K356,[1]Sheet1!$C$1:$D$101,2,)</f>
        <v>Amplop (Merk : Amplop Garda Ukuran : Super Kabinet Warna : Coklat polos Isi / Pack :100 pcs Ukuran : 14 cm x 27 cm)</v>
      </c>
      <c r="R356" s="77">
        <v>165000</v>
      </c>
      <c r="S356" s="78">
        <v>185000</v>
      </c>
      <c r="T356" s="56" t="str">
        <f>[1]Data2025!T355</f>
        <v>UD. JOSUA</v>
      </c>
      <c r="U356" s="80" t="s">
        <v>35</v>
      </c>
      <c r="V356" s="56" t="str">
        <f>[1]Data2025!V355</f>
        <v>Gestiwan Bazikho</v>
      </c>
      <c r="W356" s="56" t="str">
        <f>[1]Data2025!X355</f>
        <v>Jl. Diponegoro Kel. Pasar Telukdalam - Nias Selatan</v>
      </c>
      <c r="X356" s="80" t="s">
        <v>36</v>
      </c>
      <c r="Y356" s="57" t="str">
        <f t="shared" si="19"/>
        <v>Alat Tulis Kantor (ATK)</v>
      </c>
      <c r="Z356" s="58" t="str">
        <f t="shared" si="20"/>
        <v>Alat Tulis Kantor (ATK)</v>
      </c>
      <c r="AA356" s="82" t="s">
        <v>37</v>
      </c>
      <c r="AB356" s="83">
        <v>16500</v>
      </c>
      <c r="AC356" s="83">
        <v>165000</v>
      </c>
      <c r="AD356" s="77">
        <v>165000</v>
      </c>
      <c r="AE356" s="84">
        <v>148648.64864864864</v>
      </c>
      <c r="AF356" s="84">
        <v>165000</v>
      </c>
      <c r="AG356" s="62" t="s">
        <v>38</v>
      </c>
      <c r="AH356" s="63" t="str">
        <f>[1]Data2025!W355</f>
        <v>081375309828</v>
      </c>
    </row>
    <row r="357" spans="1:36" s="88" customFormat="1" ht="26" thickTop="1" thickBot="1">
      <c r="A357" s="41">
        <f>[1]Data2025!G356</f>
        <v>350</v>
      </c>
      <c r="B357" s="42">
        <f>[1]Data2025!K356</f>
        <v>0</v>
      </c>
      <c r="C357" s="43" t="str">
        <f>[1]Data2025!D356</f>
        <v>06. 05. 08.</v>
      </c>
      <c r="D357" s="44" t="str">
        <f>[1]Data2025!C356</f>
        <v>5.1.02.01.01.0024</v>
      </c>
      <c r="E357" s="45">
        <f>[1]Data2025!E356</f>
        <v>0</v>
      </c>
      <c r="F357" s="46">
        <f>[1]Data2025!F356</f>
        <v>0</v>
      </c>
      <c r="G357" s="45">
        <f>[1]Data2025!H356</f>
        <v>0</v>
      </c>
      <c r="H357" s="45">
        <f t="shared" si="18"/>
        <v>0</v>
      </c>
      <c r="I357" s="47">
        <f>[1]Data2025!J356</f>
        <v>0</v>
      </c>
      <c r="J357" s="48" t="str">
        <f>[1]Data2025!L356</f>
        <v>Amplop Coklat Merk : GSU Ukuran Folio polos</v>
      </c>
      <c r="K357" s="48" t="str">
        <f>[1]Data2025!M356</f>
        <v>Amplop Coklat Merk : GSU Ukuran Folio polos</v>
      </c>
      <c r="L357" s="49">
        <f>[1]Data2025!N356</f>
        <v>2</v>
      </c>
      <c r="M357" s="49" t="str">
        <f>[1]Data2025!O356</f>
        <v>bungkus</v>
      </c>
      <c r="N357" s="50">
        <f>[1]Data2025!P356</f>
        <v>60000</v>
      </c>
      <c r="O357" s="51">
        <f>[1]Data2025!Q356</f>
        <v>120000</v>
      </c>
      <c r="P357" s="52" t="s">
        <v>43</v>
      </c>
      <c r="Q357" s="53" t="str">
        <f>VLOOKUP(K357,[1]Sheet1!$C$1:$D$101,2,)</f>
        <v>Amplop Coklat Folio (Berat: 1000 gram. Panjang: 25 cm. Lebar: 5 cm. Tinggi: 35 cm)</v>
      </c>
      <c r="R357" s="77">
        <v>510000</v>
      </c>
      <c r="S357" s="78">
        <v>522000</v>
      </c>
      <c r="T357" s="56" t="str">
        <f>[1]Data2025!T356</f>
        <v>UD. JOSUA</v>
      </c>
      <c r="U357" s="80" t="s">
        <v>35</v>
      </c>
      <c r="V357" s="56" t="str">
        <f>[1]Data2025!V356</f>
        <v>Gestiwan Bazikho</v>
      </c>
      <c r="W357" s="56" t="str">
        <f>[1]Data2025!X356</f>
        <v>Jl. Diponegoro Kel. Pasar Telukdalam - Nias Selatan</v>
      </c>
      <c r="X357" s="80" t="s">
        <v>36</v>
      </c>
      <c r="Y357" s="57" t="str">
        <f t="shared" si="19"/>
        <v>Alat Tulis Kantor (ATK)</v>
      </c>
      <c r="Z357" s="58" t="str">
        <f t="shared" si="20"/>
        <v>Alat Tulis Kantor (ATK)</v>
      </c>
      <c r="AA357" s="82" t="s">
        <v>48</v>
      </c>
      <c r="AB357" s="83">
        <v>85000</v>
      </c>
      <c r="AC357" s="83">
        <v>510000</v>
      </c>
      <c r="AD357" s="77">
        <v>510000</v>
      </c>
      <c r="AE357" s="84">
        <v>459459.45945945947</v>
      </c>
      <c r="AF357" s="84">
        <v>510000</v>
      </c>
      <c r="AG357" s="62" t="s">
        <v>38</v>
      </c>
      <c r="AH357" s="63" t="str">
        <f>[1]Data2025!W356</f>
        <v>081375309828</v>
      </c>
    </row>
    <row r="358" spans="1:36" s="88" customFormat="1" ht="26" thickTop="1" thickBot="1">
      <c r="A358" s="41">
        <f>[1]Data2025!G357</f>
        <v>351</v>
      </c>
      <c r="B358" s="42">
        <f>[1]Data2025!K357</f>
        <v>0</v>
      </c>
      <c r="C358" s="43" t="str">
        <f>[1]Data2025!D357</f>
        <v>06. 05. 08.</v>
      </c>
      <c r="D358" s="44" t="str">
        <f>[1]Data2025!C357</f>
        <v>5.1.02.01.01.0024</v>
      </c>
      <c r="E358" s="45">
        <f>[1]Data2025!E357</f>
        <v>0</v>
      </c>
      <c r="F358" s="46">
        <f>[1]Data2025!F357</f>
        <v>0</v>
      </c>
      <c r="G358" s="45">
        <f>[1]Data2025!H357</f>
        <v>0</v>
      </c>
      <c r="H358" s="45">
        <f t="shared" si="18"/>
        <v>0</v>
      </c>
      <c r="I358" s="47">
        <f>[1]Data2025!J357</f>
        <v>0</v>
      </c>
      <c r="J358" s="48" t="str">
        <f>[1]Data2025!L357</f>
        <v>Amplop Panjang Putih Polos Merk : Jaya Ukuran : 11 x 23 cm</v>
      </c>
      <c r="K358" s="48" t="str">
        <f>[1]Data2025!M357</f>
        <v>Amplop Panjang Putih Polos Merk : Jaya Ukuran : 11 x 23 cm</v>
      </c>
      <c r="L358" s="49">
        <f>[1]Data2025!N357</f>
        <v>1</v>
      </c>
      <c r="M358" s="49" t="str">
        <f>[1]Data2025!O357</f>
        <v>kotak</v>
      </c>
      <c r="N358" s="50">
        <f>[1]Data2025!P357</f>
        <v>48000</v>
      </c>
      <c r="O358" s="51">
        <f>[1]Data2025!Q357</f>
        <v>48000</v>
      </c>
      <c r="P358" s="52" t="s">
        <v>43</v>
      </c>
      <c r="Q358" s="53" t="str">
        <f>VLOOKUP(K358,[1]Sheet1!$C$1:$D$101,2,)</f>
        <v xml:space="preserve"> Amplop Panjang Putih Polos (Merk : Jaya Ukuran : 11 x 23 cm)</v>
      </c>
      <c r="R358" s="77">
        <v>180000</v>
      </c>
      <c r="S358" s="78">
        <v>184000</v>
      </c>
      <c r="T358" s="56" t="str">
        <f>[1]Data2025!T357</f>
        <v>UD. JOSUA</v>
      </c>
      <c r="U358" s="80" t="s">
        <v>35</v>
      </c>
      <c r="V358" s="56" t="str">
        <f>[1]Data2025!V357</f>
        <v>Gestiwan Bazikho</v>
      </c>
      <c r="W358" s="56" t="str">
        <f>[1]Data2025!X357</f>
        <v>Jl. Diponegoro Kel. Pasar Telukdalam - Nias Selatan</v>
      </c>
      <c r="X358" s="80" t="s">
        <v>36</v>
      </c>
      <c r="Y358" s="57" t="str">
        <f t="shared" si="19"/>
        <v>Alat Tulis Kantor (ATK)</v>
      </c>
      <c r="Z358" s="58" t="str">
        <f t="shared" si="20"/>
        <v>Alat Tulis Kantor (ATK)</v>
      </c>
      <c r="AA358" s="82" t="s">
        <v>50</v>
      </c>
      <c r="AB358" s="83">
        <v>90000</v>
      </c>
      <c r="AC358" s="83">
        <v>180000</v>
      </c>
      <c r="AD358" s="77">
        <v>180000</v>
      </c>
      <c r="AE358" s="84">
        <v>162162.16216216216</v>
      </c>
      <c r="AF358" s="84">
        <v>180000</v>
      </c>
      <c r="AG358" s="62" t="s">
        <v>38</v>
      </c>
      <c r="AH358" s="63" t="str">
        <f>[1]Data2025!W357</f>
        <v>081375309828</v>
      </c>
      <c r="AI358" s="87"/>
      <c r="AJ358" s="87"/>
    </row>
    <row r="359" spans="1:36" s="88" customFormat="1" ht="16.5" thickTop="1" thickBot="1">
      <c r="A359" s="41">
        <f>[1]Data2025!G358</f>
        <v>352</v>
      </c>
      <c r="B359" s="42">
        <f>[1]Data2025!K358</f>
        <v>0</v>
      </c>
      <c r="C359" s="43" t="str">
        <f>[1]Data2025!D358</f>
        <v>06. 05. 08.</v>
      </c>
      <c r="D359" s="44" t="str">
        <f>[1]Data2025!C358</f>
        <v>5.1.02.01.01.0024</v>
      </c>
      <c r="E359" s="45">
        <f>[1]Data2025!E358</f>
        <v>0</v>
      </c>
      <c r="F359" s="46">
        <f>[1]Data2025!F358</f>
        <v>0</v>
      </c>
      <c r="G359" s="45">
        <f>[1]Data2025!H358</f>
        <v>0</v>
      </c>
      <c r="H359" s="45">
        <f t="shared" si="18"/>
        <v>0</v>
      </c>
      <c r="I359" s="47">
        <f>[1]Data2025!J358</f>
        <v>0</v>
      </c>
      <c r="J359" s="48" t="str">
        <f>[1]Data2025!L358</f>
        <v>Ballpoint Drawing Pen 0,1 Snowman</v>
      </c>
      <c r="K359" s="48" t="str">
        <f>[1]Data2025!M358</f>
        <v>Ballpoint Drawing Pen 0,1 Snowman</v>
      </c>
      <c r="L359" s="49">
        <f>[1]Data2025!N358</f>
        <v>1</v>
      </c>
      <c r="M359" s="49" t="str">
        <f>[1]Data2025!O358</f>
        <v>lusin</v>
      </c>
      <c r="N359" s="50">
        <f>[1]Data2025!P358</f>
        <v>95000</v>
      </c>
      <c r="O359" s="51">
        <f>[1]Data2025!Q358</f>
        <v>95000</v>
      </c>
      <c r="P359" s="52" t="s">
        <v>43</v>
      </c>
      <c r="Q359" s="53" t="str">
        <f>VLOOKUP(K359,[1]Sheet1!$C$1:$D$101,2,)</f>
        <v>Ballpoint Drawing Pen 0,5 Snowman (Length 5.0Cm, Width 5.0Cm, Height 5.0Cm, Weight 5Gr)</v>
      </c>
      <c r="R359" s="77">
        <v>325000</v>
      </c>
      <c r="S359" s="78">
        <v>335000</v>
      </c>
      <c r="T359" s="56" t="str">
        <f>[1]Data2025!T358</f>
        <v>UD. JOSUA</v>
      </c>
      <c r="U359" s="80" t="s">
        <v>35</v>
      </c>
      <c r="V359" s="56" t="str">
        <f>[1]Data2025!V358</f>
        <v>Gestiwan Bazikho</v>
      </c>
      <c r="W359" s="56" t="str">
        <f>[1]Data2025!X358</f>
        <v>Jl. Diponegoro Kel. Pasar Telukdalam - Nias Selatan</v>
      </c>
      <c r="X359" s="80" t="s">
        <v>36</v>
      </c>
      <c r="Y359" s="57" t="str">
        <f t="shared" si="19"/>
        <v>Alat Tulis Kantor (ATK)</v>
      </c>
      <c r="Z359" s="58" t="str">
        <f t="shared" si="20"/>
        <v>Alat Tulis Kantor (ATK)</v>
      </c>
      <c r="AA359" s="82" t="s">
        <v>44</v>
      </c>
      <c r="AB359" s="83">
        <v>65000</v>
      </c>
      <c r="AC359" s="83">
        <v>325000</v>
      </c>
      <c r="AD359" s="77">
        <v>325000</v>
      </c>
      <c r="AE359" s="84">
        <v>292792.79279279278</v>
      </c>
      <c r="AF359" s="84">
        <v>325000</v>
      </c>
      <c r="AG359" s="62" t="s">
        <v>38</v>
      </c>
      <c r="AH359" s="63" t="str">
        <f>[1]Data2025!W358</f>
        <v>081375309828</v>
      </c>
    </row>
    <row r="360" spans="1:36" s="88" customFormat="1" ht="16.5" thickTop="1" thickBot="1">
      <c r="A360" s="41">
        <f>[1]Data2025!G359</f>
        <v>353</v>
      </c>
      <c r="B360" s="42">
        <f>[1]Data2025!K359</f>
        <v>0</v>
      </c>
      <c r="C360" s="43" t="str">
        <f>[1]Data2025!D359</f>
        <v>06. 05. 08.</v>
      </c>
      <c r="D360" s="44" t="str">
        <f>[1]Data2025!C359</f>
        <v>5.1.02.01.01.0024</v>
      </c>
      <c r="E360" s="45">
        <f>[1]Data2025!E359</f>
        <v>0</v>
      </c>
      <c r="F360" s="46">
        <f>[1]Data2025!F359</f>
        <v>0</v>
      </c>
      <c r="G360" s="45">
        <f>[1]Data2025!H359</f>
        <v>0</v>
      </c>
      <c r="H360" s="45">
        <f t="shared" si="18"/>
        <v>0</v>
      </c>
      <c r="I360" s="47">
        <f>[1]Data2025!J359</f>
        <v>0</v>
      </c>
      <c r="J360" s="48" t="str">
        <f>[1]Data2025!L359</f>
        <v>Ballpoint Standard AE7</v>
      </c>
      <c r="K360" s="48" t="str">
        <f>[1]Data2025!M359</f>
        <v>Ballpoint Standard AE7</v>
      </c>
      <c r="L360" s="49">
        <f>[1]Data2025!N359</f>
        <v>2</v>
      </c>
      <c r="M360" s="49" t="str">
        <f>[1]Data2025!O359</f>
        <v>lusin</v>
      </c>
      <c r="N360" s="50">
        <f>[1]Data2025!P359</f>
        <v>20000</v>
      </c>
      <c r="O360" s="51">
        <f>[1]Data2025!Q359</f>
        <v>40000</v>
      </c>
      <c r="P360" s="52" t="s">
        <v>43</v>
      </c>
      <c r="Q360" s="53" t="str">
        <f>VLOOKUP(K360,[1]Sheet1!$C$1:$D$101,2,)</f>
        <v>Ballpoint Standard AE7 (Jenis Barang: Pulpen Merk: Standard Tipe: AE-7 Ukuran: 0.5 mm; Warna Tinta, hitam)</v>
      </c>
      <c r="R360" s="77">
        <v>239200</v>
      </c>
      <c r="S360" s="78">
        <v>247200</v>
      </c>
      <c r="T360" s="56" t="str">
        <f>[1]Data2025!T359</f>
        <v>UD. JOSUA</v>
      </c>
      <c r="U360" s="80" t="s">
        <v>35</v>
      </c>
      <c r="V360" s="56" t="str">
        <f>[1]Data2025!V359</f>
        <v>Gestiwan Bazikho</v>
      </c>
      <c r="W360" s="56" t="str">
        <f>[1]Data2025!X359</f>
        <v>Jl. Diponegoro Kel. Pasar Telukdalam - Nias Selatan</v>
      </c>
      <c r="X360" s="80" t="s">
        <v>36</v>
      </c>
      <c r="Y360" s="57" t="str">
        <f t="shared" si="19"/>
        <v>Alat Tulis Kantor (ATK)</v>
      </c>
      <c r="Z360" s="58" t="str">
        <f t="shared" si="20"/>
        <v>Alat Tulis Kantor (ATK)</v>
      </c>
      <c r="AA360" s="82" t="s">
        <v>42</v>
      </c>
      <c r="AB360" s="83">
        <v>59800</v>
      </c>
      <c r="AC360" s="83">
        <v>239200</v>
      </c>
      <c r="AD360" s="77">
        <v>239200</v>
      </c>
      <c r="AE360" s="84">
        <v>215495.4954954955</v>
      </c>
      <c r="AF360" s="84">
        <v>239200</v>
      </c>
      <c r="AG360" s="62" t="s">
        <v>38</v>
      </c>
      <c r="AH360" s="63" t="str">
        <f>[1]Data2025!W359</f>
        <v>081375309828</v>
      </c>
    </row>
    <row r="361" spans="1:36" s="88" customFormat="1" ht="16.5" thickTop="1" thickBot="1">
      <c r="A361" s="41">
        <f>[1]Data2025!G360</f>
        <v>354</v>
      </c>
      <c r="B361" s="42">
        <f>[1]Data2025!K360</f>
        <v>0</v>
      </c>
      <c r="C361" s="43" t="str">
        <f>[1]Data2025!D360</f>
        <v>06. 05. 08.</v>
      </c>
      <c r="D361" s="44" t="str">
        <f>[1]Data2025!C360</f>
        <v>5.1.02.01.01.0024</v>
      </c>
      <c r="E361" s="45">
        <f>[1]Data2025!E360</f>
        <v>0</v>
      </c>
      <c r="F361" s="46">
        <f>[1]Data2025!F360</f>
        <v>0</v>
      </c>
      <c r="G361" s="45">
        <f>[1]Data2025!H360</f>
        <v>0</v>
      </c>
      <c r="H361" s="45">
        <f t="shared" si="18"/>
        <v>0</v>
      </c>
      <c r="I361" s="47">
        <f>[1]Data2025!J360</f>
        <v>0</v>
      </c>
      <c r="J361" s="48" t="str">
        <f>[1]Data2025!L360</f>
        <v>Ballpoint Pilot G2</v>
      </c>
      <c r="K361" s="48" t="str">
        <f>[1]Data2025!M360</f>
        <v>Ballpoint Pilot G2</v>
      </c>
      <c r="L361" s="49">
        <f>[1]Data2025!N360</f>
        <v>1</v>
      </c>
      <c r="M361" s="49" t="str">
        <f>[1]Data2025!O360</f>
        <v>lusin</v>
      </c>
      <c r="N361" s="50">
        <f>[1]Data2025!P360</f>
        <v>235000</v>
      </c>
      <c r="O361" s="51">
        <f>[1]Data2025!Q360</f>
        <v>235000</v>
      </c>
      <c r="P361" s="52" t="s">
        <v>43</v>
      </c>
      <c r="Q361" s="53" t="str">
        <f>VLOOKUP(K361,[1]Sheet1!$C$1:$D$101,2,)</f>
        <v>Ballpoint Pilot G2 (Length 5.0Cm, Width 5.0Cm, Height 5.0Cm, Weight 5Gr)</v>
      </c>
      <c r="R361" s="77">
        <v>60000</v>
      </c>
      <c r="S361" s="78">
        <v>66000</v>
      </c>
      <c r="T361" s="56" t="str">
        <f>[1]Data2025!T360</f>
        <v>UD. JOSUA</v>
      </c>
      <c r="U361" s="80" t="s">
        <v>35</v>
      </c>
      <c r="V361" s="56" t="str">
        <f>[1]Data2025!V360</f>
        <v>Gestiwan Bazikho</v>
      </c>
      <c r="W361" s="56" t="str">
        <f>[1]Data2025!X360</f>
        <v>Jl. Diponegoro Kel. Pasar Telukdalam - Nias Selatan</v>
      </c>
      <c r="X361" s="80" t="s">
        <v>36</v>
      </c>
      <c r="Y361" s="57" t="str">
        <f t="shared" si="19"/>
        <v>Alat Tulis Kantor (ATK)</v>
      </c>
      <c r="Z361" s="58" t="str">
        <f t="shared" si="20"/>
        <v>Alat Tulis Kantor (ATK)</v>
      </c>
      <c r="AA361" s="82" t="s">
        <v>42</v>
      </c>
      <c r="AB361" s="83">
        <v>20000</v>
      </c>
      <c r="AC361" s="83">
        <v>60000</v>
      </c>
      <c r="AD361" s="77">
        <v>60000</v>
      </c>
      <c r="AE361" s="84">
        <v>54054.054054054053</v>
      </c>
      <c r="AF361" s="84">
        <v>60000</v>
      </c>
      <c r="AG361" s="62" t="s">
        <v>38</v>
      </c>
      <c r="AH361" s="63" t="str">
        <f>[1]Data2025!W360</f>
        <v>081375309828</v>
      </c>
    </row>
    <row r="362" spans="1:36" s="88" customFormat="1" ht="16.5" thickTop="1" thickBot="1">
      <c r="A362" s="41">
        <f>[1]Data2025!G361</f>
        <v>355</v>
      </c>
      <c r="B362" s="42">
        <f>[1]Data2025!K361</f>
        <v>0</v>
      </c>
      <c r="C362" s="43" t="str">
        <f>[1]Data2025!D361</f>
        <v>06. 05. 08.</v>
      </c>
      <c r="D362" s="44" t="str">
        <f>[1]Data2025!C361</f>
        <v>5.1.02.01.01.0024</v>
      </c>
      <c r="E362" s="45">
        <f>[1]Data2025!E361</f>
        <v>0</v>
      </c>
      <c r="F362" s="46">
        <f>[1]Data2025!F361</f>
        <v>0</v>
      </c>
      <c r="G362" s="45">
        <f>[1]Data2025!H361</f>
        <v>0</v>
      </c>
      <c r="H362" s="45">
        <f t="shared" si="18"/>
        <v>0</v>
      </c>
      <c r="I362" s="47">
        <f>[1]Data2025!J361</f>
        <v>0</v>
      </c>
      <c r="J362" s="48" t="str">
        <f>[1]Data2025!L361</f>
        <v>Binder Klip  nomor 107</v>
      </c>
      <c r="K362" s="48" t="str">
        <f>[1]Data2025!M361</f>
        <v>Binder Klip  nomor 107</v>
      </c>
      <c r="L362" s="49">
        <f>[1]Data2025!N361</f>
        <v>5</v>
      </c>
      <c r="M362" s="49" t="str">
        <f>[1]Data2025!O361</f>
        <v>kotak</v>
      </c>
      <c r="N362" s="50">
        <f>[1]Data2025!P361</f>
        <v>7800</v>
      </c>
      <c r="O362" s="51">
        <f>[1]Data2025!Q361</f>
        <v>39000</v>
      </c>
      <c r="P362" s="52" t="s">
        <v>43</v>
      </c>
      <c r="Q362" s="53" t="str">
        <f>VLOOKUP(K362,[1]Sheet1!$C$1:$D$101,2,)</f>
        <v>Binder Clip N0 107 (Length 5.0Cm, Width 5.0Cm, Height 5.0Cm, Weight 5Gr)</v>
      </c>
      <c r="R362" s="77">
        <v>40000</v>
      </c>
      <c r="S362" s="78">
        <v>44000</v>
      </c>
      <c r="T362" s="56" t="str">
        <f>[1]Data2025!T361</f>
        <v>UD. JOSUA</v>
      </c>
      <c r="U362" s="80" t="s">
        <v>35</v>
      </c>
      <c r="V362" s="56" t="str">
        <f>[1]Data2025!V361</f>
        <v>Gestiwan Bazikho</v>
      </c>
      <c r="W362" s="56" t="str">
        <f>[1]Data2025!X361</f>
        <v>Jl. Diponegoro Kel. Pasar Telukdalam - Nias Selatan</v>
      </c>
      <c r="X362" s="80" t="s">
        <v>36</v>
      </c>
      <c r="Y362" s="57" t="str">
        <f t="shared" si="19"/>
        <v>Alat Tulis Kantor (ATK)</v>
      </c>
      <c r="Z362" s="58" t="str">
        <f t="shared" si="20"/>
        <v>Alat Tulis Kantor (ATK)</v>
      </c>
      <c r="AA362" s="82" t="s">
        <v>42</v>
      </c>
      <c r="AB362" s="83">
        <v>20000</v>
      </c>
      <c r="AC362" s="83">
        <v>40000</v>
      </c>
      <c r="AD362" s="77">
        <v>40000</v>
      </c>
      <c r="AE362" s="84">
        <v>36036.036036036036</v>
      </c>
      <c r="AF362" s="84">
        <v>40000</v>
      </c>
      <c r="AG362" s="62" t="s">
        <v>38</v>
      </c>
      <c r="AH362" s="63" t="str">
        <f>[1]Data2025!W361</f>
        <v>081375309828</v>
      </c>
    </row>
    <row r="363" spans="1:36" s="88" customFormat="1" ht="16.5" thickTop="1" thickBot="1">
      <c r="A363" s="41">
        <f>[1]Data2025!G362</f>
        <v>356</v>
      </c>
      <c r="B363" s="42">
        <f>[1]Data2025!K362</f>
        <v>0</v>
      </c>
      <c r="C363" s="43" t="str">
        <f>[1]Data2025!D362</f>
        <v>06. 05. 08.</v>
      </c>
      <c r="D363" s="44" t="str">
        <f>[1]Data2025!C362</f>
        <v>5.1.02.01.01.0024</v>
      </c>
      <c r="E363" s="45">
        <f>[1]Data2025!E362</f>
        <v>0</v>
      </c>
      <c r="F363" s="46">
        <f>[1]Data2025!F362</f>
        <v>0</v>
      </c>
      <c r="G363" s="45">
        <f>[1]Data2025!H362</f>
        <v>0</v>
      </c>
      <c r="H363" s="45">
        <f t="shared" si="18"/>
        <v>0</v>
      </c>
      <c r="I363" s="47">
        <f>[1]Data2025!J362</f>
        <v>0</v>
      </c>
      <c r="J363" s="48" t="str">
        <f>[1]Data2025!L362</f>
        <v>Binder Klip  nomor 111</v>
      </c>
      <c r="K363" s="48" t="str">
        <f>[1]Data2025!M362</f>
        <v>Binder Klip  nomor 111</v>
      </c>
      <c r="L363" s="49">
        <f>[1]Data2025!N362</f>
        <v>5</v>
      </c>
      <c r="M363" s="49" t="str">
        <f>[1]Data2025!O362</f>
        <v>kotak</v>
      </c>
      <c r="N363" s="50">
        <f>[1]Data2025!P362</f>
        <v>11000</v>
      </c>
      <c r="O363" s="51">
        <f>[1]Data2025!Q362</f>
        <v>55000</v>
      </c>
      <c r="P363" s="52" t="s">
        <v>43</v>
      </c>
      <c r="Q363" s="53" t="str">
        <f>VLOOKUP(K363,[1]Sheet1!$C$1:$D$101,2,)</f>
        <v>Binder Clip No 111 (Length 5.0Cm, Width 5.0Cm, Height 5.0Cm, Weight 5Gr)</v>
      </c>
      <c r="R363" s="77">
        <v>40000</v>
      </c>
      <c r="S363" s="78">
        <v>44000</v>
      </c>
      <c r="T363" s="56" t="str">
        <f>[1]Data2025!T362</f>
        <v>UD. JOSUA</v>
      </c>
      <c r="U363" s="80" t="s">
        <v>35</v>
      </c>
      <c r="V363" s="56" t="str">
        <f>[1]Data2025!V362</f>
        <v>Gestiwan Bazikho</v>
      </c>
      <c r="W363" s="56" t="str">
        <f>[1]Data2025!X362</f>
        <v>Jl. Diponegoro Kel. Pasar Telukdalam - Nias Selatan</v>
      </c>
      <c r="X363" s="80" t="s">
        <v>36</v>
      </c>
      <c r="Y363" s="57" t="str">
        <f t="shared" si="19"/>
        <v>Alat Tulis Kantor (ATK)</v>
      </c>
      <c r="Z363" s="58" t="str">
        <f t="shared" si="20"/>
        <v>Alat Tulis Kantor (ATK)</v>
      </c>
      <c r="AA363" s="82" t="s">
        <v>40</v>
      </c>
      <c r="AB363" s="83">
        <v>20000</v>
      </c>
      <c r="AC363" s="83">
        <v>40000</v>
      </c>
      <c r="AD363" s="77">
        <v>40000</v>
      </c>
      <c r="AE363" s="84">
        <v>36036.036036036036</v>
      </c>
      <c r="AF363" s="84">
        <v>40000</v>
      </c>
      <c r="AG363" s="62" t="s">
        <v>38</v>
      </c>
      <c r="AH363" s="63" t="str">
        <f>[1]Data2025!W362</f>
        <v>081375309828</v>
      </c>
      <c r="AI363" s="87"/>
      <c r="AJ363" s="87"/>
    </row>
    <row r="364" spans="1:36" s="88" customFormat="1" ht="16.5" thickTop="1" thickBot="1">
      <c r="A364" s="41">
        <f>[1]Data2025!G363</f>
        <v>357</v>
      </c>
      <c r="B364" s="42">
        <f>[1]Data2025!K363</f>
        <v>0</v>
      </c>
      <c r="C364" s="43" t="str">
        <f>[1]Data2025!D363</f>
        <v>06. 05. 08.</v>
      </c>
      <c r="D364" s="44" t="str">
        <f>[1]Data2025!C363</f>
        <v>5.1.02.01.01.0024</v>
      </c>
      <c r="E364" s="45">
        <f>[1]Data2025!E363</f>
        <v>0</v>
      </c>
      <c r="F364" s="46">
        <f>[1]Data2025!F363</f>
        <v>0</v>
      </c>
      <c r="G364" s="45">
        <f>[1]Data2025!H363</f>
        <v>0</v>
      </c>
      <c r="H364" s="45">
        <f t="shared" si="18"/>
        <v>0</v>
      </c>
      <c r="I364" s="47">
        <f>[1]Data2025!J363</f>
        <v>0</v>
      </c>
      <c r="J364" s="48" t="str">
        <f>[1]Data2025!L363</f>
        <v>Binder Klip  nomor 200</v>
      </c>
      <c r="K364" s="48" t="str">
        <f>[1]Data2025!M363</f>
        <v>Binder Klip  nomor 200</v>
      </c>
      <c r="L364" s="49">
        <f>[1]Data2025!N363</f>
        <v>10</v>
      </c>
      <c r="M364" s="49" t="str">
        <f>[1]Data2025!O363</f>
        <v>kotak</v>
      </c>
      <c r="N364" s="50">
        <f>[1]Data2025!P363</f>
        <v>16500</v>
      </c>
      <c r="O364" s="51">
        <f>[1]Data2025!Q363</f>
        <v>165000</v>
      </c>
      <c r="P364" s="52" t="s">
        <v>43</v>
      </c>
      <c r="Q364" s="53" t="str">
        <f>VLOOKUP(K364,[1]Sheet1!$C$1:$D$101,2,)</f>
        <v>Binder Clip Nomor 200 (Length 5.0Cm, Width 5.0Cm, Height 5.0Cm, Weight 5Gr)</v>
      </c>
      <c r="R364" s="77">
        <v>440000</v>
      </c>
      <c r="S364" s="78">
        <v>448000</v>
      </c>
      <c r="T364" s="56" t="str">
        <f>[1]Data2025!T363</f>
        <v>UD. JOSUA</v>
      </c>
      <c r="U364" s="80" t="s">
        <v>35</v>
      </c>
      <c r="V364" s="56" t="str">
        <f>[1]Data2025!V363</f>
        <v>Gestiwan Bazikho</v>
      </c>
      <c r="W364" s="56" t="str">
        <f>[1]Data2025!X363</f>
        <v>Jl. Diponegoro Kel. Pasar Telukdalam - Nias Selatan</v>
      </c>
      <c r="X364" s="80" t="s">
        <v>36</v>
      </c>
      <c r="Y364" s="57" t="str">
        <f t="shared" si="19"/>
        <v>Alat Tulis Kantor (ATK)</v>
      </c>
      <c r="Z364" s="58" t="str">
        <f t="shared" si="20"/>
        <v>Alat Tulis Kantor (ATK)</v>
      </c>
      <c r="AA364" s="82" t="s">
        <v>48</v>
      </c>
      <c r="AB364" s="83">
        <v>110000</v>
      </c>
      <c r="AC364" s="83">
        <v>440000</v>
      </c>
      <c r="AD364" s="77">
        <v>440000</v>
      </c>
      <c r="AE364" s="84">
        <v>396396.39639639639</v>
      </c>
      <c r="AF364" s="84">
        <v>440000</v>
      </c>
      <c r="AG364" s="62" t="s">
        <v>38</v>
      </c>
      <c r="AH364" s="63" t="str">
        <f>[1]Data2025!W363</f>
        <v>081375309828</v>
      </c>
    </row>
    <row r="365" spans="1:36" s="88" customFormat="1" ht="16.5" thickTop="1" thickBot="1">
      <c r="A365" s="41">
        <f>[1]Data2025!G364</f>
        <v>358</v>
      </c>
      <c r="B365" s="42">
        <f>[1]Data2025!K364</f>
        <v>0</v>
      </c>
      <c r="C365" s="43" t="str">
        <f>[1]Data2025!D364</f>
        <v>06. 05. 08.</v>
      </c>
      <c r="D365" s="44" t="str">
        <f>[1]Data2025!C364</f>
        <v>5.1.02.01.01.0024</v>
      </c>
      <c r="E365" s="45">
        <f>[1]Data2025!E364</f>
        <v>0</v>
      </c>
      <c r="F365" s="46">
        <f>[1]Data2025!F364</f>
        <v>0</v>
      </c>
      <c r="G365" s="45">
        <f>[1]Data2025!H364</f>
        <v>0</v>
      </c>
      <c r="H365" s="45">
        <f t="shared" si="18"/>
        <v>0</v>
      </c>
      <c r="I365" s="47">
        <f>[1]Data2025!J364</f>
        <v>0</v>
      </c>
      <c r="J365" s="48" t="str">
        <f>[1]Data2025!L364</f>
        <v>Binder Klip  nomor 260</v>
      </c>
      <c r="K365" s="48" t="str">
        <f>[1]Data2025!M364</f>
        <v>Binder Klip  nomor 260</v>
      </c>
      <c r="L365" s="49">
        <f>[1]Data2025!N364</f>
        <v>10</v>
      </c>
      <c r="M365" s="49" t="str">
        <f>[1]Data2025!O364</f>
        <v>kotak</v>
      </c>
      <c r="N365" s="50">
        <f>[1]Data2025!P364</f>
        <v>20000</v>
      </c>
      <c r="O365" s="51">
        <f>[1]Data2025!Q364</f>
        <v>200000</v>
      </c>
      <c r="P365" s="52" t="s">
        <v>43</v>
      </c>
      <c r="Q365" s="53" t="str">
        <f>VLOOKUP(K365,[1]Sheet1!$C$1:$D$101,2,)</f>
        <v>Binder Clip No 260 (Length 5.0Cm, Width 5.0Cm, Height 5.0Cm, Weight 5Gr)</v>
      </c>
      <c r="R365" s="77">
        <v>87500</v>
      </c>
      <c r="S365" s="78">
        <v>89500</v>
      </c>
      <c r="T365" s="56" t="str">
        <f>[1]Data2025!T364</f>
        <v>UD. JOSUA</v>
      </c>
      <c r="U365" s="80" t="s">
        <v>35</v>
      </c>
      <c r="V365" s="56" t="str">
        <f>[1]Data2025!V364</f>
        <v>Gestiwan Bazikho</v>
      </c>
      <c r="W365" s="56" t="str">
        <f>[1]Data2025!X364</f>
        <v>Jl. Diponegoro Kel. Pasar Telukdalam - Nias Selatan</v>
      </c>
      <c r="X365" s="80" t="s">
        <v>36</v>
      </c>
      <c r="Y365" s="57" t="str">
        <f t="shared" si="19"/>
        <v>Alat Tulis Kantor (ATK)</v>
      </c>
      <c r="Z365" s="58" t="str">
        <f t="shared" si="20"/>
        <v>Alat Tulis Kantor (ATK)</v>
      </c>
      <c r="AA365" s="82" t="s">
        <v>51</v>
      </c>
      <c r="AB365" s="83">
        <v>87500</v>
      </c>
      <c r="AC365" s="83">
        <v>87500</v>
      </c>
      <c r="AD365" s="77">
        <v>87500</v>
      </c>
      <c r="AE365" s="84">
        <v>78828.828828828831</v>
      </c>
      <c r="AF365" s="84">
        <v>87500</v>
      </c>
      <c r="AG365" s="62" t="s">
        <v>38</v>
      </c>
      <c r="AH365" s="63" t="str">
        <f>[1]Data2025!W364</f>
        <v>081375309828</v>
      </c>
      <c r="AI365" s="87"/>
      <c r="AJ365" s="87"/>
    </row>
    <row r="366" spans="1:36" s="88" customFormat="1" ht="26" thickTop="1" thickBot="1">
      <c r="A366" s="41">
        <f>[1]Data2025!G365</f>
        <v>359</v>
      </c>
      <c r="B366" s="42">
        <f>[1]Data2025!K365</f>
        <v>0</v>
      </c>
      <c r="C366" s="43" t="str">
        <f>[1]Data2025!D365</f>
        <v>06. 05. 08.</v>
      </c>
      <c r="D366" s="44" t="str">
        <f>[1]Data2025!C365</f>
        <v>5.1.02.01.01.0024</v>
      </c>
      <c r="E366" s="45">
        <f>[1]Data2025!E365</f>
        <v>0</v>
      </c>
      <c r="F366" s="46">
        <f>[1]Data2025!F365</f>
        <v>0</v>
      </c>
      <c r="G366" s="45">
        <f>[1]Data2025!H365</f>
        <v>0</v>
      </c>
      <c r="H366" s="45">
        <f t="shared" si="18"/>
        <v>0</v>
      </c>
      <c r="I366" s="47">
        <f>[1]Data2025!J365</f>
        <v>0</v>
      </c>
      <c r="J366" s="48" t="str">
        <f>[1]Data2025!L365</f>
        <v>Binder Klip Merk : KENKO nomor 105</v>
      </c>
      <c r="K366" s="48" t="str">
        <f>[1]Data2025!M365</f>
        <v>Binder Klip Merk : KENKO nomor 105</v>
      </c>
      <c r="L366" s="49">
        <f>[1]Data2025!N365</f>
        <v>2</v>
      </c>
      <c r="M366" s="49" t="str">
        <f>[1]Data2025!O365</f>
        <v>kotak</v>
      </c>
      <c r="N366" s="50">
        <f>[1]Data2025!P365</f>
        <v>5000</v>
      </c>
      <c r="O366" s="51">
        <f>[1]Data2025!Q365</f>
        <v>10000</v>
      </c>
      <c r="P366" s="52" t="s">
        <v>43</v>
      </c>
      <c r="Q366" s="53" t="str">
        <f>VLOOKUP(K366,[1]Sheet1!$C$1:$D$101,2,)</f>
        <v xml:space="preserve">Binder Clip merk kenko NO 105 (Length 5.0cm, Width 5.0cm, Height 5.0cm, Weight 5gr)  </v>
      </c>
      <c r="R366" s="77">
        <v>50000</v>
      </c>
      <c r="S366" s="78">
        <v>58000</v>
      </c>
      <c r="T366" s="56" t="str">
        <f>[1]Data2025!T365</f>
        <v>UD. JOSUA</v>
      </c>
      <c r="U366" s="80" t="s">
        <v>35</v>
      </c>
      <c r="V366" s="56" t="str">
        <f>[1]Data2025!V365</f>
        <v>Gestiwan Bazikho</v>
      </c>
      <c r="W366" s="56" t="str">
        <f>[1]Data2025!X365</f>
        <v>Jl. Diponegoro Kel. Pasar Telukdalam - Nias Selatan</v>
      </c>
      <c r="X366" s="80" t="s">
        <v>36</v>
      </c>
      <c r="Y366" s="57" t="str">
        <f t="shared" si="19"/>
        <v>Alat Tulis Kantor (ATK)</v>
      </c>
      <c r="Z366" s="58" t="str">
        <f t="shared" si="20"/>
        <v>Alat Tulis Kantor (ATK)</v>
      </c>
      <c r="AA366" s="82" t="s">
        <v>42</v>
      </c>
      <c r="AB366" s="83">
        <v>12500</v>
      </c>
      <c r="AC366" s="83">
        <v>50000</v>
      </c>
      <c r="AD366" s="77">
        <v>50000</v>
      </c>
      <c r="AE366" s="84">
        <v>45045.045045045044</v>
      </c>
      <c r="AF366" s="84">
        <v>50000</v>
      </c>
      <c r="AG366" s="62" t="s">
        <v>38</v>
      </c>
      <c r="AH366" s="63" t="str">
        <f>[1]Data2025!W365</f>
        <v>081375309828</v>
      </c>
    </row>
    <row r="367" spans="1:36" s="88" customFormat="1" ht="16.5" thickTop="1" thickBot="1">
      <c r="A367" s="41">
        <f>[1]Data2025!G366</f>
        <v>360</v>
      </c>
      <c r="B367" s="42">
        <f>[1]Data2025!K366</f>
        <v>0</v>
      </c>
      <c r="C367" s="43" t="str">
        <f>[1]Data2025!D366</f>
        <v>06. 05. 08.</v>
      </c>
      <c r="D367" s="44" t="str">
        <f>[1]Data2025!C366</f>
        <v>5.1.02.01.01.0024</v>
      </c>
      <c r="E367" s="45">
        <f>[1]Data2025!E366</f>
        <v>0</v>
      </c>
      <c r="F367" s="46">
        <f>[1]Data2025!F366</f>
        <v>0</v>
      </c>
      <c r="G367" s="45">
        <f>[1]Data2025!H366</f>
        <v>0</v>
      </c>
      <c r="H367" s="45">
        <f t="shared" si="18"/>
        <v>0</v>
      </c>
      <c r="I367" s="47">
        <f>[1]Data2025!J366</f>
        <v>0</v>
      </c>
      <c r="J367" s="48" t="str">
        <f>[1]Data2025!L366</f>
        <v>Map Binder</v>
      </c>
      <c r="K367" s="48" t="str">
        <f>[1]Data2025!M366</f>
        <v>Map Binder</v>
      </c>
      <c r="L367" s="49">
        <f>[1]Data2025!N366</f>
        <v>12</v>
      </c>
      <c r="M367" s="49" t="str">
        <f>[1]Data2025!O366</f>
        <v>buah</v>
      </c>
      <c r="N367" s="50">
        <f>[1]Data2025!P366</f>
        <v>35500</v>
      </c>
      <c r="O367" s="51">
        <f>[1]Data2025!Q366</f>
        <v>426000</v>
      </c>
      <c r="P367" s="52" t="s">
        <v>43</v>
      </c>
      <c r="Q367" s="53" t="str">
        <f>VLOOKUP(K367,[1]Sheet1!$C$1:$D$101,2,)</f>
        <v>Map Binder (Length 5.0Cm, Width 5.0Cm, Height 5.0Cm, Weight 5Gr)</v>
      </c>
      <c r="R367" s="77">
        <v>125000</v>
      </c>
      <c r="S367" s="78">
        <v>135000</v>
      </c>
      <c r="T367" s="56" t="str">
        <f>[1]Data2025!T366</f>
        <v>UD. JOSUA</v>
      </c>
      <c r="U367" s="80" t="s">
        <v>35</v>
      </c>
      <c r="V367" s="56" t="str">
        <f>[1]Data2025!V366</f>
        <v>Gestiwan Bazikho</v>
      </c>
      <c r="W367" s="56" t="str">
        <f>[1]Data2025!X366</f>
        <v>Jl. Diponegoro Kel. Pasar Telukdalam - Nias Selatan</v>
      </c>
      <c r="X367" s="80" t="s">
        <v>36</v>
      </c>
      <c r="Y367" s="57" t="str">
        <f t="shared" si="19"/>
        <v>Alat Tulis Kantor (ATK)</v>
      </c>
      <c r="Z367" s="58" t="str">
        <f t="shared" si="20"/>
        <v>Alat Tulis Kantor (ATK)</v>
      </c>
      <c r="AA367" s="82" t="s">
        <v>42</v>
      </c>
      <c r="AB367" s="83">
        <v>25000</v>
      </c>
      <c r="AC367" s="83">
        <v>125000</v>
      </c>
      <c r="AD367" s="77">
        <v>125000</v>
      </c>
      <c r="AE367" s="84">
        <v>112612.61261261262</v>
      </c>
      <c r="AF367" s="84">
        <v>125000</v>
      </c>
      <c r="AG367" s="62" t="s">
        <v>38</v>
      </c>
      <c r="AH367" s="63" t="str">
        <f>[1]Data2025!W366</f>
        <v>081375309828</v>
      </c>
      <c r="AI367" s="87"/>
      <c r="AJ367" s="87"/>
    </row>
    <row r="368" spans="1:36" s="88" customFormat="1" ht="16.5" thickTop="1" thickBot="1">
      <c r="A368" s="41">
        <f>[1]Data2025!G367</f>
        <v>361</v>
      </c>
      <c r="B368" s="42">
        <f>[1]Data2025!K367</f>
        <v>0</v>
      </c>
      <c r="C368" s="43" t="str">
        <f>[1]Data2025!D367</f>
        <v>06. 05. 08.</v>
      </c>
      <c r="D368" s="44" t="str">
        <f>[1]Data2025!C367</f>
        <v>5.1.02.01.01.0024</v>
      </c>
      <c r="E368" s="45">
        <f>[1]Data2025!E367</f>
        <v>0</v>
      </c>
      <c r="F368" s="46">
        <f>[1]Data2025!F367</f>
        <v>0</v>
      </c>
      <c r="G368" s="45">
        <f>[1]Data2025!H367</f>
        <v>0</v>
      </c>
      <c r="H368" s="45">
        <f t="shared" si="18"/>
        <v>0</v>
      </c>
      <c r="I368" s="47">
        <f>[1]Data2025!J367</f>
        <v>0</v>
      </c>
      <c r="J368" s="48" t="str">
        <f>[1]Data2025!L367</f>
        <v>Stofmap Kertas</v>
      </c>
      <c r="K368" s="48" t="str">
        <f>[1]Data2025!M367</f>
        <v>Stofmap Kertas</v>
      </c>
      <c r="L368" s="49">
        <f>[1]Data2025!N367</f>
        <v>1</v>
      </c>
      <c r="M368" s="49" t="str">
        <f>[1]Data2025!O367</f>
        <v>pak</v>
      </c>
      <c r="N368" s="50">
        <f>[1]Data2025!P367</f>
        <v>88000</v>
      </c>
      <c r="O368" s="51">
        <f>[1]Data2025!Q367</f>
        <v>88000</v>
      </c>
      <c r="P368" s="52" t="s">
        <v>43</v>
      </c>
      <c r="Q368" s="53" t="str">
        <f>VLOOKUP(K368,[1]Sheet1!$C$1:$D$101,2,)</f>
        <v>Stofmap Kertas (Length 5.0Cm, Width 5.0Cm, Height 5.0Cm, Weight 5Gr)</v>
      </c>
      <c r="R368" s="77">
        <v>240000</v>
      </c>
      <c r="S368" s="78">
        <v>256000</v>
      </c>
      <c r="T368" s="56" t="str">
        <f>[1]Data2025!T367</f>
        <v>UD. JOSUA</v>
      </c>
      <c r="U368" s="80" t="s">
        <v>35</v>
      </c>
      <c r="V368" s="56" t="str">
        <f>[1]Data2025!V367</f>
        <v>Gestiwan Bazikho</v>
      </c>
      <c r="W368" s="56" t="str">
        <f>[1]Data2025!X367</f>
        <v>Jl. Diponegoro Kel. Pasar Telukdalam - Nias Selatan</v>
      </c>
      <c r="X368" s="80" t="s">
        <v>36</v>
      </c>
      <c r="Y368" s="57" t="str">
        <f t="shared" si="19"/>
        <v>Alat Tulis Kantor (ATK)</v>
      </c>
      <c r="Z368" s="58" t="str">
        <f t="shared" si="20"/>
        <v>Alat Tulis Kantor (ATK)</v>
      </c>
      <c r="AA368" s="82" t="s">
        <v>48</v>
      </c>
      <c r="AB368" s="83">
        <v>30000</v>
      </c>
      <c r="AC368" s="83">
        <v>240000</v>
      </c>
      <c r="AD368" s="77">
        <v>240000</v>
      </c>
      <c r="AE368" s="84">
        <v>216216.21621621621</v>
      </c>
      <c r="AF368" s="84">
        <v>240000</v>
      </c>
      <c r="AG368" s="62" t="s">
        <v>38</v>
      </c>
      <c r="AH368" s="63" t="str">
        <f>[1]Data2025!W367</f>
        <v>081375309828</v>
      </c>
    </row>
    <row r="369" spans="1:36" s="88" customFormat="1" ht="16.5" thickTop="1" thickBot="1">
      <c r="A369" s="41">
        <f>[1]Data2025!G368</f>
        <v>362</v>
      </c>
      <c r="B369" s="42">
        <f>[1]Data2025!K368</f>
        <v>0</v>
      </c>
      <c r="C369" s="43" t="str">
        <f>[1]Data2025!D368</f>
        <v>06. 05. 08.</v>
      </c>
      <c r="D369" s="44" t="str">
        <f>[1]Data2025!C368</f>
        <v>5.1.02.01.01.0024</v>
      </c>
      <c r="E369" s="45">
        <f>[1]Data2025!E368</f>
        <v>0</v>
      </c>
      <c r="F369" s="46">
        <f>[1]Data2025!F368</f>
        <v>0</v>
      </c>
      <c r="G369" s="45">
        <f>[1]Data2025!H368</f>
        <v>0</v>
      </c>
      <c r="H369" s="45">
        <f t="shared" si="18"/>
        <v>0</v>
      </c>
      <c r="I369" s="47">
        <f>[1]Data2025!J368</f>
        <v>0</v>
      </c>
      <c r="J369" s="48" t="str">
        <f>[1]Data2025!L368</f>
        <v>Stofmap Transparan tali</v>
      </c>
      <c r="K369" s="48" t="str">
        <f>[1]Data2025!M368</f>
        <v>Stofmap Transparan tali</v>
      </c>
      <c r="L369" s="49">
        <f>[1]Data2025!N368</f>
        <v>100</v>
      </c>
      <c r="M369" s="49" t="str">
        <f>[1]Data2025!O368</f>
        <v>buah</v>
      </c>
      <c r="N369" s="50">
        <f>[1]Data2025!P368</f>
        <v>5500</v>
      </c>
      <c r="O369" s="51">
        <f>[1]Data2025!Q368</f>
        <v>550000</v>
      </c>
      <c r="P369" s="52" t="s">
        <v>43</v>
      </c>
      <c r="Q369" s="53" t="str">
        <f>VLOOKUP(K369,[1]Sheet1!$C$1:$D$101,2,)</f>
        <v>Stofmap Transparan tali (Merk : Jenia Tipe : 2 Kancing + Tali Ukuran : 255 x 375 mm Bahan : Plastik PP 0,14 Micron)</v>
      </c>
      <c r="R369" s="77">
        <v>485000</v>
      </c>
      <c r="S369" s="78">
        <v>505000</v>
      </c>
      <c r="T369" s="56" t="str">
        <f>[1]Data2025!T368</f>
        <v>UD. JOSUA</v>
      </c>
      <c r="U369" s="80" t="s">
        <v>35</v>
      </c>
      <c r="V369" s="56" t="str">
        <f>[1]Data2025!V368</f>
        <v>Gestiwan Bazikho</v>
      </c>
      <c r="W369" s="56" t="str">
        <f>[1]Data2025!X368</f>
        <v>Jl. Diponegoro Kel. Pasar Telukdalam - Nias Selatan</v>
      </c>
      <c r="X369" s="80" t="s">
        <v>36</v>
      </c>
      <c r="Y369" s="57" t="str">
        <f t="shared" si="19"/>
        <v>Alat Tulis Kantor (ATK)</v>
      </c>
      <c r="Z369" s="58" t="str">
        <f t="shared" si="20"/>
        <v>Alat Tulis Kantor (ATK)</v>
      </c>
      <c r="AA369" s="82" t="s">
        <v>50</v>
      </c>
      <c r="AB369" s="83">
        <v>48500</v>
      </c>
      <c r="AC369" s="83">
        <v>485000</v>
      </c>
      <c r="AD369" s="77">
        <v>485000</v>
      </c>
      <c r="AE369" s="84">
        <v>436936.93693693692</v>
      </c>
      <c r="AF369" s="84">
        <v>485000</v>
      </c>
      <c r="AG369" s="62" t="s">
        <v>38</v>
      </c>
      <c r="AH369" s="63" t="str">
        <f>[1]Data2025!W368</f>
        <v>081375309828</v>
      </c>
    </row>
    <row r="370" spans="1:36" s="88" customFormat="1" ht="16.5" thickTop="1" thickBot="1">
      <c r="A370" s="41">
        <f>[1]Data2025!G369</f>
        <v>363</v>
      </c>
      <c r="B370" s="42">
        <f>[1]Data2025!K369</f>
        <v>0</v>
      </c>
      <c r="C370" s="43" t="str">
        <f>[1]Data2025!D369</f>
        <v>06. 05. 08.</v>
      </c>
      <c r="D370" s="44" t="str">
        <f>[1]Data2025!C369</f>
        <v>5.1.02.01.01.0024</v>
      </c>
      <c r="E370" s="45">
        <f>[1]Data2025!E369</f>
        <v>0</v>
      </c>
      <c r="F370" s="46">
        <f>[1]Data2025!F369</f>
        <v>0</v>
      </c>
      <c r="G370" s="45">
        <f>[1]Data2025!H369</f>
        <v>0</v>
      </c>
      <c r="H370" s="45">
        <f t="shared" si="18"/>
        <v>0</v>
      </c>
      <c r="I370" s="47">
        <f>[1]Data2025!J369</f>
        <v>0</v>
      </c>
      <c r="J370" s="48" t="str">
        <f>[1]Data2025!L369</f>
        <v>Stofmap Transparan</v>
      </c>
      <c r="K370" s="48" t="str">
        <f>[1]Data2025!M369</f>
        <v>Stofmap Transparan</v>
      </c>
      <c r="L370" s="49">
        <f>[1]Data2025!N369</f>
        <v>100</v>
      </c>
      <c r="M370" s="49" t="str">
        <f>[1]Data2025!O369</f>
        <v>buah</v>
      </c>
      <c r="N370" s="50">
        <f>[1]Data2025!P369</f>
        <v>5500</v>
      </c>
      <c r="O370" s="51">
        <f>[1]Data2025!Q369</f>
        <v>550000</v>
      </c>
      <c r="P370" s="52" t="s">
        <v>43</v>
      </c>
      <c r="Q370" s="53" t="str">
        <f>VLOOKUP(K370,[1]Sheet1!$C$1:$D$101,2,)</f>
        <v>Stofmap Transparan (Length 5.0Cm, Width 5.0Cm, Height 5.0Cm, Weight 5Gr)</v>
      </c>
      <c r="R370" s="77">
        <v>297000</v>
      </c>
      <c r="S370" s="78">
        <v>309000</v>
      </c>
      <c r="T370" s="56" t="str">
        <f>[1]Data2025!T369</f>
        <v>UD. JOSUA</v>
      </c>
      <c r="U370" s="80" t="s">
        <v>35</v>
      </c>
      <c r="V370" s="56" t="str">
        <f>[1]Data2025!V369</f>
        <v>Gestiwan Bazikho</v>
      </c>
      <c r="W370" s="56" t="str">
        <f>[1]Data2025!X369</f>
        <v>Jl. Diponegoro Kel. Pasar Telukdalam - Nias Selatan</v>
      </c>
      <c r="X370" s="80" t="s">
        <v>36</v>
      </c>
      <c r="Y370" s="57" t="str">
        <f t="shared" si="19"/>
        <v>Alat Tulis Kantor (ATK)</v>
      </c>
      <c r="Z370" s="58" t="str">
        <f t="shared" si="20"/>
        <v>Alat Tulis Kantor (ATK)</v>
      </c>
      <c r="AA370" s="82" t="s">
        <v>42</v>
      </c>
      <c r="AB370" s="83">
        <v>49500</v>
      </c>
      <c r="AC370" s="83">
        <v>297000</v>
      </c>
      <c r="AD370" s="77">
        <v>297000</v>
      </c>
      <c r="AE370" s="84">
        <v>267567.56756756757</v>
      </c>
      <c r="AF370" s="84">
        <v>297000</v>
      </c>
      <c r="AG370" s="62" t="s">
        <v>38</v>
      </c>
      <c r="AH370" s="63" t="str">
        <f>[1]Data2025!W369</f>
        <v>081375309828</v>
      </c>
    </row>
    <row r="371" spans="1:36" s="88" customFormat="1" ht="16.5" thickTop="1" thickBot="1">
      <c r="A371" s="41">
        <f>[1]Data2025!G370</f>
        <v>364</v>
      </c>
      <c r="B371" s="42">
        <f>[1]Data2025!K370</f>
        <v>0</v>
      </c>
      <c r="C371" s="43" t="str">
        <f>[1]Data2025!D370</f>
        <v>06. 05. 08.</v>
      </c>
      <c r="D371" s="44" t="str">
        <f>[1]Data2025!C370</f>
        <v>5.1.02.01.01.0024</v>
      </c>
      <c r="E371" s="45">
        <f>[1]Data2025!E370</f>
        <v>0</v>
      </c>
      <c r="F371" s="46">
        <f>[1]Data2025!F370</f>
        <v>0</v>
      </c>
      <c r="G371" s="45">
        <f>[1]Data2025!H370</f>
        <v>0</v>
      </c>
      <c r="H371" s="45">
        <f t="shared" si="18"/>
        <v>0</v>
      </c>
      <c r="I371" s="47">
        <f>[1]Data2025!J370</f>
        <v>0</v>
      </c>
      <c r="J371" s="48" t="str">
        <f>[1]Data2025!L370</f>
        <v>Binder Klip Ordner</v>
      </c>
      <c r="K371" s="48" t="str">
        <f>[1]Data2025!M370</f>
        <v>Binder Klip Ordner</v>
      </c>
      <c r="L371" s="49">
        <f>[1]Data2025!N370</f>
        <v>6</v>
      </c>
      <c r="M371" s="49" t="str">
        <f>[1]Data2025!O370</f>
        <v>buah</v>
      </c>
      <c r="N371" s="50">
        <f>[1]Data2025!P370</f>
        <v>49500</v>
      </c>
      <c r="O371" s="51">
        <f>[1]Data2025!Q370</f>
        <v>297000</v>
      </c>
      <c r="P371" s="52" t="s">
        <v>43</v>
      </c>
      <c r="Q371" s="53" t="str">
        <f>VLOOKUP(K371,[1]Sheet1!$C$1:$D$101,2,)</f>
        <v>Binder Klip Ordner (Length 5.0Cm, Width 5.0Cm, Height 5.0Cm, Weight 5Gr)</v>
      </c>
      <c r="R371" s="77">
        <v>335000</v>
      </c>
      <c r="S371" s="78">
        <v>345000</v>
      </c>
      <c r="T371" s="56" t="str">
        <f>[1]Data2025!T370</f>
        <v>UD. JOSUA</v>
      </c>
      <c r="U371" s="80" t="s">
        <v>35</v>
      </c>
      <c r="V371" s="56" t="str">
        <f>[1]Data2025!V370</f>
        <v>Gestiwan Bazikho</v>
      </c>
      <c r="W371" s="56" t="str">
        <f>[1]Data2025!X370</f>
        <v>Jl. Diponegoro Kel. Pasar Telukdalam - Nias Selatan</v>
      </c>
      <c r="X371" s="80" t="s">
        <v>36</v>
      </c>
      <c r="Y371" s="57" t="str">
        <f t="shared" si="19"/>
        <v>Alat Tulis Kantor (ATK)</v>
      </c>
      <c r="Z371" s="58" t="str">
        <f t="shared" si="20"/>
        <v>Alat Tulis Kantor (ATK)</v>
      </c>
      <c r="AA371" s="82" t="s">
        <v>48</v>
      </c>
      <c r="AB371" s="83">
        <v>67000</v>
      </c>
      <c r="AC371" s="83">
        <v>335000</v>
      </c>
      <c r="AD371" s="77">
        <v>335000</v>
      </c>
      <c r="AE371" s="84">
        <v>301801.80180180183</v>
      </c>
      <c r="AF371" s="84">
        <v>335000</v>
      </c>
      <c r="AG371" s="62" t="s">
        <v>38</v>
      </c>
      <c r="AH371" s="63" t="str">
        <f>[1]Data2025!W370</f>
        <v>081375309828</v>
      </c>
      <c r="AI371" s="87"/>
      <c r="AJ371" s="87"/>
    </row>
    <row r="372" spans="1:36" s="88" customFormat="1" ht="26" thickTop="1" thickBot="1">
      <c r="A372" s="41">
        <f>[1]Data2025!G371</f>
        <v>365</v>
      </c>
      <c r="B372" s="42">
        <f>[1]Data2025!K371</f>
        <v>0</v>
      </c>
      <c r="C372" s="43" t="str">
        <f>[1]Data2025!D371</f>
        <v>06. 05. 08.</v>
      </c>
      <c r="D372" s="44" t="str">
        <f>[1]Data2025!C371</f>
        <v>5.1.02.01.01.0024</v>
      </c>
      <c r="E372" s="45">
        <f>[1]Data2025!E371</f>
        <v>0</v>
      </c>
      <c r="F372" s="46">
        <f>[1]Data2025!F371</f>
        <v>0</v>
      </c>
      <c r="G372" s="45">
        <f>[1]Data2025!H371</f>
        <v>0</v>
      </c>
      <c r="H372" s="45">
        <f t="shared" si="18"/>
        <v>0</v>
      </c>
      <c r="I372" s="47">
        <f>[1]Data2025!J371</f>
        <v>0</v>
      </c>
      <c r="J372" s="48" t="str">
        <f>[1]Data2025!L371</f>
        <v>Box File Merk : Bantex Ukuran : 115x270x325 mm</v>
      </c>
      <c r="K372" s="48" t="str">
        <f>[1]Data2025!M371</f>
        <v>Box File Merk : Bantex Ukuran : 115x270x325 mm</v>
      </c>
      <c r="L372" s="49">
        <f>[1]Data2025!N371</f>
        <v>4</v>
      </c>
      <c r="M372" s="49" t="str">
        <f>[1]Data2025!O371</f>
        <v>buah</v>
      </c>
      <c r="N372" s="50">
        <f>[1]Data2025!P371</f>
        <v>59000</v>
      </c>
      <c r="O372" s="51">
        <f>[1]Data2025!Q371</f>
        <v>236000</v>
      </c>
      <c r="P372" s="52" t="s">
        <v>43</v>
      </c>
      <c r="Q372" s="53" t="str">
        <f>VLOOKUP(K372,[1]Sheet1!$C$1:$D$101,2,)</f>
        <v>Box File (Length 5.0Cm, Width 5.0Cm, Height 5.0Cm, Weight 5Gr)</v>
      </c>
      <c r="R372" s="77">
        <v>205500</v>
      </c>
      <c r="S372" s="78">
        <v>235500</v>
      </c>
      <c r="T372" s="56" t="str">
        <f>[1]Data2025!T371</f>
        <v>UD. JOSUA</v>
      </c>
      <c r="U372" s="80" t="s">
        <v>35</v>
      </c>
      <c r="V372" s="56" t="str">
        <f>[1]Data2025!V371</f>
        <v>Gestiwan Bazikho</v>
      </c>
      <c r="W372" s="56" t="str">
        <f>[1]Data2025!X371</f>
        <v>Jl. Diponegoro Kel. Pasar Telukdalam - Nias Selatan</v>
      </c>
      <c r="X372" s="80" t="s">
        <v>36</v>
      </c>
      <c r="Y372" s="57" t="str">
        <f t="shared" si="19"/>
        <v>Alat Tulis Kantor (ATK)</v>
      </c>
      <c r="Z372" s="58" t="str">
        <f t="shared" si="20"/>
        <v>Alat Tulis Kantor (ATK)</v>
      </c>
      <c r="AA372" s="82" t="s">
        <v>42</v>
      </c>
      <c r="AB372" s="83">
        <v>13700</v>
      </c>
      <c r="AC372" s="83">
        <v>205500</v>
      </c>
      <c r="AD372" s="77">
        <v>205500</v>
      </c>
      <c r="AE372" s="84">
        <v>185135.13513513515</v>
      </c>
      <c r="AF372" s="84">
        <v>205500</v>
      </c>
      <c r="AG372" s="62" t="s">
        <v>38</v>
      </c>
      <c r="AH372" s="63" t="str">
        <f>[1]Data2025!W371</f>
        <v>081375309828</v>
      </c>
    </row>
    <row r="373" spans="1:36" s="88" customFormat="1" ht="16.5" thickTop="1" thickBot="1">
      <c r="A373" s="41">
        <f>[1]Data2025!G372</f>
        <v>366</v>
      </c>
      <c r="B373" s="42">
        <f>[1]Data2025!K372</f>
        <v>0</v>
      </c>
      <c r="C373" s="43" t="str">
        <f>[1]Data2025!D372</f>
        <v>06. 05. 08.</v>
      </c>
      <c r="D373" s="44" t="str">
        <f>[1]Data2025!C372</f>
        <v>5.1.02.01.01.0024</v>
      </c>
      <c r="E373" s="45">
        <f>[1]Data2025!E372</f>
        <v>0</v>
      </c>
      <c r="F373" s="46">
        <f>[1]Data2025!F372</f>
        <v>0</v>
      </c>
      <c r="G373" s="45">
        <f>[1]Data2025!H372</f>
        <v>0</v>
      </c>
      <c r="H373" s="45">
        <f t="shared" si="18"/>
        <v>0</v>
      </c>
      <c r="I373" s="47">
        <f>[1]Data2025!J372</f>
        <v>0</v>
      </c>
      <c r="J373" s="48" t="str">
        <f>[1]Data2025!L372</f>
        <v>Sampul Plastik</v>
      </c>
      <c r="K373" s="48" t="str">
        <f>[1]Data2025!M372</f>
        <v>Sampul Plastik</v>
      </c>
      <c r="L373" s="49">
        <f>[1]Data2025!N372</f>
        <v>5</v>
      </c>
      <c r="M373" s="49" t="str">
        <f>[1]Data2025!O372</f>
        <v>bungkus</v>
      </c>
      <c r="N373" s="50">
        <f>[1]Data2025!P372</f>
        <v>65000</v>
      </c>
      <c r="O373" s="51">
        <f>[1]Data2025!Q372</f>
        <v>325000</v>
      </c>
      <c r="P373" s="52" t="s">
        <v>43</v>
      </c>
      <c r="Q373" s="53" t="str">
        <f>VLOOKUP(K373,[1]Sheet1!$C$1:$D$101,2,)</f>
        <v>Sampul Plastik (Length 5.0Cm, Width 5.0Cm, Height 5.0Cm, Weight 5Gr)</v>
      </c>
      <c r="R373" s="77">
        <v>121000</v>
      </c>
      <c r="S373" s="78">
        <v>141000</v>
      </c>
      <c r="T373" s="56" t="str">
        <f>[1]Data2025!T372</f>
        <v>UD. JOSUA</v>
      </c>
      <c r="U373" s="80" t="s">
        <v>35</v>
      </c>
      <c r="V373" s="56" t="str">
        <f>[1]Data2025!V372</f>
        <v>Gestiwan Bazikho</v>
      </c>
      <c r="W373" s="56" t="str">
        <f>[1]Data2025!X372</f>
        <v>Jl. Diponegoro Kel. Pasar Telukdalam - Nias Selatan</v>
      </c>
      <c r="X373" s="80" t="s">
        <v>36</v>
      </c>
      <c r="Y373" s="57" t="str">
        <f t="shared" si="19"/>
        <v>Alat Tulis Kantor (ATK)</v>
      </c>
      <c r="Z373" s="58" t="str">
        <f t="shared" si="20"/>
        <v>Alat Tulis Kantor (ATK)</v>
      </c>
      <c r="AA373" s="82" t="s">
        <v>42</v>
      </c>
      <c r="AB373" s="83">
        <v>12100</v>
      </c>
      <c r="AC373" s="83">
        <v>121000</v>
      </c>
      <c r="AD373" s="77">
        <v>121000</v>
      </c>
      <c r="AE373" s="84">
        <v>109009.00900900901</v>
      </c>
      <c r="AF373" s="84">
        <v>121000</v>
      </c>
      <c r="AG373" s="62" t="s">
        <v>38</v>
      </c>
      <c r="AH373" s="63" t="str">
        <f>[1]Data2025!W372</f>
        <v>081375309828</v>
      </c>
    </row>
    <row r="374" spans="1:36" s="88" customFormat="1" ht="18.649999999999999" customHeight="1" thickTop="1" thickBot="1">
      <c r="A374" s="41">
        <f>[1]Data2025!G373</f>
        <v>367</v>
      </c>
      <c r="B374" s="42">
        <f>[1]Data2025!K373</f>
        <v>0</v>
      </c>
      <c r="C374" s="43" t="str">
        <f>[1]Data2025!D373</f>
        <v>06. 05. 08.</v>
      </c>
      <c r="D374" s="44" t="str">
        <f>[1]Data2025!C373</f>
        <v>5.1.02.01.01.0024</v>
      </c>
      <c r="E374" s="45">
        <f>[1]Data2025!E373</f>
        <v>0</v>
      </c>
      <c r="F374" s="46">
        <f>[1]Data2025!F373</f>
        <v>0</v>
      </c>
      <c r="G374" s="45">
        <f>[1]Data2025!H373</f>
        <v>0</v>
      </c>
      <c r="H374" s="45">
        <f t="shared" si="18"/>
        <v>0</v>
      </c>
      <c r="I374" s="47">
        <f>[1]Data2025!J373</f>
        <v>0</v>
      </c>
      <c r="J374" s="48" t="str">
        <f>[1]Data2025!L373</f>
        <v>Tinta Printer Canon 740 Hitam-740 Hitam</v>
      </c>
      <c r="K374" s="48" t="str">
        <f>[1]Data2025!M373</f>
        <v>Tinta Printer Canon 740 Hitam-740 Hitam</v>
      </c>
      <c r="L374" s="49">
        <f>[1]Data2025!N373</f>
        <v>8</v>
      </c>
      <c r="M374" s="49" t="str">
        <f>[1]Data2025!O373</f>
        <v>botol</v>
      </c>
      <c r="N374" s="50">
        <f>[1]Data2025!P373</f>
        <v>30000</v>
      </c>
      <c r="O374" s="51">
        <f>[1]Data2025!Q373</f>
        <v>240000</v>
      </c>
      <c r="P374" s="52" t="s">
        <v>43</v>
      </c>
      <c r="Q374" s="53" t="str">
        <f>VLOOKUP(K374,[1]Sheet1!$C$1:$D$101,2,)</f>
        <v>Tinta Printer Canon Aiflo Hitam (Length 5.0cm, Width 5.0cm, Height 5.0cm, Weight 5gr)</v>
      </c>
      <c r="R374" s="77">
        <v>45000</v>
      </c>
      <c r="S374" s="78">
        <v>51000</v>
      </c>
      <c r="T374" s="56" t="str">
        <f>[1]Data2025!T373</f>
        <v>UD. JOSUA</v>
      </c>
      <c r="U374" s="80" t="s">
        <v>35</v>
      </c>
      <c r="V374" s="56" t="str">
        <f>[1]Data2025!V373</f>
        <v>Gestiwan Bazikho</v>
      </c>
      <c r="W374" s="56" t="str">
        <f>[1]Data2025!X373</f>
        <v>Jl. Diponegoro Kel. Pasar Telukdalam - Nias Selatan</v>
      </c>
      <c r="X374" s="80" t="s">
        <v>36</v>
      </c>
      <c r="Y374" s="57" t="str">
        <f t="shared" si="19"/>
        <v>Alat Tulis Kantor (ATK)</v>
      </c>
      <c r="Z374" s="58" t="str">
        <f t="shared" si="20"/>
        <v>Alat Tulis Kantor (ATK)</v>
      </c>
      <c r="AA374" s="82" t="s">
        <v>42</v>
      </c>
      <c r="AB374" s="83">
        <v>15000</v>
      </c>
      <c r="AC374" s="83">
        <v>45000</v>
      </c>
      <c r="AD374" s="77">
        <v>45000</v>
      </c>
      <c r="AE374" s="84">
        <v>40540.54054054054</v>
      </c>
      <c r="AF374" s="84">
        <v>45000</v>
      </c>
      <c r="AG374" s="62" t="s">
        <v>38</v>
      </c>
      <c r="AH374" s="63" t="str">
        <f>[1]Data2025!W373</f>
        <v>081375309828</v>
      </c>
    </row>
    <row r="375" spans="1:36" s="88" customFormat="1" ht="26" thickTop="1" thickBot="1">
      <c r="A375" s="41">
        <f>[1]Data2025!G374</f>
        <v>368</v>
      </c>
      <c r="B375" s="42">
        <f>[1]Data2025!K374</f>
        <v>0</v>
      </c>
      <c r="C375" s="43" t="str">
        <f>[1]Data2025!D374</f>
        <v>06. 05. 08.</v>
      </c>
      <c r="D375" s="44" t="str">
        <f>[1]Data2025!C374</f>
        <v>5.1.02.01.01.0024</v>
      </c>
      <c r="E375" s="45">
        <f>[1]Data2025!E374</f>
        <v>0</v>
      </c>
      <c r="F375" s="46">
        <f>[1]Data2025!F374</f>
        <v>0</v>
      </c>
      <c r="G375" s="45">
        <f>[1]Data2025!H374</f>
        <v>0</v>
      </c>
      <c r="H375" s="45">
        <f t="shared" si="18"/>
        <v>0</v>
      </c>
      <c r="I375" s="47">
        <f>[1]Data2025!J374</f>
        <v>0</v>
      </c>
      <c r="J375" s="48" t="str">
        <f>[1]Data2025!L374</f>
        <v>Tinta Printer Canon 741 Warna-741 Warna</v>
      </c>
      <c r="K375" s="48" t="str">
        <f>[1]Data2025!M374</f>
        <v>Tinta Printer Canon 741 Warna-741 Warna</v>
      </c>
      <c r="L375" s="49">
        <f>[1]Data2025!N374</f>
        <v>12</v>
      </c>
      <c r="M375" s="49" t="str">
        <f>[1]Data2025!O374</f>
        <v>botol</v>
      </c>
      <c r="N375" s="50">
        <f>[1]Data2025!P374</f>
        <v>33000</v>
      </c>
      <c r="O375" s="51">
        <f>[1]Data2025!Q374</f>
        <v>396000</v>
      </c>
      <c r="P375" s="52" t="s">
        <v>43</v>
      </c>
      <c r="Q375" s="53" t="str">
        <f>VLOOKUP(K375,[1]Sheet1!$C$1:$D$101,2,)</f>
        <v>Tinta Printer Canon Aiflo Warna (Length 5.0cm, Width 5.0cm, Height 5.0cm, Weight 5gr)</v>
      </c>
      <c r="R375" s="77">
        <v>300000</v>
      </c>
      <c r="S375" s="78">
        <v>320000</v>
      </c>
      <c r="T375" s="56" t="str">
        <f>[1]Data2025!T374</f>
        <v>UD. JOSUA</v>
      </c>
      <c r="U375" s="80" t="s">
        <v>35</v>
      </c>
      <c r="V375" s="56" t="str">
        <f>[1]Data2025!V374</f>
        <v>Gestiwan Bazikho</v>
      </c>
      <c r="W375" s="56" t="str">
        <f>[1]Data2025!X374</f>
        <v>Jl. Diponegoro Kel. Pasar Telukdalam - Nias Selatan</v>
      </c>
      <c r="X375" s="80" t="s">
        <v>36</v>
      </c>
      <c r="Y375" s="57" t="str">
        <f t="shared" si="19"/>
        <v>Alat Tulis Kantor (ATK)</v>
      </c>
      <c r="Z375" s="58" t="str">
        <f t="shared" si="20"/>
        <v>Alat Tulis Kantor (ATK)</v>
      </c>
      <c r="AA375" s="82" t="s">
        <v>48</v>
      </c>
      <c r="AB375" s="83">
        <v>30000</v>
      </c>
      <c r="AC375" s="83">
        <v>300000</v>
      </c>
      <c r="AD375" s="77">
        <v>300000</v>
      </c>
      <c r="AE375" s="84">
        <v>270270.2702702703</v>
      </c>
      <c r="AF375" s="84">
        <v>300000</v>
      </c>
      <c r="AG375" s="62" t="s">
        <v>38</v>
      </c>
      <c r="AH375" s="63" t="str">
        <f>[1]Data2025!W374</f>
        <v>081375309828</v>
      </c>
    </row>
    <row r="376" spans="1:36" s="88" customFormat="1" ht="26" thickTop="1" thickBot="1">
      <c r="A376" s="41">
        <f>[1]Data2025!G375</f>
        <v>369</v>
      </c>
      <c r="B376" s="42">
        <f>[1]Data2025!K375</f>
        <v>0</v>
      </c>
      <c r="C376" s="43" t="str">
        <f>[1]Data2025!D375</f>
        <v>06. 05. 08.</v>
      </c>
      <c r="D376" s="44" t="str">
        <f>[1]Data2025!C375</f>
        <v>5.1.02.01.01.0024</v>
      </c>
      <c r="E376" s="45">
        <f>[1]Data2025!E375</f>
        <v>0</v>
      </c>
      <c r="F376" s="46">
        <f>[1]Data2025!F375</f>
        <v>0</v>
      </c>
      <c r="G376" s="45">
        <f>[1]Data2025!H375</f>
        <v>0</v>
      </c>
      <c r="H376" s="45">
        <f t="shared" si="18"/>
        <v>0</v>
      </c>
      <c r="I376" s="47">
        <f>[1]Data2025!J375</f>
        <v>0</v>
      </c>
      <c r="J376" s="48" t="str">
        <f>[1]Data2025!L375</f>
        <v>C. Tinta Printer EPSON Toner Epson 664 Black</v>
      </c>
      <c r="K376" s="48" t="str">
        <f>[1]Data2025!M375</f>
        <v>C. Tinta Printer EPSON Toner Epson 664 Black</v>
      </c>
      <c r="L376" s="49">
        <f>[1]Data2025!N375</f>
        <v>6</v>
      </c>
      <c r="M376" s="49" t="str">
        <f>[1]Data2025!O375</f>
        <v>botol</v>
      </c>
      <c r="N376" s="50">
        <f>[1]Data2025!P375</f>
        <v>85000</v>
      </c>
      <c r="O376" s="51">
        <f>[1]Data2025!Q375</f>
        <v>510000</v>
      </c>
      <c r="P376" s="52" t="s">
        <v>43</v>
      </c>
      <c r="Q376" s="53" t="str">
        <f>VLOOKUP(K376,[1]Sheet1!$C$1:$D$101,2,)</f>
        <v>Tinta Printer Epson 664 Hitam (Length 5.0Cm, Width 5.0Cm, Height 5.0Cm, Weight 5Gr)</v>
      </c>
      <c r="R376" s="77">
        <v>60000</v>
      </c>
      <c r="S376" s="78">
        <v>70000</v>
      </c>
      <c r="T376" s="56" t="str">
        <f>[1]Data2025!T375</f>
        <v>UD. JOSUA</v>
      </c>
      <c r="U376" s="80" t="s">
        <v>35</v>
      </c>
      <c r="V376" s="56" t="str">
        <f>[1]Data2025!V375</f>
        <v>Gestiwan Bazikho</v>
      </c>
      <c r="W376" s="56" t="str">
        <f>[1]Data2025!X375</f>
        <v>Jl. Diponegoro Kel. Pasar Telukdalam - Nias Selatan</v>
      </c>
      <c r="X376" s="80" t="s">
        <v>36</v>
      </c>
      <c r="Y376" s="57" t="str">
        <f t="shared" si="19"/>
        <v>Alat Tulis Kantor (ATK)</v>
      </c>
      <c r="Z376" s="58" t="str">
        <f t="shared" si="20"/>
        <v>Alat Tulis Kantor (ATK)</v>
      </c>
      <c r="AA376" s="82" t="s">
        <v>42</v>
      </c>
      <c r="AB376" s="83">
        <v>12000</v>
      </c>
      <c r="AC376" s="83">
        <v>60000</v>
      </c>
      <c r="AD376" s="77">
        <v>60000</v>
      </c>
      <c r="AE376" s="84">
        <v>54054.054054054053</v>
      </c>
      <c r="AF376" s="84">
        <v>60000</v>
      </c>
      <c r="AG376" s="62" t="s">
        <v>38</v>
      </c>
      <c r="AH376" s="63" t="str">
        <f>[1]Data2025!W375</f>
        <v>081375309828</v>
      </c>
      <c r="AI376" s="87"/>
      <c r="AJ376" s="87"/>
    </row>
    <row r="377" spans="1:36" s="88" customFormat="1" ht="26" thickTop="1" thickBot="1">
      <c r="A377" s="41">
        <f>[1]Data2025!G376</f>
        <v>370</v>
      </c>
      <c r="B377" s="42">
        <f>[1]Data2025!K376</f>
        <v>0</v>
      </c>
      <c r="C377" s="43" t="str">
        <f>[1]Data2025!D376</f>
        <v>06. 05. 08.</v>
      </c>
      <c r="D377" s="44" t="str">
        <f>[1]Data2025!C376</f>
        <v>5.1.02.01.01.0024</v>
      </c>
      <c r="E377" s="45">
        <f>[1]Data2025!E376</f>
        <v>0</v>
      </c>
      <c r="F377" s="46">
        <f>[1]Data2025!F376</f>
        <v>0</v>
      </c>
      <c r="G377" s="45">
        <f>[1]Data2025!H376</f>
        <v>0</v>
      </c>
      <c r="H377" s="45">
        <f t="shared" si="18"/>
        <v>0</v>
      </c>
      <c r="I377" s="47">
        <f>[1]Data2025!J376</f>
        <v>0</v>
      </c>
      <c r="J377" s="48" t="str">
        <f>[1]Data2025!L376</f>
        <v>C. Tinta Printer EPSON Tinta Printer Epson Yellow</v>
      </c>
      <c r="K377" s="48" t="str">
        <f>[1]Data2025!M376</f>
        <v>C. Tinta Printer EPSON Tinta Printer Epson Yellow</v>
      </c>
      <c r="L377" s="49">
        <f>[1]Data2025!N376</f>
        <v>4</v>
      </c>
      <c r="M377" s="49" t="str">
        <f>[1]Data2025!O376</f>
        <v>botol</v>
      </c>
      <c r="N377" s="50">
        <f>[1]Data2025!P376</f>
        <v>110000</v>
      </c>
      <c r="O377" s="51">
        <f>[1]Data2025!Q376</f>
        <v>440000</v>
      </c>
      <c r="P377" s="52" t="s">
        <v>43</v>
      </c>
      <c r="Q377" s="53" t="str">
        <f>VLOOKUP(K377,[1]Sheet1!$C$1:$D$101,2,)</f>
        <v>Tinta Printer Epson 664 Kuning (Length 5.0Cm, Width 5.0Cm, Height 5.0Cm, Weight 5Gr)</v>
      </c>
      <c r="R377" s="77">
        <v>150000</v>
      </c>
      <c r="S377" s="78">
        <v>174000</v>
      </c>
      <c r="T377" s="56" t="str">
        <f>[1]Data2025!T376</f>
        <v>UD. JOSUA</v>
      </c>
      <c r="U377" s="80" t="s">
        <v>35</v>
      </c>
      <c r="V377" s="56" t="str">
        <f>[1]Data2025!V376</f>
        <v>Gestiwan Bazikho</v>
      </c>
      <c r="W377" s="56" t="str">
        <f>[1]Data2025!X376</f>
        <v>Jl. Diponegoro Kel. Pasar Telukdalam - Nias Selatan</v>
      </c>
      <c r="X377" s="80" t="s">
        <v>36</v>
      </c>
      <c r="Y377" s="57" t="str">
        <f t="shared" si="19"/>
        <v>Alat Tulis Kantor (ATK)</v>
      </c>
      <c r="Z377" s="58" t="str">
        <f t="shared" si="20"/>
        <v>Alat Tulis Kantor (ATK)</v>
      </c>
      <c r="AA377" s="82" t="s">
        <v>42</v>
      </c>
      <c r="AB377" s="83">
        <v>12500</v>
      </c>
      <c r="AC377" s="83">
        <v>150000</v>
      </c>
      <c r="AD377" s="77">
        <v>150000</v>
      </c>
      <c r="AE377" s="84">
        <v>135135.13513513515</v>
      </c>
      <c r="AF377" s="84">
        <v>150000</v>
      </c>
      <c r="AG377" s="62" t="s">
        <v>38</v>
      </c>
      <c r="AH377" s="63" t="str">
        <f>[1]Data2025!W376</f>
        <v>081375309828</v>
      </c>
    </row>
    <row r="378" spans="1:36" s="88" customFormat="1" ht="26" thickTop="1" thickBot="1">
      <c r="A378" s="41">
        <f>[1]Data2025!G377</f>
        <v>371</v>
      </c>
      <c r="B378" s="42">
        <f>[1]Data2025!K377</f>
        <v>0</v>
      </c>
      <c r="C378" s="43" t="str">
        <f>[1]Data2025!D377</f>
        <v>06. 05. 08.</v>
      </c>
      <c r="D378" s="44" t="str">
        <f>[1]Data2025!C377</f>
        <v>5.1.02.01.01.0024</v>
      </c>
      <c r="E378" s="45">
        <f>[1]Data2025!E377</f>
        <v>0</v>
      </c>
      <c r="F378" s="46">
        <f>[1]Data2025!F377</f>
        <v>0</v>
      </c>
      <c r="G378" s="45">
        <f>[1]Data2025!H377</f>
        <v>0</v>
      </c>
      <c r="H378" s="45">
        <f t="shared" si="18"/>
        <v>0</v>
      </c>
      <c r="I378" s="47">
        <f>[1]Data2025!J377</f>
        <v>0</v>
      </c>
      <c r="J378" s="48" t="str">
        <f>[1]Data2025!L377</f>
        <v>C. Tinta Printer EPSON Tinta Printer Epson Blue</v>
      </c>
      <c r="K378" s="48" t="str">
        <f>[1]Data2025!M377</f>
        <v>C. Tinta Printer EPSON Tinta Printer Epson Blue</v>
      </c>
      <c r="L378" s="49">
        <f>[1]Data2025!N377</f>
        <v>4</v>
      </c>
      <c r="M378" s="49" t="str">
        <f>[1]Data2025!O377</f>
        <v>botol</v>
      </c>
      <c r="N378" s="50">
        <f>[1]Data2025!P377</f>
        <v>110000</v>
      </c>
      <c r="O378" s="51">
        <f>[1]Data2025!Q377</f>
        <v>440000</v>
      </c>
      <c r="P378" s="52" t="s">
        <v>43</v>
      </c>
      <c r="Q378" s="53" t="str">
        <f>VLOOKUP(K378,[1]Sheet1!$C$1:$D$101,2,)</f>
        <v>Tinta Printer Epson 664 Biru (Length 5.0Cm, Width 5.0Cm, Height 5.0Cm, Weight 5Gr)</v>
      </c>
      <c r="R378" s="77">
        <v>60000</v>
      </c>
      <c r="S378" s="78">
        <v>70000</v>
      </c>
      <c r="T378" s="56" t="str">
        <f>[1]Data2025!T377</f>
        <v>UD. JOSUA</v>
      </c>
      <c r="U378" s="80" t="s">
        <v>35</v>
      </c>
      <c r="V378" s="56" t="str">
        <f>[1]Data2025!V377</f>
        <v>Gestiwan Bazikho</v>
      </c>
      <c r="W378" s="56" t="str">
        <f>[1]Data2025!X377</f>
        <v>Jl. Diponegoro Kel. Pasar Telukdalam - Nias Selatan</v>
      </c>
      <c r="X378" s="80" t="s">
        <v>36</v>
      </c>
      <c r="Y378" s="57" t="str">
        <f t="shared" si="19"/>
        <v>Alat Tulis Kantor (ATK)</v>
      </c>
      <c r="Z378" s="58" t="str">
        <f t="shared" si="20"/>
        <v>Alat Tulis Kantor (ATK)</v>
      </c>
      <c r="AA378" s="82" t="s">
        <v>42</v>
      </c>
      <c r="AB378" s="83">
        <v>12000</v>
      </c>
      <c r="AC378" s="83">
        <v>60000</v>
      </c>
      <c r="AD378" s="77">
        <v>60000</v>
      </c>
      <c r="AE378" s="84">
        <v>54054.054054054053</v>
      </c>
      <c r="AF378" s="84">
        <v>60000</v>
      </c>
      <c r="AG378" s="62" t="s">
        <v>38</v>
      </c>
      <c r="AH378" s="63" t="str">
        <f>[1]Data2025!W377</f>
        <v>081375309828</v>
      </c>
    </row>
    <row r="379" spans="1:36" s="88" customFormat="1" ht="26" thickTop="1" thickBot="1">
      <c r="A379" s="41">
        <f>[1]Data2025!G378</f>
        <v>372</v>
      </c>
      <c r="B379" s="42">
        <f>[1]Data2025!K378</f>
        <v>0</v>
      </c>
      <c r="C379" s="43" t="str">
        <f>[1]Data2025!D378</f>
        <v>06. 05. 08.</v>
      </c>
      <c r="D379" s="44" t="str">
        <f>[1]Data2025!C378</f>
        <v>5.1.02.01.01.0024</v>
      </c>
      <c r="E379" s="45">
        <f>[1]Data2025!E378</f>
        <v>0</v>
      </c>
      <c r="F379" s="46">
        <f>[1]Data2025!F378</f>
        <v>0</v>
      </c>
      <c r="G379" s="45">
        <f>[1]Data2025!H378</f>
        <v>0</v>
      </c>
      <c r="H379" s="45">
        <f t="shared" si="18"/>
        <v>0</v>
      </c>
      <c r="I379" s="47">
        <f>[1]Data2025!J378</f>
        <v>0</v>
      </c>
      <c r="J379" s="48" t="str">
        <f>[1]Data2025!L378</f>
        <v>C. Tinta Printer EPSON Tinta Printer Epson Read</v>
      </c>
      <c r="K379" s="48" t="str">
        <f>[1]Data2025!M378</f>
        <v>C. Tinta Printer EPSON Tinta Printer Epson Read</v>
      </c>
      <c r="L379" s="49">
        <f>[1]Data2025!N378</f>
        <v>4</v>
      </c>
      <c r="M379" s="49" t="str">
        <f>[1]Data2025!O378</f>
        <v>botol</v>
      </c>
      <c r="N379" s="50">
        <f>[1]Data2025!P378</f>
        <v>110000</v>
      </c>
      <c r="O379" s="51">
        <f>[1]Data2025!Q378</f>
        <v>440000</v>
      </c>
      <c r="P379" s="52" t="s">
        <v>43</v>
      </c>
      <c r="Q379" s="53" t="str">
        <f>VLOOKUP(K379,[1]Sheet1!$C$1:$D$101,2,)</f>
        <v>Tinta Printer Epson 664 Merah (Length 5.0Cm, Width 5.0Cm, Height 5.0Cm, Weight 5Gr)</v>
      </c>
      <c r="R379" s="77">
        <v>350000</v>
      </c>
      <c r="S379" s="78">
        <v>360000</v>
      </c>
      <c r="T379" s="56" t="str">
        <f>[1]Data2025!T378</f>
        <v>UD. JOSUA</v>
      </c>
      <c r="U379" s="80" t="s">
        <v>35</v>
      </c>
      <c r="V379" s="56" t="str">
        <f>[1]Data2025!V378</f>
        <v>Gestiwan Bazikho</v>
      </c>
      <c r="W379" s="56" t="str">
        <f>[1]Data2025!X378</f>
        <v>Jl. Diponegoro Kel. Pasar Telukdalam - Nias Selatan</v>
      </c>
      <c r="X379" s="80" t="s">
        <v>36</v>
      </c>
      <c r="Y379" s="57" t="str">
        <f t="shared" si="19"/>
        <v>Alat Tulis Kantor (ATK)</v>
      </c>
      <c r="Z379" s="58" t="str">
        <f t="shared" si="20"/>
        <v>Alat Tulis Kantor (ATK)</v>
      </c>
      <c r="AA379" s="82" t="s">
        <v>55</v>
      </c>
      <c r="AB379" s="83">
        <v>70000</v>
      </c>
      <c r="AC379" s="83">
        <v>350000</v>
      </c>
      <c r="AD379" s="77">
        <v>350000</v>
      </c>
      <c r="AE379" s="84">
        <v>315315.31531531533</v>
      </c>
      <c r="AF379" s="84">
        <v>350000</v>
      </c>
      <c r="AG379" s="62" t="s">
        <v>38</v>
      </c>
      <c r="AH379" s="63" t="str">
        <f>[1]Data2025!W378</f>
        <v>081375309828</v>
      </c>
    </row>
    <row r="380" spans="1:36" ht="16.5" thickTop="1" thickBot="1">
      <c r="A380" s="41">
        <f>[1]Data2025!G379</f>
        <v>373</v>
      </c>
      <c r="B380" s="42">
        <f>[1]Data2025!K379</f>
        <v>0</v>
      </c>
      <c r="C380" s="43" t="str">
        <f>[1]Data2025!D379</f>
        <v>06. 05. 08.</v>
      </c>
      <c r="D380" s="44" t="str">
        <f>[1]Data2025!C379</f>
        <v>5.1.02.01.01.0024</v>
      </c>
      <c r="E380" s="45">
        <f>[1]Data2025!E379</f>
        <v>0</v>
      </c>
      <c r="F380" s="46">
        <f>[1]Data2025!F379</f>
        <v>0</v>
      </c>
      <c r="G380" s="45">
        <f>[1]Data2025!H379</f>
        <v>0</v>
      </c>
      <c r="H380" s="45">
        <f t="shared" si="18"/>
        <v>0</v>
      </c>
      <c r="I380" s="47">
        <f>[1]Data2025!J379</f>
        <v>0</v>
      </c>
      <c r="J380" s="48" t="str">
        <f>[1]Data2025!L379</f>
        <v>Lakban Besar</v>
      </c>
      <c r="K380" s="48" t="str">
        <f>[1]Data2025!M379</f>
        <v>Lakban Besar</v>
      </c>
      <c r="L380" s="49">
        <f>[1]Data2025!N379</f>
        <v>5</v>
      </c>
      <c r="M380" s="49" t="str">
        <f>[1]Data2025!O379</f>
        <v>buah</v>
      </c>
      <c r="N380" s="50">
        <f>[1]Data2025!P379</f>
        <v>25000</v>
      </c>
      <c r="O380" s="51">
        <f>[1]Data2025!Q379</f>
        <v>125000</v>
      </c>
      <c r="P380" s="52" t="s">
        <v>43</v>
      </c>
      <c r="Q380" s="53" t="str">
        <f>VLOOKUP(K380,[1]Sheet1!$C$1:$D$101,2,)</f>
        <v>Lakban Hitam Besar (Brand : Daimaru • Ukuran : 48 mm x 109 Yard)</v>
      </c>
      <c r="R380" s="54">
        <v>7308700</v>
      </c>
      <c r="S380" s="55">
        <v>11136650</v>
      </c>
      <c r="T380" s="56" t="str">
        <f>[1]Data2025!T379</f>
        <v>UD. JOSUA</v>
      </c>
      <c r="U380" s="57" t="s">
        <v>35</v>
      </c>
      <c r="V380" s="56" t="str">
        <f>[1]Data2025!V379</f>
        <v>Gestiwan Bazikho</v>
      </c>
      <c r="W380" s="56" t="str">
        <f>[1]Data2025!X379</f>
        <v>Jl. Diponegoro Kel. Pasar Telukdalam - Nias Selatan</v>
      </c>
      <c r="X380" s="57" t="s">
        <v>36</v>
      </c>
      <c r="Y380" s="57" t="str">
        <f t="shared" si="19"/>
        <v>Alat Tulis Kantor (ATK)</v>
      </c>
      <c r="Z380" s="58" t="str">
        <f t="shared" si="20"/>
        <v>Alat Tulis Kantor (ATK)</v>
      </c>
      <c r="AA380" s="59" t="s">
        <v>49</v>
      </c>
      <c r="AB380" s="60">
        <v>350</v>
      </c>
      <c r="AC380" s="60">
        <v>1658650</v>
      </c>
      <c r="AD380" s="54">
        <v>7308700</v>
      </c>
      <c r="AE380" s="61">
        <v>6584414.4144144142</v>
      </c>
      <c r="AF380" s="61">
        <v>7308700</v>
      </c>
      <c r="AG380" s="62" t="s">
        <v>38</v>
      </c>
      <c r="AH380" s="63" t="str">
        <f>[1]Data2025!W379</f>
        <v>081375309828</v>
      </c>
    </row>
    <row r="381" spans="1:36" ht="16.5" thickTop="1" thickBot="1">
      <c r="A381" s="41">
        <f>[1]Data2025!G380</f>
        <v>374</v>
      </c>
      <c r="B381" s="42">
        <f>[1]Data2025!K380</f>
        <v>0</v>
      </c>
      <c r="C381" s="43" t="str">
        <f>[1]Data2025!D380</f>
        <v>06. 05. 08.</v>
      </c>
      <c r="D381" s="44" t="str">
        <f>[1]Data2025!C380</f>
        <v>5.1.02.01.01.0024</v>
      </c>
      <c r="E381" s="45">
        <f>[1]Data2025!E380</f>
        <v>0</v>
      </c>
      <c r="F381" s="46">
        <f>[1]Data2025!F380</f>
        <v>0</v>
      </c>
      <c r="G381" s="45">
        <f>[1]Data2025!H380</f>
        <v>0</v>
      </c>
      <c r="H381" s="45">
        <f t="shared" si="18"/>
        <v>0</v>
      </c>
      <c r="I381" s="47">
        <f>[1]Data2025!J380</f>
        <v>0</v>
      </c>
      <c r="J381" s="48" t="str">
        <f>[1]Data2025!L380</f>
        <v>Lakban Bening</v>
      </c>
      <c r="K381" s="48" t="str">
        <f>[1]Data2025!M380</f>
        <v>Lakban Bening</v>
      </c>
      <c r="L381" s="49">
        <f>[1]Data2025!N380</f>
        <v>5</v>
      </c>
      <c r="M381" s="49" t="str">
        <f>[1]Data2025!O380</f>
        <v>buah</v>
      </c>
      <c r="N381" s="50">
        <f>[1]Data2025!P380</f>
        <v>15000</v>
      </c>
      <c r="O381" s="51">
        <f>[1]Data2025!Q380</f>
        <v>75000</v>
      </c>
      <c r="P381" s="52" t="s">
        <v>43</v>
      </c>
      <c r="Q381" s="53" t="str">
        <f>VLOOKUP(K381,[1]Sheet1!$C$1:$D$101,2,)</f>
        <v>Isolasi Bening Sedang Mpi Solatip 24 X 72 Yard 1 Inc</v>
      </c>
      <c r="R381" s="54">
        <v>1633800</v>
      </c>
      <c r="S381" s="55">
        <v>1675800</v>
      </c>
      <c r="T381" s="56" t="str">
        <f>[1]Data2025!T380</f>
        <v>UD. JOSUA</v>
      </c>
      <c r="U381" s="57" t="s">
        <v>66</v>
      </c>
      <c r="V381" s="56" t="str">
        <f>[1]Data2025!V380</f>
        <v>Gestiwan Bazikho</v>
      </c>
      <c r="W381" s="56" t="str">
        <f>[1]Data2025!X380</f>
        <v>Jl. Diponegoro Kel. Pasar Telukdalam - Nias Selatan</v>
      </c>
      <c r="X381" s="57" t="s">
        <v>67</v>
      </c>
      <c r="Y381" s="57" t="str">
        <f t="shared" si="19"/>
        <v>Alat Tulis Kantor (ATK)</v>
      </c>
      <c r="Z381" s="58" t="str">
        <f t="shared" si="20"/>
        <v>Alat Tulis Kantor (ATK)</v>
      </c>
      <c r="AA381" s="59" t="s">
        <v>42</v>
      </c>
      <c r="AB381" s="60">
        <v>77800</v>
      </c>
      <c r="AC381" s="60">
        <v>1633800</v>
      </c>
      <c r="AD381" s="54">
        <v>1633800</v>
      </c>
      <c r="AE381" s="61">
        <v>1471891.8918918918</v>
      </c>
      <c r="AF381" s="61">
        <v>1633800</v>
      </c>
      <c r="AG381" s="62" t="s">
        <v>38</v>
      </c>
      <c r="AH381" s="63" t="str">
        <f>[1]Data2025!W380</f>
        <v>081375309828</v>
      </c>
    </row>
    <row r="382" spans="1:36" ht="16.5" thickTop="1" thickBot="1">
      <c r="A382" s="41">
        <f>[1]Data2025!G381</f>
        <v>375</v>
      </c>
      <c r="B382" s="42">
        <f>[1]Data2025!K381</f>
        <v>0</v>
      </c>
      <c r="C382" s="43" t="str">
        <f>[1]Data2025!D381</f>
        <v>06. 05. 08.</v>
      </c>
      <c r="D382" s="44" t="str">
        <f>[1]Data2025!C381</f>
        <v>5.1.02.01.01.0024</v>
      </c>
      <c r="E382" s="45">
        <f>[1]Data2025!E381</f>
        <v>0</v>
      </c>
      <c r="F382" s="46">
        <f>[1]Data2025!F381</f>
        <v>0</v>
      </c>
      <c r="G382" s="45">
        <f>[1]Data2025!H381</f>
        <v>0</v>
      </c>
      <c r="H382" s="45">
        <f t="shared" si="18"/>
        <v>0</v>
      </c>
      <c r="I382" s="47">
        <f>[1]Data2025!J381</f>
        <v>0</v>
      </c>
      <c r="J382" s="48" t="str">
        <f>[1]Data2025!L381</f>
        <v>Lakban Bening</v>
      </c>
      <c r="K382" s="48" t="str">
        <f>[1]Data2025!M381</f>
        <v>Lakban Bening</v>
      </c>
      <c r="L382" s="49">
        <f>[1]Data2025!N381</f>
        <v>5</v>
      </c>
      <c r="M382" s="49" t="str">
        <f>[1]Data2025!O381</f>
        <v>buah</v>
      </c>
      <c r="N382" s="50">
        <f>[1]Data2025!P381</f>
        <v>10000</v>
      </c>
      <c r="O382" s="51">
        <f>[1]Data2025!Q381</f>
        <v>50000</v>
      </c>
      <c r="P382" s="52" t="s">
        <v>43</v>
      </c>
      <c r="Q382" s="53" t="str">
        <f>VLOOKUP(K382,[1]Sheet1!$C$1:$D$101,2,)</f>
        <v>Isolasi Bening Sedang Mpi Solatip 24 X 72 Yard 1 Inc</v>
      </c>
      <c r="R382" s="54">
        <v>1500000</v>
      </c>
      <c r="S382" s="55">
        <v>1700000</v>
      </c>
      <c r="T382" s="56" t="str">
        <f>[1]Data2025!T381</f>
        <v>UD. JOSUA</v>
      </c>
      <c r="U382" s="57" t="s">
        <v>60</v>
      </c>
      <c r="V382" s="56" t="str">
        <f>[1]Data2025!V381</f>
        <v>Gestiwan Bazikho</v>
      </c>
      <c r="W382" s="56" t="str">
        <f>[1]Data2025!X381</f>
        <v>Jl. Diponegoro Kel. Pasar Telukdalam - Nias Selatan</v>
      </c>
      <c r="X382" s="57" t="s">
        <v>61</v>
      </c>
      <c r="Y382" s="57" t="str">
        <f t="shared" si="19"/>
        <v>Alat Tulis Kantor (ATK)</v>
      </c>
      <c r="Z382" s="58" t="str">
        <f t="shared" si="20"/>
        <v>Alat Tulis Kantor (ATK)</v>
      </c>
      <c r="AA382" s="59" t="s">
        <v>37</v>
      </c>
      <c r="AB382" s="60">
        <v>15000</v>
      </c>
      <c r="AC382" s="60">
        <v>1500000</v>
      </c>
      <c r="AD382" s="54">
        <v>1500000</v>
      </c>
      <c r="AE382" s="61">
        <v>1351351.3513513515</v>
      </c>
      <c r="AF382" s="61">
        <v>1500000</v>
      </c>
      <c r="AG382" s="62" t="s">
        <v>38</v>
      </c>
      <c r="AH382" s="63" t="str">
        <f>[1]Data2025!W381</f>
        <v>081375309828</v>
      </c>
    </row>
    <row r="383" spans="1:36" ht="30" thickTop="1" thickBot="1">
      <c r="A383" s="41">
        <f>[1]Data2025!G382</f>
        <v>376</v>
      </c>
      <c r="B383" s="42">
        <f>[1]Data2025!K382</f>
        <v>0</v>
      </c>
      <c r="C383" s="43" t="str">
        <f>[1]Data2025!D382</f>
        <v>06. 05. 08.</v>
      </c>
      <c r="D383" s="44" t="str">
        <f>[1]Data2025!C382</f>
        <v>5.1.02.01.01.0024</v>
      </c>
      <c r="E383" s="45">
        <f>[1]Data2025!E382</f>
        <v>0</v>
      </c>
      <c r="F383" s="46">
        <f>[1]Data2025!F382</f>
        <v>0</v>
      </c>
      <c r="G383" s="45">
        <f>[1]Data2025!H382</f>
        <v>0</v>
      </c>
      <c r="H383" s="45">
        <f t="shared" si="18"/>
        <v>0</v>
      </c>
      <c r="I383" s="47">
        <f>[1]Data2025!J382</f>
        <v>0</v>
      </c>
      <c r="J383" s="48" t="str">
        <f>[1]Data2025!L382</f>
        <v>Lakban Hitam--</v>
      </c>
      <c r="K383" s="48" t="str">
        <f>[1]Data2025!M382</f>
        <v>Lakban Hitam--</v>
      </c>
      <c r="L383" s="49">
        <f>[1]Data2025!N382</f>
        <v>5</v>
      </c>
      <c r="M383" s="49" t="str">
        <f>[1]Data2025!O382</f>
        <v>buah</v>
      </c>
      <c r="N383" s="50">
        <f>[1]Data2025!P382</f>
        <v>15000</v>
      </c>
      <c r="O383" s="51">
        <f>[1]Data2025!Q382</f>
        <v>75000</v>
      </c>
      <c r="P383" s="52" t="s">
        <v>43</v>
      </c>
      <c r="Q383" s="53" t="str">
        <f>VLOOKUP(K383,[1]Sheet1!$C$1:$D$101,2,)</f>
        <v>Lakban Hitam (Length 5.0Cm, Width 5.0Cm, Height 5.0Cm, Weight 5Gr)</v>
      </c>
      <c r="R383" s="54">
        <v>600000</v>
      </c>
      <c r="S383" s="55">
        <v>604000</v>
      </c>
      <c r="T383" s="56" t="str">
        <f>[1]Data2025!T382</f>
        <v>UD. JOSUA</v>
      </c>
      <c r="U383" s="57" t="s">
        <v>68</v>
      </c>
      <c r="V383" s="56" t="str">
        <f>[1]Data2025!V382</f>
        <v>Gestiwan Bazikho</v>
      </c>
      <c r="W383" s="56" t="str">
        <f>[1]Data2025!X382</f>
        <v>Jl. Diponegoro Kel. Pasar Telukdalam - Nias Selatan</v>
      </c>
      <c r="X383" s="93" t="s">
        <v>36</v>
      </c>
      <c r="Y383" s="57" t="str">
        <f t="shared" si="19"/>
        <v>Alat Tulis Kantor (ATK)</v>
      </c>
      <c r="Z383" s="58" t="str">
        <f t="shared" si="20"/>
        <v>Alat Tulis Kantor (ATK)</v>
      </c>
      <c r="AA383" s="59" t="s">
        <v>42</v>
      </c>
      <c r="AB383" s="60">
        <v>300000</v>
      </c>
      <c r="AC383" s="60">
        <v>600000</v>
      </c>
      <c r="AD383" s="54">
        <v>600000</v>
      </c>
      <c r="AE383" s="61">
        <v>540540.54054054059</v>
      </c>
      <c r="AF383" s="61">
        <v>600000</v>
      </c>
      <c r="AG383" s="62" t="s">
        <v>38</v>
      </c>
      <c r="AH383" s="63" t="str">
        <f>[1]Data2025!W382</f>
        <v>081375309828</v>
      </c>
    </row>
    <row r="384" spans="1:36" ht="26" thickTop="1" thickBot="1">
      <c r="A384" s="41">
        <f>[1]Data2025!G383</f>
        <v>377</v>
      </c>
      <c r="B384" s="42">
        <f>[1]Data2025!K383</f>
        <v>0</v>
      </c>
      <c r="C384" s="43" t="str">
        <f>[1]Data2025!D383</f>
        <v>06. 05. 08.</v>
      </c>
      <c r="D384" s="44" t="str">
        <f>[1]Data2025!C383</f>
        <v>5.1.02.01.01.0024</v>
      </c>
      <c r="E384" s="45">
        <f>[1]Data2025!E383</f>
        <v>0</v>
      </c>
      <c r="F384" s="46">
        <f>[1]Data2025!F383</f>
        <v>0</v>
      </c>
      <c r="G384" s="45">
        <f>[1]Data2025!H383</f>
        <v>0</v>
      </c>
      <c r="H384" s="45">
        <f t="shared" si="18"/>
        <v>0</v>
      </c>
      <c r="I384" s="47">
        <f>[1]Data2025!J383</f>
        <v>0</v>
      </c>
      <c r="J384" s="48" t="str">
        <f>[1]Data2025!L383</f>
        <v>lakban hitam-ukuran : lebar 2 inch, panjang 12m, bahan : kain</v>
      </c>
      <c r="K384" s="48" t="str">
        <f>[1]Data2025!M383</f>
        <v>lakban hitam-ukuran : lebar 2 inch, panjang 12m, bahan : kain</v>
      </c>
      <c r="L384" s="49">
        <f>[1]Data2025!N383</f>
        <v>4</v>
      </c>
      <c r="M384" s="49" t="str">
        <f>[1]Data2025!O383</f>
        <v>buah</v>
      </c>
      <c r="N384" s="50">
        <f>[1]Data2025!P383</f>
        <v>12500</v>
      </c>
      <c r="O384" s="51">
        <f>[1]Data2025!Q383</f>
        <v>50000</v>
      </c>
      <c r="P384" s="52" t="s">
        <v>43</v>
      </c>
      <c r="Q384" s="53" t="str">
        <f>VLOOKUP(K384,[1]Sheet1!$C$1:$D$101,2,)</f>
        <v>Lakban Hitam Kecil (ukuran : lebar 2 inch, panjang 12m, bahan : kain)</v>
      </c>
      <c r="R384" s="54">
        <v>4000000</v>
      </c>
      <c r="S384" s="55">
        <v>4200000</v>
      </c>
      <c r="T384" s="56" t="str">
        <f>[1]Data2025!T383</f>
        <v>UD. JOSUA</v>
      </c>
      <c r="U384" s="57" t="s">
        <v>62</v>
      </c>
      <c r="V384" s="56" t="str">
        <f>[1]Data2025!V383</f>
        <v>Gestiwan Bazikho</v>
      </c>
      <c r="W384" s="56" t="str">
        <f>[1]Data2025!X383</f>
        <v>Jl. Diponegoro Kel. Pasar Telukdalam - Nias Selatan</v>
      </c>
      <c r="X384" s="57" t="s">
        <v>63</v>
      </c>
      <c r="Y384" s="57" t="str">
        <f t="shared" si="19"/>
        <v>Alat Tulis Kantor (ATK)</v>
      </c>
      <c r="Z384" s="58" t="str">
        <f t="shared" si="20"/>
        <v>Alat Tulis Kantor (ATK)</v>
      </c>
      <c r="AA384" s="59" t="s">
        <v>37</v>
      </c>
      <c r="AB384" s="60">
        <v>40000</v>
      </c>
      <c r="AC384" s="60">
        <v>4000000</v>
      </c>
      <c r="AD384" s="54">
        <v>4000000</v>
      </c>
      <c r="AE384" s="61">
        <v>3603603.6036036038</v>
      </c>
      <c r="AF384" s="61">
        <v>4000000</v>
      </c>
      <c r="AG384" s="62" t="s">
        <v>38</v>
      </c>
      <c r="AH384" s="63" t="str">
        <f>[1]Data2025!W383</f>
        <v>081375309828</v>
      </c>
    </row>
    <row r="385" spans="1:34" ht="26" thickTop="1" thickBot="1">
      <c r="A385" s="41">
        <f>[1]Data2025!G384</f>
        <v>378</v>
      </c>
      <c r="B385" s="42">
        <f>[1]Data2025!K384</f>
        <v>0</v>
      </c>
      <c r="C385" s="43" t="str">
        <f>[1]Data2025!D384</f>
        <v>06. 05. 08.</v>
      </c>
      <c r="D385" s="44" t="str">
        <f>[1]Data2025!C384</f>
        <v>5.1.02.01.01.0024</v>
      </c>
      <c r="E385" s="45">
        <f>[1]Data2025!E384</f>
        <v>0</v>
      </c>
      <c r="F385" s="46">
        <f>[1]Data2025!F384</f>
        <v>0</v>
      </c>
      <c r="G385" s="45">
        <f>[1]Data2025!H384</f>
        <v>0</v>
      </c>
      <c r="H385" s="45">
        <f t="shared" si="18"/>
        <v>0</v>
      </c>
      <c r="I385" s="47">
        <f>[1]Data2025!J384</f>
        <v>0</v>
      </c>
      <c r="J385" s="48" t="str">
        <f>[1]Data2025!L384</f>
        <v>Lakban Hitam uk 2 " Warna hitam uk. 2 "</v>
      </c>
      <c r="K385" s="48" t="str">
        <f>[1]Data2025!M384</f>
        <v>Lakban Hitam uk 2 " Warna hitam uk. 2 "</v>
      </c>
      <c r="L385" s="49">
        <f>[1]Data2025!N384</f>
        <v>5</v>
      </c>
      <c r="M385" s="49" t="str">
        <f>[1]Data2025!O384</f>
        <v>buah</v>
      </c>
      <c r="N385" s="50">
        <f>[1]Data2025!P384</f>
        <v>25000</v>
      </c>
      <c r="O385" s="51">
        <f>[1]Data2025!Q384</f>
        <v>125000</v>
      </c>
      <c r="P385" s="52" t="s">
        <v>43</v>
      </c>
      <c r="Q385" s="53" t="str">
        <f>VLOOKUP(K385,[1]Sheet1!$C$1:$D$101,2,)</f>
        <v>Lakban Warna Uk 2" Warna Hitam (Ukuran 90Yard Lebar : 48Mm)</v>
      </c>
      <c r="R385" s="54">
        <v>900000</v>
      </c>
      <c r="S385" s="55">
        <v>1360000</v>
      </c>
      <c r="T385" s="56" t="str">
        <f>[1]Data2025!T384</f>
        <v>UD. JOSUA</v>
      </c>
      <c r="U385" s="57" t="s">
        <v>60</v>
      </c>
      <c r="V385" s="56" t="str">
        <f>[1]Data2025!V384</f>
        <v>Gestiwan Bazikho</v>
      </c>
      <c r="W385" s="56" t="str">
        <f>[1]Data2025!X384</f>
        <v>Jl. Diponegoro Kel. Pasar Telukdalam - Nias Selatan</v>
      </c>
      <c r="X385" s="57" t="s">
        <v>61</v>
      </c>
      <c r="Y385" s="57" t="str">
        <f t="shared" si="19"/>
        <v>Alat Tulis Kantor (ATK)</v>
      </c>
      <c r="Z385" s="58" t="str">
        <f t="shared" si="20"/>
        <v>Alat Tulis Kantor (ATK)</v>
      </c>
      <c r="AA385" s="59" t="s">
        <v>37</v>
      </c>
      <c r="AB385" s="60">
        <v>15000</v>
      </c>
      <c r="AC385" s="60">
        <v>1200000</v>
      </c>
      <c r="AD385" s="54">
        <v>900000</v>
      </c>
      <c r="AE385" s="61">
        <v>810810.81081081077</v>
      </c>
      <c r="AF385" s="61">
        <v>900000</v>
      </c>
      <c r="AG385" s="62" t="s">
        <v>38</v>
      </c>
      <c r="AH385" s="63" t="str">
        <f>[1]Data2025!W384</f>
        <v>081375309828</v>
      </c>
    </row>
    <row r="386" spans="1:34" ht="26" thickTop="1" thickBot="1">
      <c r="A386" s="41">
        <f>[1]Data2025!G385</f>
        <v>379</v>
      </c>
      <c r="B386" s="42">
        <f>[1]Data2025!K385</f>
        <v>0</v>
      </c>
      <c r="C386" s="43" t="str">
        <f>[1]Data2025!D385</f>
        <v>06. 05. 08.</v>
      </c>
      <c r="D386" s="44" t="str">
        <f>[1]Data2025!C385</f>
        <v>5.1.02.01.01.0024</v>
      </c>
      <c r="E386" s="45">
        <f>[1]Data2025!E385</f>
        <v>0</v>
      </c>
      <c r="F386" s="46">
        <f>[1]Data2025!F385</f>
        <v>0</v>
      </c>
      <c r="G386" s="45">
        <f>[1]Data2025!H385</f>
        <v>0</v>
      </c>
      <c r="H386" s="45">
        <f t="shared" si="18"/>
        <v>0</v>
      </c>
      <c r="I386" s="47">
        <f>[1]Data2025!J385</f>
        <v>0</v>
      </c>
      <c r="J386" s="48" t="str">
        <f>[1]Data2025!L385</f>
        <v>Lakban warna Uk 2" Warna Coklat Cofiie</v>
      </c>
      <c r="K386" s="48" t="str">
        <f>[1]Data2025!M385</f>
        <v>Lakban warna Uk 2" Warna Coklat Cofiie</v>
      </c>
      <c r="L386" s="49">
        <f>[1]Data2025!N385</f>
        <v>3</v>
      </c>
      <c r="M386" s="49" t="str">
        <f>[1]Data2025!O385</f>
        <v>buah</v>
      </c>
      <c r="N386" s="50">
        <f>[1]Data2025!P385</f>
        <v>20000</v>
      </c>
      <c r="O386" s="51">
        <f>[1]Data2025!Q385</f>
        <v>60000</v>
      </c>
      <c r="P386" s="52" t="s">
        <v>43</v>
      </c>
      <c r="Q386" s="53" t="str">
        <f>VLOOKUP(K386,[1]Sheet1!$C$1:$D$101,2,)</f>
        <v>Lakban Warna Uk 2" Warna Coklat Cofiie (Ukuran 90Yard Lebar : 48Mm)</v>
      </c>
      <c r="R386" s="54">
        <v>2400000</v>
      </c>
      <c r="S386" s="55">
        <v>3360000</v>
      </c>
      <c r="T386" s="56" t="str">
        <f>[1]Data2025!T385</f>
        <v>UD. JOSUA</v>
      </c>
      <c r="U386" s="57" t="s">
        <v>62</v>
      </c>
      <c r="V386" s="56" t="str">
        <f>[1]Data2025!V385</f>
        <v>Gestiwan Bazikho</v>
      </c>
      <c r="W386" s="56" t="str">
        <f>[1]Data2025!X385</f>
        <v>Jl. Diponegoro Kel. Pasar Telukdalam - Nias Selatan</v>
      </c>
      <c r="X386" s="57" t="s">
        <v>63</v>
      </c>
      <c r="Y386" s="57" t="str">
        <f t="shared" si="19"/>
        <v>Alat Tulis Kantor (ATK)</v>
      </c>
      <c r="Z386" s="58" t="str">
        <f t="shared" si="20"/>
        <v>Alat Tulis Kantor (ATK)</v>
      </c>
      <c r="AA386" s="59" t="s">
        <v>37</v>
      </c>
      <c r="AB386" s="60">
        <v>40000</v>
      </c>
      <c r="AC386" s="60">
        <v>3200000</v>
      </c>
      <c r="AD386" s="54">
        <v>2400000</v>
      </c>
      <c r="AE386" s="61">
        <v>2162162.1621621624</v>
      </c>
      <c r="AF386" s="61">
        <v>2400000</v>
      </c>
      <c r="AG386" s="62" t="s">
        <v>38</v>
      </c>
      <c r="AH386" s="63" t="str">
        <f>[1]Data2025!W385</f>
        <v>081375309828</v>
      </c>
    </row>
    <row r="387" spans="1:34" ht="26" thickTop="1" thickBot="1">
      <c r="A387" s="41">
        <f>[1]Data2025!G386</f>
        <v>380</v>
      </c>
      <c r="B387" s="42">
        <f>[1]Data2025!K386</f>
        <v>0</v>
      </c>
      <c r="C387" s="43" t="str">
        <f>[1]Data2025!D386</f>
        <v>06. 05. 08.</v>
      </c>
      <c r="D387" s="44" t="str">
        <f>[1]Data2025!C386</f>
        <v>5.1.02.01.01.0024</v>
      </c>
      <c r="E387" s="45">
        <f>[1]Data2025!E386</f>
        <v>0</v>
      </c>
      <c r="F387" s="46">
        <f>[1]Data2025!F386</f>
        <v>0</v>
      </c>
      <c r="G387" s="45">
        <f>[1]Data2025!H386</f>
        <v>0</v>
      </c>
      <c r="H387" s="45">
        <f t="shared" si="18"/>
        <v>0</v>
      </c>
      <c r="I387" s="47">
        <f>[1]Data2025!J386</f>
        <v>0</v>
      </c>
      <c r="J387" s="48" t="str">
        <f>[1]Data2025!L386</f>
        <v>Spidol Refil Spidol White Board Snowman</v>
      </c>
      <c r="K387" s="48" t="str">
        <f>[1]Data2025!M386</f>
        <v>Spidol Refil Spidol White Board Snowman</v>
      </c>
      <c r="L387" s="49">
        <f>[1]Data2025!N386</f>
        <v>10</v>
      </c>
      <c r="M387" s="49" t="str">
        <f>[1]Data2025!O386</f>
        <v>buah</v>
      </c>
      <c r="N387" s="50">
        <f>[1]Data2025!P386</f>
        <v>20900</v>
      </c>
      <c r="O387" s="51">
        <f>[1]Data2025!Q386</f>
        <v>209000</v>
      </c>
      <c r="P387" s="52" t="s">
        <v>43</v>
      </c>
      <c r="Q387" s="53" t="str">
        <f>VLOOKUP(K387,[1]Sheet1!$C$1:$D$101,2,)</f>
        <v>Spidol Refil Spidol White Board Snowman (Panjang. : 10 Cm ; Lebar. : 5 Cm ; Tinggi. : 7 Cm ; Berat. : 500 Gr)</v>
      </c>
      <c r="R387" s="54">
        <v>900000</v>
      </c>
      <c r="S387" s="55">
        <v>1020000</v>
      </c>
      <c r="T387" s="56" t="str">
        <f>[1]Data2025!T386</f>
        <v>UD. JOSUA</v>
      </c>
      <c r="U387" s="57" t="s">
        <v>60</v>
      </c>
      <c r="V387" s="56" t="str">
        <f>[1]Data2025!V386</f>
        <v>Gestiwan Bazikho</v>
      </c>
      <c r="W387" s="56" t="str">
        <f>[1]Data2025!X386</f>
        <v>Jl. Diponegoro Kel. Pasar Telukdalam - Nias Selatan</v>
      </c>
      <c r="X387" s="57" t="s">
        <v>61</v>
      </c>
      <c r="Y387" s="57" t="str">
        <f t="shared" si="19"/>
        <v>Alat Tulis Kantor (ATK)</v>
      </c>
      <c r="Z387" s="58" t="str">
        <f t="shared" si="20"/>
        <v>Alat Tulis Kantor (ATK)</v>
      </c>
      <c r="AA387" s="59" t="s">
        <v>37</v>
      </c>
      <c r="AB387" s="60">
        <v>15000</v>
      </c>
      <c r="AC387" s="60">
        <v>900000</v>
      </c>
      <c r="AD387" s="54">
        <v>900000</v>
      </c>
      <c r="AE387" s="61">
        <v>810810.81081081077</v>
      </c>
      <c r="AF387" s="61">
        <v>900000</v>
      </c>
      <c r="AG387" s="62" t="s">
        <v>38</v>
      </c>
      <c r="AH387" s="63" t="str">
        <f>[1]Data2025!W386</f>
        <v>081375309828</v>
      </c>
    </row>
    <row r="388" spans="1:34" ht="16.5" thickTop="1" thickBot="1">
      <c r="A388" s="41">
        <f>[1]Data2025!G387</f>
        <v>381</v>
      </c>
      <c r="B388" s="42">
        <f>[1]Data2025!K387</f>
        <v>0</v>
      </c>
      <c r="C388" s="43" t="str">
        <f>[1]Data2025!D387</f>
        <v>06. 05. 08.</v>
      </c>
      <c r="D388" s="44" t="str">
        <f>[1]Data2025!C387</f>
        <v>5.1.02.01.01.0024</v>
      </c>
      <c r="E388" s="45">
        <f>[1]Data2025!E387</f>
        <v>0</v>
      </c>
      <c r="F388" s="46">
        <f>[1]Data2025!F387</f>
        <v>0</v>
      </c>
      <c r="G388" s="45">
        <f>[1]Data2025!H387</f>
        <v>0</v>
      </c>
      <c r="H388" s="45">
        <f t="shared" si="18"/>
        <v>0</v>
      </c>
      <c r="I388" s="47">
        <f>[1]Data2025!J387</f>
        <v>0</v>
      </c>
      <c r="J388" s="48" t="str">
        <f>[1]Data2025!L387</f>
        <v>Spidol White board</v>
      </c>
      <c r="K388" s="48" t="str">
        <f>[1]Data2025!M387</f>
        <v>Spidol White board</v>
      </c>
      <c r="L388" s="49">
        <f>[1]Data2025!N387</f>
        <v>2</v>
      </c>
      <c r="M388" s="49" t="str">
        <f>[1]Data2025!O387</f>
        <v>lusin</v>
      </c>
      <c r="N388" s="50">
        <f>[1]Data2025!P387</f>
        <v>120000</v>
      </c>
      <c r="O388" s="51">
        <f>[1]Data2025!Q387</f>
        <v>240000</v>
      </c>
      <c r="P388" s="52" t="s">
        <v>43</v>
      </c>
      <c r="Q388" s="53" t="str">
        <f>VLOOKUP(K388,[1]Sheet1!$C$1:$D$101,2,)</f>
        <v>Spidol White Board (Berat Produk 0.5 Kg, Panjang Produk 10 Cm, Lebar Produk 3 Cm, Tinggi Produk 10 Cm)</v>
      </c>
      <c r="R388" s="54">
        <v>2400000</v>
      </c>
      <c r="S388" s="55">
        <v>2520000</v>
      </c>
      <c r="T388" s="56" t="str">
        <f>[1]Data2025!T387</f>
        <v>UD. JOSUA</v>
      </c>
      <c r="U388" s="57" t="s">
        <v>62</v>
      </c>
      <c r="V388" s="56" t="str">
        <f>[1]Data2025!V387</f>
        <v>Gestiwan Bazikho</v>
      </c>
      <c r="W388" s="56" t="str">
        <f>[1]Data2025!X387</f>
        <v>Jl. Diponegoro Kel. Pasar Telukdalam - Nias Selatan</v>
      </c>
      <c r="X388" s="57" t="s">
        <v>63</v>
      </c>
      <c r="Y388" s="57" t="str">
        <f t="shared" si="19"/>
        <v>Alat Tulis Kantor (ATK)</v>
      </c>
      <c r="Z388" s="58" t="str">
        <f t="shared" si="20"/>
        <v>Alat Tulis Kantor (ATK)</v>
      </c>
      <c r="AA388" s="59" t="s">
        <v>37</v>
      </c>
      <c r="AB388" s="60">
        <v>40000</v>
      </c>
      <c r="AC388" s="60">
        <v>2400000</v>
      </c>
      <c r="AD388" s="54">
        <v>2400000</v>
      </c>
      <c r="AE388" s="61">
        <v>2162162.1621621624</v>
      </c>
      <c r="AF388" s="61">
        <v>2400000</v>
      </c>
      <c r="AG388" s="62" t="s">
        <v>38</v>
      </c>
      <c r="AH388" s="63" t="str">
        <f>[1]Data2025!W387</f>
        <v>081375309828</v>
      </c>
    </row>
    <row r="389" spans="1:34" ht="16.5" thickTop="1" thickBot="1">
      <c r="A389" s="41">
        <f>[1]Data2025!G388</f>
        <v>382</v>
      </c>
      <c r="B389" s="42">
        <f>[1]Data2025!K388</f>
        <v>0</v>
      </c>
      <c r="C389" s="43" t="str">
        <f>[1]Data2025!D388</f>
        <v>06. 05. 08.</v>
      </c>
      <c r="D389" s="44" t="str">
        <f>[1]Data2025!C388</f>
        <v>5.1.02.01.01.0024</v>
      </c>
      <c r="E389" s="45">
        <f>[1]Data2025!E388</f>
        <v>0</v>
      </c>
      <c r="F389" s="46">
        <f>[1]Data2025!F388</f>
        <v>0</v>
      </c>
      <c r="G389" s="45">
        <f>[1]Data2025!H388</f>
        <v>0</v>
      </c>
      <c r="H389" s="45">
        <f t="shared" ref="H389:H452" si="21">G389</f>
        <v>0</v>
      </c>
      <c r="I389" s="47">
        <f>[1]Data2025!J388</f>
        <v>0</v>
      </c>
      <c r="J389" s="48" t="str">
        <f>[1]Data2025!L388</f>
        <v>Stapler HD-10--</v>
      </c>
      <c r="K389" s="48" t="str">
        <f>[1]Data2025!M388</f>
        <v>Stapler HD-10--</v>
      </c>
      <c r="L389" s="49">
        <f>[1]Data2025!N388</f>
        <v>2</v>
      </c>
      <c r="M389" s="49" t="str">
        <f>[1]Data2025!O388</f>
        <v>buah</v>
      </c>
      <c r="N389" s="50">
        <f>[1]Data2025!P388</f>
        <v>20000</v>
      </c>
      <c r="O389" s="51">
        <f>[1]Data2025!Q388</f>
        <v>40000</v>
      </c>
      <c r="P389" s="52" t="s">
        <v>43</v>
      </c>
      <c r="Q389" s="53" t="str">
        <f>VLOOKUP(K389,[1]Sheet1!$C$1:$D$101,2,)</f>
        <v>Stapler HD-10 (Merk : MAX Ukuran : 3.5 x 10 cm)</v>
      </c>
      <c r="R389" s="54">
        <v>900000</v>
      </c>
      <c r="S389" s="55">
        <v>1020000</v>
      </c>
      <c r="T389" s="56" t="str">
        <f>[1]Data2025!T388</f>
        <v>UD. JOSUA</v>
      </c>
      <c r="U389" s="57" t="s">
        <v>60</v>
      </c>
      <c r="V389" s="56" t="str">
        <f>[1]Data2025!V388</f>
        <v>Gestiwan Bazikho</v>
      </c>
      <c r="W389" s="56" t="str">
        <f>[1]Data2025!X388</f>
        <v>Jl. Diponegoro Kel. Pasar Telukdalam - Nias Selatan</v>
      </c>
      <c r="X389" s="57" t="s">
        <v>61</v>
      </c>
      <c r="Y389" s="57" t="str">
        <f t="shared" ref="Y389:Y452" si="22">P389</f>
        <v>Alat Tulis Kantor (ATK)</v>
      </c>
      <c r="Z389" s="58" t="str">
        <f t="shared" ref="Z389:Z452" si="23">Y389</f>
        <v>Alat Tulis Kantor (ATK)</v>
      </c>
      <c r="AA389" s="59" t="s">
        <v>37</v>
      </c>
      <c r="AB389" s="60">
        <v>15000</v>
      </c>
      <c r="AC389" s="60">
        <v>900000</v>
      </c>
      <c r="AD389" s="54">
        <v>900000</v>
      </c>
      <c r="AE389" s="61">
        <v>810810.81081081077</v>
      </c>
      <c r="AF389" s="61">
        <v>900000</v>
      </c>
      <c r="AG389" s="62" t="s">
        <v>38</v>
      </c>
      <c r="AH389" s="63" t="str">
        <f>[1]Data2025!W388</f>
        <v>081375309828</v>
      </c>
    </row>
    <row r="390" spans="1:34" ht="16.5" thickTop="1" thickBot="1">
      <c r="A390" s="41">
        <f>[1]Data2025!G389</f>
        <v>383</v>
      </c>
      <c r="B390" s="42">
        <f>[1]Data2025!K389</f>
        <v>0</v>
      </c>
      <c r="C390" s="43" t="str">
        <f>[1]Data2025!D389</f>
        <v>06. 05. 08.</v>
      </c>
      <c r="D390" s="44" t="str">
        <f>[1]Data2025!C389</f>
        <v>5.1.02.01.01.0024</v>
      </c>
      <c r="E390" s="45">
        <f>[1]Data2025!E389</f>
        <v>0</v>
      </c>
      <c r="F390" s="46">
        <f>[1]Data2025!F389</f>
        <v>0</v>
      </c>
      <c r="G390" s="45">
        <f>[1]Data2025!H389</f>
        <v>0</v>
      </c>
      <c r="H390" s="45">
        <f t="shared" si="21"/>
        <v>0</v>
      </c>
      <c r="I390" s="47">
        <f>[1]Data2025!J389</f>
        <v>0</v>
      </c>
      <c r="J390" s="48" t="str">
        <f>[1]Data2025!L389</f>
        <v>Stapler Stapler No, 50 MAX</v>
      </c>
      <c r="K390" s="48" t="str">
        <f>[1]Data2025!M389</f>
        <v>Stapler Stapler No, 50 MAX</v>
      </c>
      <c r="L390" s="49">
        <f>[1]Data2025!N389</f>
        <v>2</v>
      </c>
      <c r="M390" s="49" t="str">
        <f>[1]Data2025!O389</f>
        <v>buah</v>
      </c>
      <c r="N390" s="50">
        <f>[1]Data2025!P389</f>
        <v>25000</v>
      </c>
      <c r="O390" s="51">
        <f>[1]Data2025!Q389</f>
        <v>50000</v>
      </c>
      <c r="P390" s="52" t="s">
        <v>43</v>
      </c>
      <c r="Q390" s="53" t="str">
        <f>VLOOKUP(K390,[1]Sheet1!$C$1:$D$101,2,)</f>
        <v>Stapler 50 (Length 5.0Cm, Width 5.0Cm, Height 5.0Cm, Weight 5Gr)</v>
      </c>
      <c r="R390" s="54">
        <v>2400000</v>
      </c>
      <c r="S390" s="55">
        <v>2520000</v>
      </c>
      <c r="T390" s="56" t="str">
        <f>[1]Data2025!T389</f>
        <v>UD. JOSUA</v>
      </c>
      <c r="U390" s="57" t="s">
        <v>62</v>
      </c>
      <c r="V390" s="56" t="str">
        <f>[1]Data2025!V389</f>
        <v>Gestiwan Bazikho</v>
      </c>
      <c r="W390" s="56" t="str">
        <f>[1]Data2025!X389</f>
        <v>Jl. Diponegoro Kel. Pasar Telukdalam - Nias Selatan</v>
      </c>
      <c r="X390" s="57" t="s">
        <v>63</v>
      </c>
      <c r="Y390" s="57" t="str">
        <f t="shared" si="22"/>
        <v>Alat Tulis Kantor (ATK)</v>
      </c>
      <c r="Z390" s="58" t="str">
        <f t="shared" si="23"/>
        <v>Alat Tulis Kantor (ATK)</v>
      </c>
      <c r="AA390" s="59" t="s">
        <v>37</v>
      </c>
      <c r="AB390" s="60">
        <v>40000</v>
      </c>
      <c r="AC390" s="60">
        <v>2400000</v>
      </c>
      <c r="AD390" s="54">
        <v>2400000</v>
      </c>
      <c r="AE390" s="61">
        <v>2162162.1621621624</v>
      </c>
      <c r="AF390" s="61">
        <v>2400000</v>
      </c>
      <c r="AG390" s="62" t="s">
        <v>38</v>
      </c>
      <c r="AH390" s="63" t="str">
        <f>[1]Data2025!W389</f>
        <v>081375309828</v>
      </c>
    </row>
    <row r="391" spans="1:34" ht="16.5" thickTop="1" thickBot="1">
      <c r="A391" s="41">
        <f>[1]Data2025!G390</f>
        <v>384</v>
      </c>
      <c r="B391" s="42">
        <f>[1]Data2025!K390</f>
        <v>0</v>
      </c>
      <c r="C391" s="43" t="str">
        <f>[1]Data2025!D390</f>
        <v>06. 05. 08.</v>
      </c>
      <c r="D391" s="44" t="str">
        <f>[1]Data2025!C390</f>
        <v>5.1.02.01.01.0024</v>
      </c>
      <c r="E391" s="45">
        <f>[1]Data2025!E390</f>
        <v>0</v>
      </c>
      <c r="F391" s="46">
        <f>[1]Data2025!F390</f>
        <v>0</v>
      </c>
      <c r="G391" s="45">
        <f>[1]Data2025!H390</f>
        <v>0</v>
      </c>
      <c r="H391" s="45">
        <f t="shared" si="21"/>
        <v>0</v>
      </c>
      <c r="I391" s="47">
        <f>[1]Data2025!J390</f>
        <v>0</v>
      </c>
      <c r="J391" s="48" t="str">
        <f>[1]Data2025!L390</f>
        <v>Lem Fox isi 500 gram--</v>
      </c>
      <c r="K391" s="48" t="str">
        <f>[1]Data2025!M390</f>
        <v>Lem Fox isi 500 gram--</v>
      </c>
      <c r="L391" s="49">
        <f>[1]Data2025!N390</f>
        <v>2</v>
      </c>
      <c r="M391" s="49" t="str">
        <f>[1]Data2025!O390</f>
        <v>buah</v>
      </c>
      <c r="N391" s="50">
        <f>[1]Data2025!P390</f>
        <v>37000</v>
      </c>
      <c r="O391" s="51">
        <f>[1]Data2025!Q390</f>
        <v>74000</v>
      </c>
      <c r="P391" s="52" t="s">
        <v>43</v>
      </c>
      <c r="Q391" s="53" t="str">
        <f>VLOOKUP(K391,[1]Sheet1!$C$1:$D$101,2,)</f>
        <v>Lem Fox Isi 500 Gram (Bahan Pvc, Berat 500Gr, Ukuran Botol Putih 500Gr)</v>
      </c>
      <c r="R391" s="54">
        <v>1812220</v>
      </c>
      <c r="S391" s="55">
        <v>2002000</v>
      </c>
      <c r="T391" s="56" t="str">
        <f>[1]Data2025!T390</f>
        <v>UD. JOSUA</v>
      </c>
      <c r="U391" s="57" t="s">
        <v>35</v>
      </c>
      <c r="V391" s="56" t="str">
        <f>[1]Data2025!V390</f>
        <v>Gestiwan Bazikho</v>
      </c>
      <c r="W391" s="56" t="str">
        <f>[1]Data2025!X390</f>
        <v>Jl. Diponegoro Kel. Pasar Telukdalam - Nias Selatan</v>
      </c>
      <c r="X391" s="57" t="s">
        <v>78</v>
      </c>
      <c r="Y391" s="57" t="str">
        <f t="shared" si="22"/>
        <v>Alat Tulis Kantor (ATK)</v>
      </c>
      <c r="Z391" s="58" t="str">
        <f t="shared" si="23"/>
        <v>Alat Tulis Kantor (ATK)</v>
      </c>
      <c r="AA391" s="59" t="s">
        <v>73</v>
      </c>
      <c r="AB391" s="60">
        <v>2000000</v>
      </c>
      <c r="AC391" s="60">
        <v>2000000</v>
      </c>
      <c r="AD391" s="54">
        <v>1812220</v>
      </c>
      <c r="AE391" s="61">
        <v>1632630.6306306308</v>
      </c>
      <c r="AF391" s="61">
        <v>1812220</v>
      </c>
      <c r="AG391" s="62" t="s">
        <v>38</v>
      </c>
      <c r="AH391" s="63" t="str">
        <f>[1]Data2025!W390</f>
        <v>081375309828</v>
      </c>
    </row>
    <row r="392" spans="1:34" ht="16.5" thickTop="1" thickBot="1">
      <c r="A392" s="41">
        <f>[1]Data2025!G391</f>
        <v>385</v>
      </c>
      <c r="B392" s="42">
        <f>[1]Data2025!K391</f>
        <v>0</v>
      </c>
      <c r="C392" s="43" t="str">
        <f>[1]Data2025!D391</f>
        <v>06. 05. 08.</v>
      </c>
      <c r="D392" s="44" t="str">
        <f>[1]Data2025!C391</f>
        <v>5.1.02.01.01.0024</v>
      </c>
      <c r="E392" s="45">
        <f>[1]Data2025!E391</f>
        <v>0</v>
      </c>
      <c r="F392" s="46">
        <f>[1]Data2025!F391</f>
        <v>0</v>
      </c>
      <c r="G392" s="45">
        <f>[1]Data2025!H391</f>
        <v>0</v>
      </c>
      <c r="H392" s="45">
        <f t="shared" si="21"/>
        <v>0</v>
      </c>
      <c r="I392" s="47">
        <f>[1]Data2025!J391</f>
        <v>0</v>
      </c>
      <c r="J392" s="48" t="str">
        <f>[1]Data2025!L391</f>
        <v>PAPER CLIP  Paper Clip No 1</v>
      </c>
      <c r="K392" s="48" t="str">
        <f>[1]Data2025!M391</f>
        <v>PAPER CLIP  Paper Clip No 1</v>
      </c>
      <c r="L392" s="49">
        <f>[1]Data2025!N391</f>
        <v>5</v>
      </c>
      <c r="M392" s="49" t="str">
        <f>[1]Data2025!O391</f>
        <v>kotak</v>
      </c>
      <c r="N392" s="50">
        <f>[1]Data2025!P391</f>
        <v>6000</v>
      </c>
      <c r="O392" s="51">
        <f>[1]Data2025!Q391</f>
        <v>30000</v>
      </c>
      <c r="P392" s="52" t="s">
        <v>43</v>
      </c>
      <c r="Q392" s="53" t="str">
        <f>VLOOKUP(K392,[1]Sheet1!$C$1:$D$101,2,)</f>
        <v>Paper Clip No 1 (Length 5.0Cm, Width 5.0Cm, Height 5.0Cm, Weight 5Gr)</v>
      </c>
      <c r="R392" s="54">
        <v>1168359</v>
      </c>
      <c r="S392" s="55">
        <v>1502000</v>
      </c>
      <c r="T392" s="56" t="str">
        <f>[1]Data2025!T391</f>
        <v>UD. JOSUA</v>
      </c>
      <c r="U392" s="57" t="s">
        <v>35</v>
      </c>
      <c r="V392" s="56" t="str">
        <f>[1]Data2025!V391</f>
        <v>Gestiwan Bazikho</v>
      </c>
      <c r="W392" s="56" t="str">
        <f>[1]Data2025!X391</f>
        <v>Jl. Diponegoro Kel. Pasar Telukdalam - Nias Selatan</v>
      </c>
      <c r="X392" s="57" t="s">
        <v>78</v>
      </c>
      <c r="Y392" s="57" t="str">
        <f t="shared" si="22"/>
        <v>Alat Tulis Kantor (ATK)</v>
      </c>
      <c r="Z392" s="58" t="str">
        <f t="shared" si="23"/>
        <v>Alat Tulis Kantor (ATK)</v>
      </c>
      <c r="AA392" s="59" t="s">
        <v>73</v>
      </c>
      <c r="AB392" s="60">
        <v>1500000</v>
      </c>
      <c r="AC392" s="60">
        <v>1500000</v>
      </c>
      <c r="AD392" s="54">
        <v>1168359</v>
      </c>
      <c r="AE392" s="61">
        <v>1052575.6756756757</v>
      </c>
      <c r="AF392" s="61">
        <v>1168359</v>
      </c>
      <c r="AG392" s="62" t="s">
        <v>38</v>
      </c>
      <c r="AH392" s="63" t="str">
        <f>[1]Data2025!W391</f>
        <v>081375309828</v>
      </c>
    </row>
    <row r="393" spans="1:34" ht="16.5" thickTop="1" thickBot="1">
      <c r="A393" s="41">
        <f>[1]Data2025!G392</f>
        <v>386</v>
      </c>
      <c r="B393" s="42">
        <f>[1]Data2025!K392</f>
        <v>0</v>
      </c>
      <c r="C393" s="43" t="str">
        <f>[1]Data2025!D392</f>
        <v>06. 05. 08.</v>
      </c>
      <c r="D393" s="44" t="str">
        <f>[1]Data2025!C392</f>
        <v>5.1.02.01.01.0024</v>
      </c>
      <c r="E393" s="45">
        <f>[1]Data2025!E392</f>
        <v>0</v>
      </c>
      <c r="F393" s="46">
        <f>[1]Data2025!F392</f>
        <v>0</v>
      </c>
      <c r="G393" s="45">
        <f>[1]Data2025!H392</f>
        <v>0</v>
      </c>
      <c r="H393" s="45">
        <f t="shared" si="21"/>
        <v>0</v>
      </c>
      <c r="I393" s="47">
        <f>[1]Data2025!J392</f>
        <v>0</v>
      </c>
      <c r="J393" s="48" t="str">
        <f>[1]Data2025!L392</f>
        <v>Paper Clip No 1  Paper Clip No 3</v>
      </c>
      <c r="K393" s="48" t="str">
        <f>[1]Data2025!M392</f>
        <v>Paper Clip No 1  Paper Clip No 3</v>
      </c>
      <c r="L393" s="49">
        <f>[1]Data2025!N392</f>
        <v>5</v>
      </c>
      <c r="M393" s="49" t="str">
        <f>[1]Data2025!O392</f>
        <v>kotak</v>
      </c>
      <c r="N393" s="50">
        <f>[1]Data2025!P392</f>
        <v>6000</v>
      </c>
      <c r="O393" s="51">
        <f>[1]Data2025!Q392</f>
        <v>30000</v>
      </c>
      <c r="P393" s="52" t="s">
        <v>43</v>
      </c>
      <c r="Q393" s="53" t="str">
        <f>VLOOKUP(K393,[1]Sheet1!$C$1:$D$101,2,)</f>
        <v>Paper Clip No 3 (Length 5.0Cm, Width 5.0Cm, Height 5.0Cm, Weight 5Gr)</v>
      </c>
      <c r="R393" s="54">
        <v>1050000</v>
      </c>
      <c r="S393" s="55">
        <v>1200000</v>
      </c>
      <c r="T393" s="56" t="str">
        <f>[1]Data2025!T392</f>
        <v>UD. JOSUA</v>
      </c>
      <c r="U393" s="57" t="s">
        <v>60</v>
      </c>
      <c r="V393" s="56" t="str">
        <f>[1]Data2025!V392</f>
        <v>Gestiwan Bazikho</v>
      </c>
      <c r="W393" s="56" t="str">
        <f>[1]Data2025!X392</f>
        <v>Jl. Diponegoro Kel. Pasar Telukdalam - Nias Selatan</v>
      </c>
      <c r="X393" s="57" t="s">
        <v>61</v>
      </c>
      <c r="Y393" s="57" t="str">
        <f t="shared" si="22"/>
        <v>Alat Tulis Kantor (ATK)</v>
      </c>
      <c r="Z393" s="58" t="str">
        <f t="shared" si="23"/>
        <v>Alat Tulis Kantor (ATK)</v>
      </c>
      <c r="AA393" s="59" t="s">
        <v>37</v>
      </c>
      <c r="AB393" s="60">
        <v>14000</v>
      </c>
      <c r="AC393" s="60">
        <v>1050000</v>
      </c>
      <c r="AD393" s="54">
        <v>1050000</v>
      </c>
      <c r="AE393" s="61">
        <v>945945.94594594592</v>
      </c>
      <c r="AF393" s="61">
        <v>1050000</v>
      </c>
      <c r="AG393" s="62" t="s">
        <v>38</v>
      </c>
      <c r="AH393" s="63" t="str">
        <f>[1]Data2025!W392</f>
        <v>081375309828</v>
      </c>
    </row>
    <row r="394" spans="1:34" ht="26" thickTop="1" thickBot="1">
      <c r="A394" s="41">
        <f>[1]Data2025!G393</f>
        <v>387</v>
      </c>
      <c r="B394" s="42">
        <f>[1]Data2025!K393</f>
        <v>0</v>
      </c>
      <c r="C394" s="43" t="str">
        <f>[1]Data2025!D393</f>
        <v>06. 05. 08.</v>
      </c>
      <c r="D394" s="44" t="str">
        <f>[1]Data2025!C393</f>
        <v>5.1.02.01.01.0024</v>
      </c>
      <c r="E394" s="45">
        <f>[1]Data2025!E393</f>
        <v>0</v>
      </c>
      <c r="F394" s="46">
        <f>[1]Data2025!F393</f>
        <v>0</v>
      </c>
      <c r="G394" s="45">
        <f>[1]Data2025!H393</f>
        <v>0</v>
      </c>
      <c r="H394" s="45">
        <f t="shared" si="21"/>
        <v>0</v>
      </c>
      <c r="I394" s="47">
        <f>[1]Data2025!J393</f>
        <v>0</v>
      </c>
      <c r="J394" s="48" t="str">
        <f>[1]Data2025!L393</f>
        <v>gunting kertas-ukuran : panjang 21cm x lebar 8cm, stainless steel</v>
      </c>
      <c r="K394" s="48" t="str">
        <f>[1]Data2025!M393</f>
        <v>gunting kertas-ukuran : panjang 21cm x lebar 8cm, stainless steel</v>
      </c>
      <c r="L394" s="49">
        <f>[1]Data2025!N393</f>
        <v>2</v>
      </c>
      <c r="M394" s="49" t="str">
        <f>[1]Data2025!O393</f>
        <v>buah</v>
      </c>
      <c r="N394" s="50">
        <f>[1]Data2025!P393</f>
        <v>20000</v>
      </c>
      <c r="O394" s="51">
        <f>[1]Data2025!Q393</f>
        <v>40000</v>
      </c>
      <c r="P394" s="52" t="s">
        <v>43</v>
      </c>
      <c r="Q394" s="53" t="str">
        <f>VLOOKUP(K394,[1]Sheet1!$C$1:$D$101,2,)</f>
        <v>Gunting Besar (Length 5.0Cm, Width 5.0Cm, Height 5.0Cm, Weight 5Gr)</v>
      </c>
      <c r="R394" s="54">
        <v>3000000</v>
      </c>
      <c r="S394" s="55">
        <v>3150000</v>
      </c>
      <c r="T394" s="56" t="str">
        <f>[1]Data2025!T393</f>
        <v>UD. JOSUA</v>
      </c>
      <c r="U394" s="57" t="s">
        <v>62</v>
      </c>
      <c r="V394" s="56" t="str">
        <f>[1]Data2025!V393</f>
        <v>Gestiwan Bazikho</v>
      </c>
      <c r="W394" s="56" t="str">
        <f>[1]Data2025!X393</f>
        <v>Jl. Diponegoro Kel. Pasar Telukdalam - Nias Selatan</v>
      </c>
      <c r="X394" s="57" t="s">
        <v>63</v>
      </c>
      <c r="Y394" s="57" t="str">
        <f t="shared" si="22"/>
        <v>Alat Tulis Kantor (ATK)</v>
      </c>
      <c r="Z394" s="58" t="str">
        <f t="shared" si="23"/>
        <v>Alat Tulis Kantor (ATK)</v>
      </c>
      <c r="AA394" s="59" t="s">
        <v>37</v>
      </c>
      <c r="AB394" s="60">
        <v>40000</v>
      </c>
      <c r="AC394" s="60">
        <v>3000000</v>
      </c>
      <c r="AD394" s="54">
        <v>3000000</v>
      </c>
      <c r="AE394" s="61">
        <v>2702702.702702703</v>
      </c>
      <c r="AF394" s="61">
        <v>3000000</v>
      </c>
      <c r="AG394" s="62" t="s">
        <v>38</v>
      </c>
      <c r="AH394" s="63" t="str">
        <f>[1]Data2025!W393</f>
        <v>081375309828</v>
      </c>
    </row>
    <row r="395" spans="1:34" ht="16.5" thickTop="1" thickBot="1">
      <c r="A395" s="41">
        <f>[1]Data2025!G394</f>
        <v>388</v>
      </c>
      <c r="B395" s="42">
        <f>[1]Data2025!K394</f>
        <v>0</v>
      </c>
      <c r="C395" s="43" t="str">
        <f>[1]Data2025!D394</f>
        <v>06. 05. 08.</v>
      </c>
      <c r="D395" s="44" t="str">
        <f>[1]Data2025!C394</f>
        <v>5.1.02.01.01.0024</v>
      </c>
      <c r="E395" s="45">
        <f>[1]Data2025!E394</f>
        <v>0</v>
      </c>
      <c r="F395" s="46">
        <f>[1]Data2025!F394</f>
        <v>0</v>
      </c>
      <c r="G395" s="45">
        <f>[1]Data2025!H394</f>
        <v>0</v>
      </c>
      <c r="H395" s="45">
        <f t="shared" si="21"/>
        <v>0</v>
      </c>
      <c r="I395" s="47">
        <f>[1]Data2025!J394</f>
        <v>0</v>
      </c>
      <c r="J395" s="48" t="str">
        <f>[1]Data2025!L394</f>
        <v>Pisau Cutter Kenko L-500</v>
      </c>
      <c r="K395" s="48" t="str">
        <f>[1]Data2025!M394</f>
        <v>Pisau Cutter Kenko L-500</v>
      </c>
      <c r="L395" s="49">
        <f>[1]Data2025!N394</f>
        <v>2</v>
      </c>
      <c r="M395" s="49" t="str">
        <f>[1]Data2025!O394</f>
        <v>buah</v>
      </c>
      <c r="N395" s="50">
        <f>[1]Data2025!P394</f>
        <v>15000</v>
      </c>
      <c r="O395" s="51">
        <f>[1]Data2025!Q394</f>
        <v>30000</v>
      </c>
      <c r="P395" s="52" t="s">
        <v>43</v>
      </c>
      <c r="Q395" s="53" t="str">
        <f>VLOOKUP(K395,[1]Sheet1!$C$1:$D$101,2,)</f>
        <v>Cutter L500 (Length 5.0Cm, Width 5.0Cm, Height 5.0Cm, Weight 5Gr)</v>
      </c>
      <c r="R395" s="54">
        <v>1000000</v>
      </c>
      <c r="S395" s="55">
        <v>1002000</v>
      </c>
      <c r="T395" s="56" t="str">
        <f>[1]Data2025!T394</f>
        <v>UD. JOSUA</v>
      </c>
      <c r="U395" s="57" t="s">
        <v>35</v>
      </c>
      <c r="V395" s="56" t="str">
        <f>[1]Data2025!V394</f>
        <v>Gestiwan Bazikho</v>
      </c>
      <c r="W395" s="56" t="str">
        <f>[1]Data2025!X394</f>
        <v>Jl. Diponegoro Kel. Pasar Telukdalam - Nias Selatan</v>
      </c>
      <c r="X395" s="57" t="s">
        <v>78</v>
      </c>
      <c r="Y395" s="57" t="str">
        <f t="shared" si="22"/>
        <v>Alat Tulis Kantor (ATK)</v>
      </c>
      <c r="Z395" s="58" t="str">
        <f t="shared" si="23"/>
        <v>Alat Tulis Kantor (ATK)</v>
      </c>
      <c r="AA395" s="59" t="s">
        <v>73</v>
      </c>
      <c r="AB395" s="60">
        <v>1000000</v>
      </c>
      <c r="AC395" s="60">
        <v>1000000</v>
      </c>
      <c r="AD395" s="54">
        <v>1000000</v>
      </c>
      <c r="AE395" s="61">
        <v>900900.90090090095</v>
      </c>
      <c r="AF395" s="61">
        <v>1000000</v>
      </c>
      <c r="AG395" s="62" t="s">
        <v>38</v>
      </c>
      <c r="AH395" s="63" t="str">
        <f>[1]Data2025!W394</f>
        <v>081375309828</v>
      </c>
    </row>
    <row r="396" spans="1:34" s="88" customFormat="1" ht="16.5" thickTop="1" thickBot="1">
      <c r="A396" s="41">
        <f>[1]Data2025!G395</f>
        <v>389</v>
      </c>
      <c r="B396" s="42">
        <f>[1]Data2025!K395</f>
        <v>0</v>
      </c>
      <c r="C396" s="43" t="str">
        <f>[1]Data2025!D395</f>
        <v>06. 05. 08.</v>
      </c>
      <c r="D396" s="44" t="str">
        <f>[1]Data2025!C395</f>
        <v>5.1.02.01.01.0024</v>
      </c>
      <c r="E396" s="45">
        <f>[1]Data2025!E395</f>
        <v>0</v>
      </c>
      <c r="F396" s="46">
        <f>[1]Data2025!F395</f>
        <v>0</v>
      </c>
      <c r="G396" s="45">
        <f>[1]Data2025!H395</f>
        <v>0</v>
      </c>
      <c r="H396" s="45">
        <f t="shared" si="21"/>
        <v>0</v>
      </c>
      <c r="I396" s="47">
        <f>[1]Data2025!J395</f>
        <v>0</v>
      </c>
      <c r="J396" s="48" t="str">
        <f>[1]Data2025!L395</f>
        <v>Baterey Kecil</v>
      </c>
      <c r="K396" s="48" t="str">
        <f>[1]Data2025!M395</f>
        <v>Baterey Kecil</v>
      </c>
      <c r="L396" s="49">
        <f>[1]Data2025!N395</f>
        <v>5</v>
      </c>
      <c r="M396" s="49" t="str">
        <f>[1]Data2025!O395</f>
        <v>pasang</v>
      </c>
      <c r="N396" s="50">
        <f>[1]Data2025!P395</f>
        <v>20000</v>
      </c>
      <c r="O396" s="51">
        <f>[1]Data2025!Q395</f>
        <v>100000</v>
      </c>
      <c r="P396" s="52" t="s">
        <v>43</v>
      </c>
      <c r="Q396" s="53" t="str">
        <f>VLOOKUP(K396,[1]Sheet1!$C$1:$D$101,2,)</f>
        <v>Baterey Kecil (Type: Aa; Tegangan: 1.5 Volt; Ukuran: 14 X 50 Mm)</v>
      </c>
      <c r="R396" s="77">
        <v>2475000</v>
      </c>
      <c r="S396" s="78">
        <v>2541000</v>
      </c>
      <c r="T396" s="56" t="str">
        <f>[1]Data2025!T395</f>
        <v>UD. JOSUA</v>
      </c>
      <c r="U396" s="80" t="s">
        <v>35</v>
      </c>
      <c r="V396" s="56" t="str">
        <f>[1]Data2025!V395</f>
        <v>Gestiwan Bazikho</v>
      </c>
      <c r="W396" s="56" t="str">
        <f>[1]Data2025!X395</f>
        <v>Jl. Diponegoro Kel. Pasar Telukdalam - Nias Selatan</v>
      </c>
      <c r="X396" s="80" t="s">
        <v>78</v>
      </c>
      <c r="Y396" s="57" t="str">
        <f t="shared" si="22"/>
        <v>Alat Tulis Kantor (ATK)</v>
      </c>
      <c r="Z396" s="58" t="str">
        <f t="shared" si="23"/>
        <v>Alat Tulis Kantor (ATK)</v>
      </c>
      <c r="AA396" s="82" t="s">
        <v>77</v>
      </c>
      <c r="AB396" s="83">
        <v>75000</v>
      </c>
      <c r="AC396" s="83">
        <v>2475000</v>
      </c>
      <c r="AD396" s="77">
        <v>2475000</v>
      </c>
      <c r="AE396" s="84">
        <v>2229729.7297297297</v>
      </c>
      <c r="AF396" s="84">
        <v>2475000</v>
      </c>
      <c r="AG396" s="62" t="s">
        <v>38</v>
      </c>
      <c r="AH396" s="63" t="str">
        <f>[1]Data2025!W395</f>
        <v>081375309828</v>
      </c>
    </row>
    <row r="397" spans="1:34" s="88" customFormat="1" ht="16.5" thickTop="1" thickBot="1">
      <c r="A397" s="41">
        <f>[1]Data2025!G396</f>
        <v>390</v>
      </c>
      <c r="B397" s="42">
        <f>[1]Data2025!K396</f>
        <v>0</v>
      </c>
      <c r="C397" s="43" t="str">
        <f>[1]Data2025!D396</f>
        <v>06. 05. 08.</v>
      </c>
      <c r="D397" s="44" t="str">
        <f>[1]Data2025!C396</f>
        <v>5.1.02.01.01.0026</v>
      </c>
      <c r="E397" s="45">
        <f>[1]Data2025!E396</f>
        <v>0</v>
      </c>
      <c r="F397" s="46">
        <f>[1]Data2025!F396</f>
        <v>0</v>
      </c>
      <c r="G397" s="45">
        <f>[1]Data2025!H396</f>
        <v>0</v>
      </c>
      <c r="H397" s="45">
        <f t="shared" si="21"/>
        <v>0</v>
      </c>
      <c r="I397" s="47">
        <f>[1]Data2025!J396</f>
        <v>0</v>
      </c>
      <c r="J397" s="48" t="str">
        <f>[1]Data2025!L396</f>
        <v>Foto Copy Filio dan Kuarto</v>
      </c>
      <c r="K397" s="48" t="str">
        <f>[1]Data2025!M396</f>
        <v>Foto Copy Filio dan Kuarto</v>
      </c>
      <c r="L397" s="49">
        <f>[1]Data2025!N396</f>
        <v>20880</v>
      </c>
      <c r="M397" s="49" t="str">
        <f>[1]Data2025!O396</f>
        <v>lembar</v>
      </c>
      <c r="N397" s="50">
        <f>[1]Data2025!P396</f>
        <v>350</v>
      </c>
      <c r="O397" s="51">
        <f>[1]Data2025!Q396</f>
        <v>7308000</v>
      </c>
      <c r="P397" s="52" t="s">
        <v>43</v>
      </c>
      <c r="Q397" s="53" t="str">
        <f>VLOOKUP(K397,[1]Sheet1!$C$1:$D$101,2,)</f>
        <v>Kertas HVS 70 gram Sinar Dunia A4, Ukuran : 8,27" x 11,69"</v>
      </c>
      <c r="R397" s="77">
        <v>2550000</v>
      </c>
      <c r="S397" s="78">
        <v>2618000</v>
      </c>
      <c r="T397" s="56" t="str">
        <f>[1]Data2025!T396</f>
        <v>UD. JOSUA</v>
      </c>
      <c r="U397" s="80" t="s">
        <v>35</v>
      </c>
      <c r="V397" s="56" t="str">
        <f>[1]Data2025!V396</f>
        <v>Gestiwan Bazikho</v>
      </c>
      <c r="W397" s="56" t="str">
        <f>[1]Data2025!X396</f>
        <v>Jl. Diponegoro Kel. Pasar Telukdalam - Nias Selatan</v>
      </c>
      <c r="X397" s="80" t="s">
        <v>78</v>
      </c>
      <c r="Y397" s="57" t="str">
        <f t="shared" si="22"/>
        <v>Alat Tulis Kantor (ATK)</v>
      </c>
      <c r="Z397" s="58" t="str">
        <f t="shared" si="23"/>
        <v>Alat Tulis Kantor (ATK)</v>
      </c>
      <c r="AA397" s="82" t="s">
        <v>77</v>
      </c>
      <c r="AB397" s="83">
        <v>75000</v>
      </c>
      <c r="AC397" s="83">
        <v>2550000</v>
      </c>
      <c r="AD397" s="77">
        <v>2550000</v>
      </c>
      <c r="AE397" s="84">
        <v>2297297.2972972975</v>
      </c>
      <c r="AF397" s="84">
        <v>2550000</v>
      </c>
      <c r="AG397" s="62" t="s">
        <v>38</v>
      </c>
      <c r="AH397" s="63" t="str">
        <f>[1]Data2025!W396</f>
        <v>081375309828</v>
      </c>
    </row>
    <row r="398" spans="1:34" s="88" customFormat="1" ht="16.5" thickTop="1" thickBot="1">
      <c r="A398" s="41">
        <f>[1]Data2025!G397</f>
        <v>391</v>
      </c>
      <c r="B398" s="42">
        <f>[1]Data2025!K397</f>
        <v>0</v>
      </c>
      <c r="C398" s="43" t="str">
        <f>[1]Data2025!D397</f>
        <v>06. 05. 09.</v>
      </c>
      <c r="D398" s="44" t="str">
        <f>[1]Data2025!C397</f>
        <v>5.1.02.01.01.0030</v>
      </c>
      <c r="E398" s="45">
        <f>[1]Data2025!E397</f>
        <v>0</v>
      </c>
      <c r="F398" s="46">
        <f>[1]Data2025!F397</f>
        <v>0</v>
      </c>
      <c r="G398" s="45">
        <f>[1]Data2025!H397</f>
        <v>0</v>
      </c>
      <c r="H398" s="45">
        <f t="shared" si="21"/>
        <v>0</v>
      </c>
      <c r="I398" s="47">
        <f>[1]Data2025!J397</f>
        <v>0</v>
      </c>
      <c r="J398" s="48" t="str">
        <f>[1]Data2025!L397</f>
        <v>Tisu--</v>
      </c>
      <c r="K398" s="48" t="str">
        <f>[1]Data2025!M397</f>
        <v>Tisu--</v>
      </c>
      <c r="L398" s="49">
        <f>[1]Data2025!N397</f>
        <v>12</v>
      </c>
      <c r="M398" s="49" t="str">
        <f>[1]Data2025!O397</f>
        <v>buah</v>
      </c>
      <c r="N398" s="50">
        <f>[1]Data2025!P397</f>
        <v>12500</v>
      </c>
      <c r="O398" s="51">
        <f>[1]Data2025!Q397</f>
        <v>150000</v>
      </c>
      <c r="P398" s="52" t="s">
        <v>43</v>
      </c>
      <c r="Q398" s="53" t="str">
        <f>VLOOKUP(K398,[1]Sheet1!$C$1:$D$101,2,)</f>
        <v>Tissue (Merk JOLLY 250 Sheets 2 Ply, Berat Volume = 285 gr)</v>
      </c>
      <c r="R398" s="77">
        <v>2250000</v>
      </c>
      <c r="S398" s="78">
        <v>2310000</v>
      </c>
      <c r="T398" s="56" t="str">
        <f>[1]Data2025!T397</f>
        <v>UD. JOSUA</v>
      </c>
      <c r="U398" s="80" t="s">
        <v>35</v>
      </c>
      <c r="V398" s="56" t="str">
        <f>[1]Data2025!V397</f>
        <v>Gestiwan Bazikho</v>
      </c>
      <c r="W398" s="56" t="str">
        <f>[1]Data2025!X397</f>
        <v>Jl. Diponegoro Kel. Pasar Telukdalam - Nias Selatan</v>
      </c>
      <c r="X398" s="80" t="s">
        <v>78</v>
      </c>
      <c r="Y398" s="57" t="str">
        <f t="shared" si="22"/>
        <v>Alat Tulis Kantor (ATK)</v>
      </c>
      <c r="Z398" s="58" t="str">
        <f t="shared" si="23"/>
        <v>Alat Tulis Kantor (ATK)</v>
      </c>
      <c r="AA398" s="82" t="s">
        <v>77</v>
      </c>
      <c r="AB398" s="83">
        <v>75000</v>
      </c>
      <c r="AC398" s="83">
        <v>2250000</v>
      </c>
      <c r="AD398" s="77">
        <v>2250000</v>
      </c>
      <c r="AE398" s="84">
        <v>2027027.027027027</v>
      </c>
      <c r="AF398" s="84">
        <v>2250000</v>
      </c>
      <c r="AG398" s="62" t="s">
        <v>38</v>
      </c>
      <c r="AH398" s="63" t="str">
        <f>[1]Data2025!W397</f>
        <v>081375309828</v>
      </c>
    </row>
    <row r="399" spans="1:34" s="88" customFormat="1" ht="16.5" thickTop="1" thickBot="1">
      <c r="A399" s="41">
        <f>[1]Data2025!G398</f>
        <v>392</v>
      </c>
      <c r="B399" s="42">
        <f>[1]Data2025!K398</f>
        <v>0</v>
      </c>
      <c r="C399" s="43" t="str">
        <f>[1]Data2025!D398</f>
        <v>06. 05. 09.</v>
      </c>
      <c r="D399" s="44" t="str">
        <f>[1]Data2025!C398</f>
        <v>5.1.02.01.01.0030</v>
      </c>
      <c r="E399" s="45">
        <f>[1]Data2025!E398</f>
        <v>0</v>
      </c>
      <c r="F399" s="46">
        <f>[1]Data2025!F398</f>
        <v>0</v>
      </c>
      <c r="G399" s="45">
        <f>[1]Data2025!H398</f>
        <v>0</v>
      </c>
      <c r="H399" s="45">
        <f t="shared" si="21"/>
        <v>0</v>
      </c>
      <c r="I399" s="47">
        <f>[1]Data2025!J398</f>
        <v>0</v>
      </c>
      <c r="J399" s="48" t="str">
        <f>[1]Data2025!L398</f>
        <v>vixal 500ml</v>
      </c>
      <c r="K399" s="48" t="str">
        <f>[1]Data2025!M398</f>
        <v>vixal 500ml</v>
      </c>
      <c r="L399" s="49">
        <f>[1]Data2025!N398</f>
        <v>10</v>
      </c>
      <c r="M399" s="49" t="str">
        <f>[1]Data2025!O398</f>
        <v>botol</v>
      </c>
      <c r="N399" s="50">
        <f>[1]Data2025!P398</f>
        <v>30000</v>
      </c>
      <c r="O399" s="51">
        <f>[1]Data2025!Q398</f>
        <v>300000</v>
      </c>
      <c r="P399" s="52" t="s">
        <v>54</v>
      </c>
      <c r="Q399" s="53" t="str">
        <f>VLOOKUP(K399,[1]Sheet1!$C$1:$D$101,2,)</f>
        <v>Pembersih Lantai (Merk vixal, Kemasan Botol, isi  500ml)</v>
      </c>
      <c r="R399" s="77">
        <v>2475000</v>
      </c>
      <c r="S399" s="78">
        <v>2541000</v>
      </c>
      <c r="T399" s="56" t="str">
        <f>[1]Data2025!T398</f>
        <v>UD. JOSUA</v>
      </c>
      <c r="U399" s="80" t="s">
        <v>35</v>
      </c>
      <c r="V399" s="56" t="str">
        <f>[1]Data2025!V398</f>
        <v>Gestiwan Bazikho</v>
      </c>
      <c r="W399" s="56" t="str">
        <f>[1]Data2025!X398</f>
        <v>Jl. Diponegoro Kel. Pasar Telukdalam - Nias Selatan</v>
      </c>
      <c r="X399" s="80" t="s">
        <v>78</v>
      </c>
      <c r="Y399" s="57" t="str">
        <f t="shared" si="22"/>
        <v>Alat Kebersihan</v>
      </c>
      <c r="Z399" s="58" t="str">
        <f t="shared" si="23"/>
        <v>Alat Kebersihan</v>
      </c>
      <c r="AA399" s="82" t="s">
        <v>77</v>
      </c>
      <c r="AB399" s="83">
        <v>75000</v>
      </c>
      <c r="AC399" s="83">
        <v>2475000</v>
      </c>
      <c r="AD399" s="77">
        <v>2475000</v>
      </c>
      <c r="AE399" s="84">
        <v>2229729.7297297297</v>
      </c>
      <c r="AF399" s="84">
        <v>2475000</v>
      </c>
      <c r="AG399" s="62" t="s">
        <v>38</v>
      </c>
      <c r="AH399" s="63" t="str">
        <f>[1]Data2025!W398</f>
        <v>081375309828</v>
      </c>
    </row>
    <row r="400" spans="1:34" s="88" customFormat="1" ht="26" thickTop="1" thickBot="1">
      <c r="A400" s="41">
        <f>[1]Data2025!G399</f>
        <v>393</v>
      </c>
      <c r="B400" s="42">
        <f>[1]Data2025!K399</f>
        <v>0</v>
      </c>
      <c r="C400" s="43" t="str">
        <f>[1]Data2025!D399</f>
        <v>06. 05. 09.</v>
      </c>
      <c r="D400" s="44" t="str">
        <f>[1]Data2025!C399</f>
        <v>5.1.02.01.01.0030</v>
      </c>
      <c r="E400" s="45">
        <f>[1]Data2025!E399</f>
        <v>0</v>
      </c>
      <c r="F400" s="46">
        <f>[1]Data2025!F399</f>
        <v>0</v>
      </c>
      <c r="G400" s="45">
        <f>[1]Data2025!H399</f>
        <v>0</v>
      </c>
      <c r="H400" s="45">
        <f t="shared" si="21"/>
        <v>0</v>
      </c>
      <c r="I400" s="47">
        <f>[1]Data2025!J399</f>
        <v>0</v>
      </c>
      <c r="J400" s="48" t="str">
        <f>[1]Data2025!L399</f>
        <v>Perlengkapan Kebersihan Pembersih Lantai Super Pel Varian 800ml</v>
      </c>
      <c r="K400" s="48" t="str">
        <f>J400</f>
        <v>Perlengkapan Kebersihan Pembersih Lantai Super Pel Varian 800ml</v>
      </c>
      <c r="L400" s="49">
        <f>[1]Data2025!N399</f>
        <v>15</v>
      </c>
      <c r="M400" s="49" t="str">
        <f>[1]Data2025!O399</f>
        <v>buah</v>
      </c>
      <c r="N400" s="50">
        <f>[1]Data2025!P399</f>
        <v>13500</v>
      </c>
      <c r="O400" s="51">
        <f>[1]Data2025!Q399</f>
        <v>202500</v>
      </c>
      <c r="P400" s="52" t="s">
        <v>54</v>
      </c>
      <c r="Q400" s="53" t="str">
        <f>VLOOKUP(K400,[1]Sheet1!$C$1:$D$101,2,)</f>
        <v>Super Pel (Merek: Super Pel, Varian 800ml/Refill)</v>
      </c>
      <c r="R400" s="77">
        <v>2100000</v>
      </c>
      <c r="S400" s="78">
        <v>2156000</v>
      </c>
      <c r="T400" s="56" t="str">
        <f>[1]Data2025!T399</f>
        <v>UD. JOSUA</v>
      </c>
      <c r="U400" s="80" t="s">
        <v>35</v>
      </c>
      <c r="V400" s="56" t="str">
        <f>[1]Data2025!V399</f>
        <v>Gestiwan Bazikho</v>
      </c>
      <c r="W400" s="56" t="str">
        <f>[1]Data2025!X399</f>
        <v>Jl. Diponegoro Kel. Pasar Telukdalam - Nias Selatan</v>
      </c>
      <c r="X400" s="80" t="s">
        <v>78</v>
      </c>
      <c r="Y400" s="57" t="str">
        <f t="shared" si="22"/>
        <v>Alat Kebersihan</v>
      </c>
      <c r="Z400" s="58" t="str">
        <f t="shared" si="23"/>
        <v>Alat Kebersihan</v>
      </c>
      <c r="AA400" s="82" t="s">
        <v>77</v>
      </c>
      <c r="AB400" s="83">
        <v>75000</v>
      </c>
      <c r="AC400" s="83">
        <v>2100000</v>
      </c>
      <c r="AD400" s="77">
        <v>2100000</v>
      </c>
      <c r="AE400" s="84">
        <v>1891891.8918918918</v>
      </c>
      <c r="AF400" s="84">
        <v>2100000</v>
      </c>
      <c r="AG400" s="62" t="s">
        <v>38</v>
      </c>
      <c r="AH400" s="63" t="str">
        <f>[1]Data2025!W399</f>
        <v>081375309828</v>
      </c>
    </row>
    <row r="401" spans="1:34" s="88" customFormat="1" ht="16.5" thickTop="1" thickBot="1">
      <c r="A401" s="41">
        <f>[1]Data2025!G400</f>
        <v>394</v>
      </c>
      <c r="B401" s="42">
        <f>[1]Data2025!K400</f>
        <v>0</v>
      </c>
      <c r="C401" s="43" t="str">
        <f>[1]Data2025!D400</f>
        <v>06. 05. 09.</v>
      </c>
      <c r="D401" s="44" t="str">
        <f>[1]Data2025!C400</f>
        <v>5.1.02.01.01.0030</v>
      </c>
      <c r="E401" s="45">
        <f>[1]Data2025!E400</f>
        <v>0</v>
      </c>
      <c r="F401" s="46">
        <f>[1]Data2025!F400</f>
        <v>0</v>
      </c>
      <c r="G401" s="45">
        <f>[1]Data2025!H400</f>
        <v>0</v>
      </c>
      <c r="H401" s="45">
        <f t="shared" si="21"/>
        <v>0</v>
      </c>
      <c r="I401" s="47">
        <f>[1]Data2025!J400</f>
        <v>0</v>
      </c>
      <c r="J401" s="48" t="str">
        <f>[1]Data2025!L400</f>
        <v>Cairan Pembersih Kaca</v>
      </c>
      <c r="K401" s="48" t="str">
        <f t="shared" ref="K401:K406" si="24">J401</f>
        <v>Cairan Pembersih Kaca</v>
      </c>
      <c r="L401" s="49">
        <f>[1]Data2025!N400</f>
        <v>5</v>
      </c>
      <c r="M401" s="49" t="str">
        <f>[1]Data2025!O400</f>
        <v>buah</v>
      </c>
      <c r="N401" s="50">
        <f>[1]Data2025!P400</f>
        <v>12000</v>
      </c>
      <c r="O401" s="51">
        <f>[1]Data2025!Q400</f>
        <v>60000</v>
      </c>
      <c r="P401" s="52" t="s">
        <v>54</v>
      </c>
      <c r="Q401" s="53" t="str">
        <f>VLOOKUP(K401,[1]Sheet1!$C$1:$D$101,2,)</f>
        <v>Cling (Merek: Cling, Varian: Ocean Fresh 425 ml)</v>
      </c>
      <c r="R401" s="77">
        <v>2475000</v>
      </c>
      <c r="S401" s="78">
        <v>2541000</v>
      </c>
      <c r="T401" s="56" t="str">
        <f>[1]Data2025!T400</f>
        <v>UD. JOSUA</v>
      </c>
      <c r="U401" s="80" t="s">
        <v>35</v>
      </c>
      <c r="V401" s="56" t="str">
        <f>[1]Data2025!V400</f>
        <v>Gestiwan Bazikho</v>
      </c>
      <c r="W401" s="56" t="str">
        <f>[1]Data2025!X400</f>
        <v>Jl. Diponegoro Kel. Pasar Telukdalam - Nias Selatan</v>
      </c>
      <c r="X401" s="80" t="s">
        <v>78</v>
      </c>
      <c r="Y401" s="57" t="str">
        <f t="shared" si="22"/>
        <v>Alat Kebersihan</v>
      </c>
      <c r="Z401" s="58" t="str">
        <f t="shared" si="23"/>
        <v>Alat Kebersihan</v>
      </c>
      <c r="AA401" s="82" t="s">
        <v>77</v>
      </c>
      <c r="AB401" s="83">
        <v>75000</v>
      </c>
      <c r="AC401" s="83">
        <v>2475000</v>
      </c>
      <c r="AD401" s="77">
        <v>2475000</v>
      </c>
      <c r="AE401" s="84">
        <v>2229729.7297297297</v>
      </c>
      <c r="AF401" s="84">
        <v>2475000</v>
      </c>
      <c r="AG401" s="62" t="s">
        <v>38</v>
      </c>
      <c r="AH401" s="63" t="str">
        <f>[1]Data2025!W400</f>
        <v>081375309828</v>
      </c>
    </row>
    <row r="402" spans="1:34" s="88" customFormat="1" ht="26" thickTop="1" thickBot="1">
      <c r="A402" s="41">
        <f>[1]Data2025!G401</f>
        <v>395</v>
      </c>
      <c r="B402" s="42">
        <f>[1]Data2025!K401</f>
        <v>0</v>
      </c>
      <c r="C402" s="43" t="str">
        <f>[1]Data2025!D401</f>
        <v>06. 05. 09.</v>
      </c>
      <c r="D402" s="44" t="str">
        <f>[1]Data2025!C401</f>
        <v>5.1.02.01.01.0030</v>
      </c>
      <c r="E402" s="45">
        <f>[1]Data2025!E401</f>
        <v>0</v>
      </c>
      <c r="F402" s="46">
        <f>[1]Data2025!F401</f>
        <v>0</v>
      </c>
      <c r="G402" s="45">
        <f>[1]Data2025!H401</f>
        <v>0</v>
      </c>
      <c r="H402" s="45">
        <f t="shared" si="21"/>
        <v>0</v>
      </c>
      <c r="I402" s="47">
        <f>[1]Data2025!J401</f>
        <v>0</v>
      </c>
      <c r="J402" s="48" t="str">
        <f>[1]Data2025!L401</f>
        <v>Perlengkapan Kebersihan Pembersih Pakaian Sunlight Refil 800ml</v>
      </c>
      <c r="K402" s="48" t="str">
        <f t="shared" si="24"/>
        <v>Perlengkapan Kebersihan Pembersih Pakaian Sunlight Refil 800ml</v>
      </c>
      <c r="L402" s="49">
        <f>[1]Data2025!N401</f>
        <v>3</v>
      </c>
      <c r="M402" s="49" t="str">
        <f>[1]Data2025!O401</f>
        <v>buah</v>
      </c>
      <c r="N402" s="50">
        <f>[1]Data2025!P401</f>
        <v>15000</v>
      </c>
      <c r="O402" s="51">
        <f>[1]Data2025!Q401</f>
        <v>45000</v>
      </c>
      <c r="P402" s="52" t="s">
        <v>54</v>
      </c>
      <c r="Q402" s="53" t="str">
        <f>VLOOKUP(K402,[1]Sheet1!$C$1:$D$101,2,)</f>
        <v>Sunlight (Merk: Sunlight, Varian 800ml/Refill)</v>
      </c>
      <c r="R402" s="77">
        <v>2000000</v>
      </c>
      <c r="S402" s="78">
        <v>2002000</v>
      </c>
      <c r="T402" s="56" t="str">
        <f>[1]Data2025!T401</f>
        <v>UD. JOSUA</v>
      </c>
      <c r="U402" s="80" t="s">
        <v>35</v>
      </c>
      <c r="V402" s="56" t="str">
        <f>[1]Data2025!V401</f>
        <v>Gestiwan Bazikho</v>
      </c>
      <c r="W402" s="56" t="str">
        <f>[1]Data2025!X401</f>
        <v>Jl. Diponegoro Kel. Pasar Telukdalam - Nias Selatan</v>
      </c>
      <c r="X402" s="80" t="s">
        <v>78</v>
      </c>
      <c r="Y402" s="57" t="str">
        <f t="shared" si="22"/>
        <v>Alat Kebersihan</v>
      </c>
      <c r="Z402" s="58" t="str">
        <f t="shared" si="23"/>
        <v>Alat Kebersihan</v>
      </c>
      <c r="AA402" s="82" t="s">
        <v>73</v>
      </c>
      <c r="AB402" s="83">
        <v>2000000</v>
      </c>
      <c r="AC402" s="83">
        <v>2000000</v>
      </c>
      <c r="AD402" s="77">
        <v>2000000</v>
      </c>
      <c r="AE402" s="84">
        <v>1801801.8018018019</v>
      </c>
      <c r="AF402" s="84">
        <v>2000000</v>
      </c>
      <c r="AG402" s="62" t="s">
        <v>38</v>
      </c>
      <c r="AH402" s="63" t="str">
        <f>[1]Data2025!W401</f>
        <v>081375309828</v>
      </c>
    </row>
    <row r="403" spans="1:34" s="88" customFormat="1" ht="16.5" thickTop="1" thickBot="1">
      <c r="A403" s="41">
        <f>[1]Data2025!G402</f>
        <v>396</v>
      </c>
      <c r="B403" s="42">
        <f>[1]Data2025!K402</f>
        <v>0</v>
      </c>
      <c r="C403" s="43" t="str">
        <f>[1]Data2025!D402</f>
        <v>06. 05. 09.</v>
      </c>
      <c r="D403" s="44" t="str">
        <f>[1]Data2025!C402</f>
        <v>5.1.02.01.01.0030</v>
      </c>
      <c r="E403" s="45">
        <f>[1]Data2025!E402</f>
        <v>0</v>
      </c>
      <c r="F403" s="46">
        <f>[1]Data2025!F402</f>
        <v>0</v>
      </c>
      <c r="G403" s="45">
        <f>[1]Data2025!H402</f>
        <v>0</v>
      </c>
      <c r="H403" s="45">
        <f t="shared" si="21"/>
        <v>0</v>
      </c>
      <c r="I403" s="47">
        <f>[1]Data2025!J402</f>
        <v>0</v>
      </c>
      <c r="J403" s="48" t="str">
        <f>[1]Data2025!L402</f>
        <v>Spon Cuci</v>
      </c>
      <c r="K403" s="48" t="str">
        <f t="shared" si="24"/>
        <v>Spon Cuci</v>
      </c>
      <c r="L403" s="49">
        <f>[1]Data2025!N402</f>
        <v>5</v>
      </c>
      <c r="M403" s="49" t="str">
        <f>[1]Data2025!O402</f>
        <v>buah</v>
      </c>
      <c r="N403" s="50">
        <f>[1]Data2025!P402</f>
        <v>12000</v>
      </c>
      <c r="O403" s="51">
        <f>[1]Data2025!Q402</f>
        <v>60000</v>
      </c>
      <c r="P403" s="52" t="s">
        <v>54</v>
      </c>
      <c r="Q403" s="53" t="str">
        <f>VLOOKUP(K403,[1]Sheet1!$C$1:$D$101,2,)</f>
        <v>Spon Cuci (ukuran tebal 3 cm, panjang 7cm x 9cm)</v>
      </c>
      <c r="R403" s="77">
        <v>2000000</v>
      </c>
      <c r="S403" s="78">
        <v>2002000</v>
      </c>
      <c r="T403" s="56" t="str">
        <f>[1]Data2025!T402</f>
        <v>UD. JOSUA</v>
      </c>
      <c r="U403" s="80" t="s">
        <v>35</v>
      </c>
      <c r="V403" s="56" t="str">
        <f>[1]Data2025!V402</f>
        <v>Gestiwan Bazikho</v>
      </c>
      <c r="W403" s="56" t="str">
        <f>[1]Data2025!X402</f>
        <v>Jl. Diponegoro Kel. Pasar Telukdalam - Nias Selatan</v>
      </c>
      <c r="X403" s="80" t="s">
        <v>78</v>
      </c>
      <c r="Y403" s="57" t="str">
        <f t="shared" si="22"/>
        <v>Alat Kebersihan</v>
      </c>
      <c r="Z403" s="58" t="str">
        <f t="shared" si="23"/>
        <v>Alat Kebersihan</v>
      </c>
      <c r="AA403" s="82" t="s">
        <v>73</v>
      </c>
      <c r="AB403" s="83">
        <v>2000000</v>
      </c>
      <c r="AC403" s="83">
        <v>2000000</v>
      </c>
      <c r="AD403" s="77">
        <v>2000000</v>
      </c>
      <c r="AE403" s="84">
        <v>1801801.8018018019</v>
      </c>
      <c r="AF403" s="84">
        <v>2000000</v>
      </c>
      <c r="AG403" s="62" t="s">
        <v>38</v>
      </c>
      <c r="AH403" s="63" t="str">
        <f>[1]Data2025!W402</f>
        <v>081375309828</v>
      </c>
    </row>
    <row r="404" spans="1:34" ht="16.5" thickTop="1" thickBot="1">
      <c r="A404" s="41">
        <f>[1]Data2025!G403</f>
        <v>397</v>
      </c>
      <c r="B404" s="42">
        <f>[1]Data2025!K403</f>
        <v>0</v>
      </c>
      <c r="C404" s="43" t="str">
        <f>[1]Data2025!D403</f>
        <v>06. 05. 09.</v>
      </c>
      <c r="D404" s="44" t="str">
        <f>[1]Data2025!C403</f>
        <v>5.1.02.01.01.0030</v>
      </c>
      <c r="E404" s="45">
        <f>[1]Data2025!E403</f>
        <v>0</v>
      </c>
      <c r="F404" s="46">
        <f>[1]Data2025!F403</f>
        <v>0</v>
      </c>
      <c r="G404" s="45">
        <f>[1]Data2025!H403</f>
        <v>0</v>
      </c>
      <c r="H404" s="45">
        <f t="shared" si="21"/>
        <v>0</v>
      </c>
      <c r="I404" s="47">
        <f>[1]Data2025!J403</f>
        <v>0</v>
      </c>
      <c r="J404" s="48" t="str">
        <f>[1]Data2025!L403</f>
        <v>Handsoap/Pencuci Tangan</v>
      </c>
      <c r="K404" s="48" t="str">
        <f t="shared" si="24"/>
        <v>Handsoap/Pencuci Tangan</v>
      </c>
      <c r="L404" s="49">
        <f>[1]Data2025!N403</f>
        <v>5</v>
      </c>
      <c r="M404" s="49" t="str">
        <f>[1]Data2025!O403</f>
        <v>botol</v>
      </c>
      <c r="N404" s="50">
        <f>[1]Data2025!P403</f>
        <v>67000</v>
      </c>
      <c r="O404" s="51">
        <f>[1]Data2025!Q403</f>
        <v>335000</v>
      </c>
      <c r="P404" s="52" t="s">
        <v>54</v>
      </c>
      <c r="Q404" s="53" t="str">
        <f>VLOOKUP(K404,[1]Sheet1!$C$1:$D$101,2,)</f>
        <v>Handsoap/Pencuci Tangan (Antibacterial Hand Soap - 250ml, ekstrak aloevera)</v>
      </c>
      <c r="R404" s="77">
        <v>2000000</v>
      </c>
      <c r="S404" s="78">
        <v>2002000</v>
      </c>
      <c r="T404" s="56" t="str">
        <f>[1]Data2025!T403</f>
        <v>UD. JOSUA</v>
      </c>
      <c r="U404" s="57" t="s">
        <v>35</v>
      </c>
      <c r="V404" s="56" t="str">
        <f>[1]Data2025!V403</f>
        <v>Gestiwan Bazikho</v>
      </c>
      <c r="W404" s="56" t="str">
        <f>[1]Data2025!X403</f>
        <v>Jl. Diponegoro Kel. Pasar Telukdalam - Nias Selatan</v>
      </c>
      <c r="X404" s="57" t="s">
        <v>78</v>
      </c>
      <c r="Y404" s="57" t="str">
        <f t="shared" si="22"/>
        <v>Alat Kebersihan</v>
      </c>
      <c r="Z404" s="58" t="str">
        <f t="shared" si="23"/>
        <v>Alat Kebersihan</v>
      </c>
      <c r="AA404" s="82" t="s">
        <v>73</v>
      </c>
      <c r="AB404" s="60">
        <v>2000000</v>
      </c>
      <c r="AC404" s="60">
        <v>2000000</v>
      </c>
      <c r="AD404" s="54">
        <v>2000000</v>
      </c>
      <c r="AE404" s="61">
        <v>1801801.8018018019</v>
      </c>
      <c r="AF404" s="61">
        <v>2000000</v>
      </c>
      <c r="AG404" s="62" t="s">
        <v>38</v>
      </c>
      <c r="AH404" s="63" t="str">
        <f>[1]Data2025!W403</f>
        <v>081375309828</v>
      </c>
    </row>
    <row r="405" spans="1:34" ht="16.5" thickTop="1" thickBot="1">
      <c r="A405" s="41">
        <f>[1]Data2025!G404</f>
        <v>398</v>
      </c>
      <c r="B405" s="42">
        <f>[1]Data2025!K404</f>
        <v>0</v>
      </c>
      <c r="C405" s="43" t="str">
        <f>[1]Data2025!D404</f>
        <v>06. 05. 09.</v>
      </c>
      <c r="D405" s="44" t="str">
        <f>[1]Data2025!C404</f>
        <v>5.1.02.01.01.0030</v>
      </c>
      <c r="E405" s="45">
        <f>[1]Data2025!E404</f>
        <v>0</v>
      </c>
      <c r="F405" s="46">
        <f>[1]Data2025!F404</f>
        <v>0</v>
      </c>
      <c r="G405" s="45">
        <f>[1]Data2025!H404</f>
        <v>0</v>
      </c>
      <c r="H405" s="45">
        <f t="shared" si="21"/>
        <v>0</v>
      </c>
      <c r="I405" s="47">
        <f>[1]Data2025!J404</f>
        <v>0</v>
      </c>
      <c r="J405" s="48" t="str">
        <f>[1]Data2025!L404</f>
        <v>Pengharum Ruangan</v>
      </c>
      <c r="K405" s="48" t="str">
        <f t="shared" si="24"/>
        <v>Pengharum Ruangan</v>
      </c>
      <c r="L405" s="49">
        <f>[1]Data2025!N404</f>
        <v>10</v>
      </c>
      <c r="M405" s="49" t="str">
        <f>[1]Data2025!O404</f>
        <v>buah</v>
      </c>
      <c r="N405" s="50">
        <f>[1]Data2025!P404</f>
        <v>12100</v>
      </c>
      <c r="O405" s="51">
        <f>[1]Data2025!Q404</f>
        <v>121000</v>
      </c>
      <c r="P405" s="52" t="s">
        <v>54</v>
      </c>
      <c r="Q405" s="53" t="str">
        <f>VLOOKUP(K405,[1]Sheet1!$C$1:$D$101,2,)</f>
        <v>Pengharum Ruangan (Stella Pengharum Ruangan Gantung Lavender 42 g)</v>
      </c>
      <c r="R405" s="77">
        <v>2000000</v>
      </c>
      <c r="S405" s="78">
        <v>2002000</v>
      </c>
      <c r="T405" s="56" t="str">
        <f>[1]Data2025!T404</f>
        <v>UD. JOSUA</v>
      </c>
      <c r="U405" s="57" t="s">
        <v>35</v>
      </c>
      <c r="V405" s="56" t="str">
        <f>[1]Data2025!V404</f>
        <v>Gestiwan Bazikho</v>
      </c>
      <c r="W405" s="56" t="str">
        <f>[1]Data2025!X404</f>
        <v>Jl. Diponegoro Kel. Pasar Telukdalam - Nias Selatan</v>
      </c>
      <c r="X405" s="57" t="s">
        <v>78</v>
      </c>
      <c r="Y405" s="57" t="str">
        <f t="shared" si="22"/>
        <v>Alat Kebersihan</v>
      </c>
      <c r="Z405" s="58" t="str">
        <f t="shared" si="23"/>
        <v>Alat Kebersihan</v>
      </c>
      <c r="AA405" s="82" t="s">
        <v>73</v>
      </c>
      <c r="AB405" s="60">
        <v>2000000</v>
      </c>
      <c r="AC405" s="60">
        <v>2000000</v>
      </c>
      <c r="AD405" s="54">
        <v>2000000</v>
      </c>
      <c r="AE405" s="61">
        <v>1801801.8018018019</v>
      </c>
      <c r="AF405" s="61">
        <v>2000000</v>
      </c>
      <c r="AG405" s="62" t="s">
        <v>38</v>
      </c>
      <c r="AH405" s="63" t="str">
        <f>[1]Data2025!W404</f>
        <v>081375309828</v>
      </c>
    </row>
    <row r="406" spans="1:34" ht="16.5" thickTop="1" thickBot="1">
      <c r="A406" s="41">
        <f>[1]Data2025!G405</f>
        <v>399</v>
      </c>
      <c r="B406" s="42">
        <f>[1]Data2025!K405</f>
        <v>0</v>
      </c>
      <c r="C406" s="43" t="str">
        <f>[1]Data2025!D405</f>
        <v>06. 05. 09.</v>
      </c>
      <c r="D406" s="44" t="str">
        <f>[1]Data2025!C405</f>
        <v>5.1.02.01.01.0030</v>
      </c>
      <c r="E406" s="45">
        <f>[1]Data2025!E405</f>
        <v>0</v>
      </c>
      <c r="F406" s="46">
        <f>[1]Data2025!F405</f>
        <v>0</v>
      </c>
      <c r="G406" s="45">
        <f>[1]Data2025!H405</f>
        <v>0</v>
      </c>
      <c r="H406" s="45">
        <f t="shared" si="21"/>
        <v>0</v>
      </c>
      <c r="I406" s="47">
        <f>[1]Data2025!J405</f>
        <v>0</v>
      </c>
      <c r="J406" s="48" t="str">
        <f>[1]Data2025!L405</f>
        <v>Hand Sanitizer-Unit</v>
      </c>
      <c r="K406" s="48" t="str">
        <f t="shared" si="24"/>
        <v>Hand Sanitizer-Unit</v>
      </c>
      <c r="L406" s="49">
        <f>[1]Data2025!N405</f>
        <v>5</v>
      </c>
      <c r="M406" s="49" t="str">
        <f>[1]Data2025!O405</f>
        <v>unit</v>
      </c>
      <c r="N406" s="50">
        <f>[1]Data2025!P405</f>
        <v>70000</v>
      </c>
      <c r="O406" s="51">
        <f>[1]Data2025!Q405</f>
        <v>350000</v>
      </c>
      <c r="P406" s="52" t="s">
        <v>54</v>
      </c>
      <c r="Q406" s="53" t="str">
        <f>VLOOKUP(K406,[1]Sheet1!$C$1:$D$101,2,)</f>
        <v>Hand Sanitizer (Kemasan Botol 500ml)</v>
      </c>
      <c r="R406" s="77">
        <v>2000000</v>
      </c>
      <c r="S406" s="78">
        <v>2002000</v>
      </c>
      <c r="T406" s="56" t="str">
        <f>[1]Data2025!T405</f>
        <v>UD. JOSUA</v>
      </c>
      <c r="U406" s="57" t="s">
        <v>35</v>
      </c>
      <c r="V406" s="56" t="str">
        <f>[1]Data2025!V405</f>
        <v>Gestiwan Bazikho</v>
      </c>
      <c r="W406" s="56" t="str">
        <f>[1]Data2025!X405</f>
        <v>Jl. Diponegoro Kel. Pasar Telukdalam - Nias Selatan</v>
      </c>
      <c r="X406" s="57" t="s">
        <v>78</v>
      </c>
      <c r="Y406" s="57" t="str">
        <f t="shared" si="22"/>
        <v>Alat Kebersihan</v>
      </c>
      <c r="Z406" s="58" t="str">
        <f t="shared" si="23"/>
        <v>Alat Kebersihan</v>
      </c>
      <c r="AA406" s="82" t="s">
        <v>73</v>
      </c>
      <c r="AB406" s="60">
        <v>2000000</v>
      </c>
      <c r="AC406" s="60">
        <v>2000000</v>
      </c>
      <c r="AD406" s="54">
        <v>2000000</v>
      </c>
      <c r="AE406" s="61">
        <v>1801801.8018018019</v>
      </c>
      <c r="AF406" s="61">
        <v>2000000</v>
      </c>
      <c r="AG406" s="62" t="s">
        <v>38</v>
      </c>
      <c r="AH406" s="63" t="str">
        <f>[1]Data2025!W405</f>
        <v>081375309828</v>
      </c>
    </row>
    <row r="407" spans="1:34" ht="16.5" thickTop="1" thickBot="1">
      <c r="A407" s="41">
        <f>[1]Data2025!G406</f>
        <v>400</v>
      </c>
      <c r="B407" s="42">
        <f>[1]Data2025!K406</f>
        <v>0</v>
      </c>
      <c r="C407" s="43" t="str">
        <f>[1]Data2025!D406</f>
        <v>06. 07. 01.</v>
      </c>
      <c r="D407" s="44" t="str">
        <f>[1]Data2025!C406</f>
        <v>5.1.02.02.01.0061</v>
      </c>
      <c r="E407" s="45">
        <f>[1]Data2025!E406</f>
        <v>0</v>
      </c>
      <c r="F407" s="46">
        <f>[1]Data2025!F406</f>
        <v>0</v>
      </c>
      <c r="G407" s="45">
        <f>[1]Data2025!H406</f>
        <v>0</v>
      </c>
      <c r="H407" s="45">
        <f t="shared" si="21"/>
        <v>0</v>
      </c>
      <c r="I407" s="47">
        <f>[1]Data2025!J406</f>
        <v>0</v>
      </c>
      <c r="J407" s="48" t="str">
        <f>[1]Data2025!L406</f>
        <v>Biaya Rekening Listrik--</v>
      </c>
      <c r="K407" s="48" t="str">
        <f>[1]Data2025!M406</f>
        <v>Langanan Jasa Listrik</v>
      </c>
      <c r="L407" s="49">
        <f>[1]Data2025!N406</f>
        <v>1</v>
      </c>
      <c r="M407" s="49" t="str">
        <f>[1]Data2025!O406</f>
        <v>bulan</v>
      </c>
      <c r="N407" s="50">
        <f>[1]Data2025!P406</f>
        <v>2000000</v>
      </c>
      <c r="O407" s="51">
        <f>[1]Data2025!Q406</f>
        <v>2000000</v>
      </c>
      <c r="P407" s="52" t="s">
        <v>71</v>
      </c>
      <c r="Q407" s="53" t="e">
        <f>VLOOKUP(K407,[1]Sheet1!$C$1:$D$101,2,)</f>
        <v>#N/A</v>
      </c>
      <c r="R407" s="77">
        <v>1000000</v>
      </c>
      <c r="S407" s="78">
        <v>1002000</v>
      </c>
      <c r="T407" s="56">
        <f>[1]Data2025!T406</f>
        <v>0</v>
      </c>
      <c r="U407" s="57" t="s">
        <v>35</v>
      </c>
      <c r="V407" s="56" t="e">
        <f>[1]Data2025!V406</f>
        <v>#N/A</v>
      </c>
      <c r="W407" s="56" t="e">
        <f>[1]Data2025!X406</f>
        <v>#N/A</v>
      </c>
      <c r="X407" s="57" t="s">
        <v>78</v>
      </c>
      <c r="Y407" s="57" t="str">
        <f t="shared" si="22"/>
        <v>Jasa PLN</v>
      </c>
      <c r="Z407" s="58" t="str">
        <f t="shared" si="23"/>
        <v>Jasa PLN</v>
      </c>
      <c r="AA407" s="82" t="s">
        <v>73</v>
      </c>
      <c r="AB407" s="60">
        <v>1000000</v>
      </c>
      <c r="AC407" s="60">
        <v>1000000</v>
      </c>
      <c r="AD407" s="54">
        <v>1000000</v>
      </c>
      <c r="AE407" s="61">
        <v>900900.90090090095</v>
      </c>
      <c r="AF407" s="61">
        <v>1000000</v>
      </c>
      <c r="AG407" s="62" t="s">
        <v>38</v>
      </c>
      <c r="AH407" s="63" t="e">
        <f>[1]Data2025!W406</f>
        <v>#N/A</v>
      </c>
    </row>
    <row r="408" spans="1:34" ht="16.5" thickTop="1" thickBot="1">
      <c r="A408" s="41">
        <f>[1]Data2025!G407</f>
        <v>401</v>
      </c>
      <c r="B408" s="42">
        <f>[1]Data2025!K407</f>
        <v>0</v>
      </c>
      <c r="C408" s="43" t="str">
        <f>[1]Data2025!D407</f>
        <v>06. 07. 05.</v>
      </c>
      <c r="D408" s="44" t="str">
        <f>[1]Data2025!C407</f>
        <v>5.1.02.02.01.0063</v>
      </c>
      <c r="E408" s="45">
        <f>[1]Data2025!E407</f>
        <v>0</v>
      </c>
      <c r="F408" s="46">
        <f>[1]Data2025!F407</f>
        <v>0</v>
      </c>
      <c r="G408" s="45">
        <f>[1]Data2025!H407</f>
        <v>0</v>
      </c>
      <c r="H408" s="45">
        <f t="shared" si="21"/>
        <v>0</v>
      </c>
      <c r="I408" s="47">
        <f>[1]Data2025!J407</f>
        <v>0</v>
      </c>
      <c r="J408" s="48" t="str">
        <f>[1]Data2025!L407</f>
        <v>Biaya Langganan Internet--</v>
      </c>
      <c r="K408" s="48" t="str">
        <f>[1]Data2025!M407</f>
        <v>Langganan Jasa Indihome</v>
      </c>
      <c r="L408" s="49">
        <f>[1]Data2025!N407</f>
        <v>1</v>
      </c>
      <c r="M408" s="49" t="str">
        <f>[1]Data2025!O407</f>
        <v>bulan</v>
      </c>
      <c r="N408" s="50">
        <f>[1]Data2025!P407</f>
        <v>1500000</v>
      </c>
      <c r="O408" s="51">
        <f>[1]Data2025!Q407</f>
        <v>1500000</v>
      </c>
      <c r="P408" s="52" t="s">
        <v>74</v>
      </c>
      <c r="Q408" s="53" t="e">
        <f>VLOOKUP(K408,[1]Sheet1!$C$1:$D$101,2,)</f>
        <v>#N/A</v>
      </c>
      <c r="R408" s="54">
        <v>1250000</v>
      </c>
      <c r="S408" s="55">
        <v>1300000</v>
      </c>
      <c r="T408" s="56">
        <f>[1]Data2025!T407</f>
        <v>0</v>
      </c>
      <c r="U408" s="57" t="s">
        <v>60</v>
      </c>
      <c r="V408" s="56" t="e">
        <f>[1]Data2025!V407</f>
        <v>#N/A</v>
      </c>
      <c r="W408" s="56" t="e">
        <f>[1]Data2025!X407</f>
        <v>#N/A</v>
      </c>
      <c r="X408" s="57" t="s">
        <v>61</v>
      </c>
      <c r="Y408" s="57" t="str">
        <f t="shared" si="22"/>
        <v>Jasa Internet</v>
      </c>
      <c r="Z408" s="58" t="str">
        <f t="shared" si="23"/>
        <v>Jasa Internet</v>
      </c>
      <c r="AA408" s="59" t="s">
        <v>65</v>
      </c>
      <c r="AB408" s="60">
        <v>50000</v>
      </c>
      <c r="AC408" s="60">
        <v>1250000</v>
      </c>
      <c r="AD408" s="54">
        <v>1250000</v>
      </c>
      <c r="AE408" s="61">
        <v>1126126.1261261262</v>
      </c>
      <c r="AF408" s="61">
        <v>1250000</v>
      </c>
      <c r="AG408" s="62" t="s">
        <v>38</v>
      </c>
      <c r="AH408" s="63" t="e">
        <f>[1]Data2025!W407</f>
        <v>#N/A</v>
      </c>
    </row>
    <row r="409" spans="1:34" ht="16.5" thickTop="1" thickBot="1">
      <c r="A409" s="41">
        <f>[1]Data2025!G408</f>
        <v>402</v>
      </c>
      <c r="B409" s="42">
        <f>[1]Data2025!K408</f>
        <v>0</v>
      </c>
      <c r="C409" s="43" t="str">
        <f>[1]Data2025!D408</f>
        <v>07. 12. 01.</v>
      </c>
      <c r="D409" s="44" t="str">
        <f>[1]Data2025!C408</f>
        <v>5.1.02.02.01.0013</v>
      </c>
      <c r="E409" s="45">
        <f>[1]Data2025!E408</f>
        <v>0</v>
      </c>
      <c r="F409" s="46">
        <f>[1]Data2025!F408</f>
        <v>0</v>
      </c>
      <c r="G409" s="45">
        <f>[1]Data2025!H408</f>
        <v>0</v>
      </c>
      <c r="H409" s="45">
        <f t="shared" si="21"/>
        <v>0</v>
      </c>
      <c r="I409" s="47">
        <f>[1]Data2025!J408</f>
        <v>0</v>
      </c>
      <c r="J409" s="48" t="str">
        <f>[1]Data2025!L408</f>
        <v>Selatieli Nehe</v>
      </c>
      <c r="K409" s="48" t="str">
        <f>[1]Data2025!M408</f>
        <v>Gaji Guru Tidak Tetap Sekolah</v>
      </c>
      <c r="L409" s="49">
        <f>[1]Data2025!N408</f>
        <v>41</v>
      </c>
      <c r="M409" s="49" t="str">
        <f>[1]Data2025!O408</f>
        <v>jpl</v>
      </c>
      <c r="N409" s="50">
        <f>[1]Data2025!P408</f>
        <v>60000</v>
      </c>
      <c r="O409" s="51">
        <f>[1]Data2025!Q408</f>
        <v>2460000</v>
      </c>
      <c r="P409" s="52" t="s">
        <v>76</v>
      </c>
      <c r="Q409" s="53" t="e">
        <f>VLOOKUP(K409,[1]Sheet1!$C$1:$D$101,2,)</f>
        <v>#N/A</v>
      </c>
      <c r="R409" s="54">
        <v>32400000</v>
      </c>
      <c r="S409" s="55">
        <v>32402000</v>
      </c>
      <c r="T409" s="56">
        <f>[1]Data2025!T408</f>
        <v>0</v>
      </c>
      <c r="U409" s="57" t="s">
        <v>66</v>
      </c>
      <c r="V409" s="56" t="e">
        <f>[1]Data2025!V408</f>
        <v>#N/A</v>
      </c>
      <c r="W409" s="56" t="e">
        <f>[1]Data2025!X408</f>
        <v>#N/A</v>
      </c>
      <c r="X409" s="57" t="s">
        <v>67</v>
      </c>
      <c r="Y409" s="57" t="str">
        <f t="shared" si="22"/>
        <v>Honorarium</v>
      </c>
      <c r="Z409" s="58" t="str">
        <f t="shared" si="23"/>
        <v>Honorarium</v>
      </c>
      <c r="AA409" s="59" t="s">
        <v>55</v>
      </c>
      <c r="AB409" s="60">
        <v>32400000</v>
      </c>
      <c r="AC409" s="60">
        <v>32400000</v>
      </c>
      <c r="AD409" s="54">
        <v>32400000</v>
      </c>
      <c r="AE409" s="61">
        <v>29189189.189189188</v>
      </c>
      <c r="AF409" s="61">
        <v>32400000</v>
      </c>
      <c r="AG409" s="62" t="s">
        <v>38</v>
      </c>
      <c r="AH409" s="63" t="e">
        <f>[1]Data2025!W408</f>
        <v>#N/A</v>
      </c>
    </row>
    <row r="410" spans="1:34" ht="16.5" thickTop="1" thickBot="1">
      <c r="A410" s="41">
        <f>[1]Data2025!G409</f>
        <v>403</v>
      </c>
      <c r="B410" s="42">
        <f>[1]Data2025!K409</f>
        <v>0</v>
      </c>
      <c r="C410" s="43" t="str">
        <f>[1]Data2025!D409</f>
        <v>07. 12. 01.</v>
      </c>
      <c r="D410" s="44" t="str">
        <f>[1]Data2025!C409</f>
        <v>5.1.02.02.01.0013</v>
      </c>
      <c r="E410" s="45">
        <f>[1]Data2025!E409</f>
        <v>0</v>
      </c>
      <c r="F410" s="46">
        <f>[1]Data2025!F409</f>
        <v>0</v>
      </c>
      <c r="G410" s="45">
        <f>[1]Data2025!H409</f>
        <v>0</v>
      </c>
      <c r="H410" s="45">
        <f t="shared" si="21"/>
        <v>0</v>
      </c>
      <c r="I410" s="47">
        <f>[1]Data2025!J409</f>
        <v>0</v>
      </c>
      <c r="J410" s="48" t="str">
        <f>[1]Data2025!L409</f>
        <v>Arifin Metodi Bate'e</v>
      </c>
      <c r="K410" s="48" t="str">
        <f>[1]Data2025!M409</f>
        <v>Gaji Guru Tidak Tetap Sekolah</v>
      </c>
      <c r="L410" s="49">
        <f>[1]Data2025!N409</f>
        <v>34</v>
      </c>
      <c r="M410" s="49" t="str">
        <f>[1]Data2025!O409</f>
        <v>jpl</v>
      </c>
      <c r="N410" s="50">
        <f>[1]Data2025!P409</f>
        <v>60000</v>
      </c>
      <c r="O410" s="51">
        <f>[1]Data2025!Q409</f>
        <v>2040000</v>
      </c>
      <c r="P410" s="52" t="s">
        <v>76</v>
      </c>
      <c r="Q410" s="53" t="e">
        <f>VLOOKUP(K410,[1]Sheet1!$C$1:$D$101,2,)</f>
        <v>#N/A</v>
      </c>
      <c r="R410" s="77">
        <v>16600000</v>
      </c>
      <c r="S410" s="78">
        <v>16602000</v>
      </c>
      <c r="T410" s="56">
        <f>[1]Data2025!T409</f>
        <v>0</v>
      </c>
      <c r="U410" s="57" t="s">
        <v>35</v>
      </c>
      <c r="V410" s="56" t="e">
        <f>[1]Data2025!V409</f>
        <v>#N/A</v>
      </c>
      <c r="W410" s="56" t="e">
        <f>[1]Data2025!X409</f>
        <v>#N/A</v>
      </c>
      <c r="X410" s="57" t="s">
        <v>78</v>
      </c>
      <c r="Y410" s="57" t="str">
        <f t="shared" si="22"/>
        <v>Honorarium</v>
      </c>
      <c r="Z410" s="58" t="str">
        <f t="shared" si="23"/>
        <v>Honorarium</v>
      </c>
      <c r="AA410" s="82" t="s">
        <v>86</v>
      </c>
      <c r="AB410" s="60">
        <v>16600000</v>
      </c>
      <c r="AC410" s="60">
        <v>16600000</v>
      </c>
      <c r="AD410" s="54">
        <v>16600000</v>
      </c>
      <c r="AE410" s="61">
        <v>14954954.954954956</v>
      </c>
      <c r="AF410" s="61">
        <v>16600000</v>
      </c>
      <c r="AG410" s="62" t="s">
        <v>38</v>
      </c>
      <c r="AH410" s="63" t="e">
        <f>[1]Data2025!W409</f>
        <v>#N/A</v>
      </c>
    </row>
    <row r="411" spans="1:34" ht="16.5" thickTop="1" thickBot="1">
      <c r="A411" s="41">
        <f>[1]Data2025!G410</f>
        <v>404</v>
      </c>
      <c r="B411" s="42">
        <f>[1]Data2025!K410</f>
        <v>0</v>
      </c>
      <c r="C411" s="43" t="str">
        <f>[1]Data2025!D410</f>
        <v>07. 12. 01.</v>
      </c>
      <c r="D411" s="44" t="str">
        <f>[1]Data2025!C410</f>
        <v>5.1.02.02.01.0013</v>
      </c>
      <c r="E411" s="45">
        <f>[1]Data2025!E410</f>
        <v>0</v>
      </c>
      <c r="F411" s="46">
        <f>[1]Data2025!F410</f>
        <v>0</v>
      </c>
      <c r="G411" s="45">
        <f>[1]Data2025!H410</f>
        <v>0</v>
      </c>
      <c r="H411" s="45">
        <f t="shared" si="21"/>
        <v>0</v>
      </c>
      <c r="I411" s="47">
        <f>[1]Data2025!J410</f>
        <v>0</v>
      </c>
      <c r="J411" s="48" t="str">
        <f>[1]Data2025!L410</f>
        <v>Ferdiwati Wau</v>
      </c>
      <c r="K411" s="48" t="str">
        <f>[1]Data2025!M410</f>
        <v>Gaji Guru Tidak Tetap Sekolah</v>
      </c>
      <c r="L411" s="49">
        <f>[1]Data2025!N410</f>
        <v>34</v>
      </c>
      <c r="M411" s="49" t="str">
        <f>[1]Data2025!O410</f>
        <v>jpl</v>
      </c>
      <c r="N411" s="50">
        <f>[1]Data2025!P410</f>
        <v>60000</v>
      </c>
      <c r="O411" s="51">
        <f>[1]Data2025!Q410</f>
        <v>2040000</v>
      </c>
      <c r="P411" s="52" t="s">
        <v>76</v>
      </c>
      <c r="Q411" s="53" t="e">
        <f>VLOOKUP(K411,[1]Sheet1!$C$1:$D$101,2,)</f>
        <v>#N/A</v>
      </c>
      <c r="R411" s="54">
        <v>900000</v>
      </c>
      <c r="S411" s="55">
        <v>1020000</v>
      </c>
      <c r="T411" s="56">
        <f>[1]Data2025!T410</f>
        <v>0</v>
      </c>
      <c r="U411" s="57" t="s">
        <v>60</v>
      </c>
      <c r="V411" s="56" t="e">
        <f>[1]Data2025!V410</f>
        <v>#N/A</v>
      </c>
      <c r="W411" s="56" t="e">
        <f>[1]Data2025!X410</f>
        <v>#N/A</v>
      </c>
      <c r="X411" s="57" t="s">
        <v>61</v>
      </c>
      <c r="Y411" s="57" t="str">
        <f t="shared" si="22"/>
        <v>Honorarium</v>
      </c>
      <c r="Z411" s="58" t="str">
        <f t="shared" si="23"/>
        <v>Honorarium</v>
      </c>
      <c r="AA411" s="59" t="s">
        <v>42</v>
      </c>
      <c r="AB411" s="60">
        <v>15000</v>
      </c>
      <c r="AC411" s="60">
        <v>900000</v>
      </c>
      <c r="AD411" s="54">
        <v>900000</v>
      </c>
      <c r="AE411" s="61">
        <v>810810.81081081077</v>
      </c>
      <c r="AF411" s="61">
        <v>900000</v>
      </c>
      <c r="AG411" s="62" t="s">
        <v>38</v>
      </c>
      <c r="AH411" s="63" t="e">
        <f>[1]Data2025!W410</f>
        <v>#N/A</v>
      </c>
    </row>
    <row r="412" spans="1:34" ht="16.5" thickTop="1" thickBot="1">
      <c r="A412" s="41">
        <f>[1]Data2025!G411</f>
        <v>405</v>
      </c>
      <c r="B412" s="42">
        <f>[1]Data2025!K411</f>
        <v>0</v>
      </c>
      <c r="C412" s="43" t="str">
        <f>[1]Data2025!D411</f>
        <v>07. 12. 01.</v>
      </c>
      <c r="D412" s="44" t="str">
        <f>[1]Data2025!C411</f>
        <v>5.1.02.02.01.0013</v>
      </c>
      <c r="E412" s="45">
        <f>[1]Data2025!E411</f>
        <v>0</v>
      </c>
      <c r="F412" s="46">
        <f>[1]Data2025!F411</f>
        <v>0</v>
      </c>
      <c r="G412" s="45">
        <f>[1]Data2025!H411</f>
        <v>0</v>
      </c>
      <c r="H412" s="45">
        <f t="shared" si="21"/>
        <v>0</v>
      </c>
      <c r="I412" s="47">
        <f>[1]Data2025!J411</f>
        <v>0</v>
      </c>
      <c r="J412" s="48" t="str">
        <f>[1]Data2025!L411</f>
        <v>Noni Alfanita Sarumaha, S.Pd</v>
      </c>
      <c r="K412" s="48" t="str">
        <f>[1]Data2025!M411</f>
        <v>Gaji Guru Tidak Tetap Sekolah</v>
      </c>
      <c r="L412" s="49">
        <f>[1]Data2025!N411</f>
        <v>37</v>
      </c>
      <c r="M412" s="49" t="str">
        <f>[1]Data2025!O411</f>
        <v>jpl</v>
      </c>
      <c r="N412" s="50">
        <f>[1]Data2025!P411</f>
        <v>60000</v>
      </c>
      <c r="O412" s="51">
        <f>[1]Data2025!Q411</f>
        <v>2220000</v>
      </c>
      <c r="P412" s="52" t="s">
        <v>76</v>
      </c>
      <c r="Q412" s="53" t="e">
        <f>VLOOKUP(K412,[1]Sheet1!$C$1:$D$101,2,)</f>
        <v>#N/A</v>
      </c>
      <c r="R412" s="77">
        <v>55000</v>
      </c>
      <c r="S412" s="78">
        <v>65000</v>
      </c>
      <c r="T412" s="56">
        <f>[1]Data2025!T411</f>
        <v>0</v>
      </c>
      <c r="U412" s="80" t="s">
        <v>35</v>
      </c>
      <c r="V412" s="56" t="e">
        <f>[1]Data2025!V411</f>
        <v>#N/A</v>
      </c>
      <c r="W412" s="56" t="e">
        <f>[1]Data2025!X411</f>
        <v>#N/A</v>
      </c>
      <c r="X412" s="80" t="s">
        <v>36</v>
      </c>
      <c r="Y412" s="57" t="str">
        <f t="shared" si="22"/>
        <v>Honorarium</v>
      </c>
      <c r="Z412" s="58" t="str">
        <f t="shared" si="23"/>
        <v>Honorarium</v>
      </c>
      <c r="AA412" s="82" t="s">
        <v>37</v>
      </c>
      <c r="AB412" s="60">
        <v>11000</v>
      </c>
      <c r="AC412" s="60">
        <v>55000</v>
      </c>
      <c r="AD412" s="54">
        <v>55000</v>
      </c>
      <c r="AE412" s="61">
        <v>49549.549549549549</v>
      </c>
      <c r="AF412" s="61">
        <v>55000</v>
      </c>
      <c r="AG412" s="62" t="s">
        <v>38</v>
      </c>
      <c r="AH412" s="63" t="e">
        <f>[1]Data2025!W411</f>
        <v>#N/A</v>
      </c>
    </row>
    <row r="413" spans="1:34" s="88" customFormat="1" ht="16.5" thickTop="1" thickBot="1">
      <c r="A413" s="41">
        <f>[1]Data2025!G412</f>
        <v>406</v>
      </c>
      <c r="B413" s="42">
        <f>[1]Data2025!K412</f>
        <v>0</v>
      </c>
      <c r="C413" s="43" t="str">
        <f>[1]Data2025!D412</f>
        <v>07. 12. 01.</v>
      </c>
      <c r="D413" s="44" t="str">
        <f>[1]Data2025!C412</f>
        <v>5.1.02.02.01.0013</v>
      </c>
      <c r="E413" s="45">
        <f>[1]Data2025!E412</f>
        <v>0</v>
      </c>
      <c r="F413" s="46">
        <f>[1]Data2025!F412</f>
        <v>0</v>
      </c>
      <c r="G413" s="45">
        <f>[1]Data2025!H412</f>
        <v>0</v>
      </c>
      <c r="H413" s="45">
        <f t="shared" si="21"/>
        <v>0</v>
      </c>
      <c r="I413" s="47">
        <f>[1]Data2025!J412</f>
        <v>0</v>
      </c>
      <c r="J413" s="48" t="str">
        <f>[1]Data2025!L412</f>
        <v>EMILA HAFO</v>
      </c>
      <c r="K413" s="48" t="str">
        <f>[1]Data2025!M412</f>
        <v>Gaji Guru Tidak Tetap Sekolah</v>
      </c>
      <c r="L413" s="49">
        <f>[1]Data2025!N412</f>
        <v>35</v>
      </c>
      <c r="M413" s="49" t="str">
        <f>[1]Data2025!O412</f>
        <v>jpl</v>
      </c>
      <c r="N413" s="50">
        <f>[1]Data2025!P412</f>
        <v>60000</v>
      </c>
      <c r="O413" s="51">
        <f>[1]Data2025!Q412</f>
        <v>2100000</v>
      </c>
      <c r="P413" s="52" t="s">
        <v>76</v>
      </c>
      <c r="Q413" s="53" t="e">
        <f>VLOOKUP(K413,[1]Sheet1!$C$1:$D$101,2,)</f>
        <v>#N/A</v>
      </c>
      <c r="R413" s="77">
        <v>95000</v>
      </c>
      <c r="S413" s="78">
        <v>97000</v>
      </c>
      <c r="T413" s="56">
        <f>[1]Data2025!T412</f>
        <v>0</v>
      </c>
      <c r="U413" s="80" t="s">
        <v>35</v>
      </c>
      <c r="V413" s="56" t="e">
        <f>[1]Data2025!V412</f>
        <v>#N/A</v>
      </c>
      <c r="W413" s="56" t="e">
        <f>[1]Data2025!X412</f>
        <v>#N/A</v>
      </c>
      <c r="X413" s="80" t="s">
        <v>36</v>
      </c>
      <c r="Y413" s="57" t="str">
        <f t="shared" si="22"/>
        <v>Honorarium</v>
      </c>
      <c r="Z413" s="58" t="str">
        <f t="shared" si="23"/>
        <v>Honorarium</v>
      </c>
      <c r="AA413" s="82" t="s">
        <v>40</v>
      </c>
      <c r="AB413" s="83">
        <v>95000</v>
      </c>
      <c r="AC413" s="83">
        <v>95000</v>
      </c>
      <c r="AD413" s="77">
        <v>95000</v>
      </c>
      <c r="AE413" s="84">
        <v>85585.585585585592</v>
      </c>
      <c r="AF413" s="84">
        <v>95000</v>
      </c>
      <c r="AG413" s="62" t="s">
        <v>38</v>
      </c>
      <c r="AH413" s="63" t="e">
        <f>[1]Data2025!W412</f>
        <v>#N/A</v>
      </c>
    </row>
    <row r="414" spans="1:34" s="88" customFormat="1" ht="16.5" thickTop="1" thickBot="1">
      <c r="A414" s="41">
        <f>[1]Data2025!G413</f>
        <v>407</v>
      </c>
      <c r="B414" s="42">
        <f>[1]Data2025!K413</f>
        <v>0</v>
      </c>
      <c r="C414" s="43" t="str">
        <f>[1]Data2025!D413</f>
        <v>07. 12. 01.</v>
      </c>
      <c r="D414" s="44" t="str">
        <f>[1]Data2025!C413</f>
        <v>5.1.02.02.01.0013</v>
      </c>
      <c r="E414" s="45">
        <f>[1]Data2025!E413</f>
        <v>0</v>
      </c>
      <c r="F414" s="46">
        <f>[1]Data2025!F413</f>
        <v>0</v>
      </c>
      <c r="G414" s="45">
        <f>[1]Data2025!H413</f>
        <v>0</v>
      </c>
      <c r="H414" s="45">
        <f t="shared" si="21"/>
        <v>0</v>
      </c>
      <c r="I414" s="47">
        <f>[1]Data2025!J413</f>
        <v>0</v>
      </c>
      <c r="J414" s="48" t="str">
        <f>[1]Data2025!L413</f>
        <v>Asep Nurhidayat</v>
      </c>
      <c r="K414" s="48" t="str">
        <f>[1]Data2025!M413</f>
        <v>Gaji Guru Tidak Tetap Sekolah</v>
      </c>
      <c r="L414" s="49">
        <f>[1]Data2025!N413</f>
        <v>21</v>
      </c>
      <c r="M414" s="49" t="str">
        <f>[1]Data2025!O413</f>
        <v>jpl</v>
      </c>
      <c r="N414" s="50">
        <f>[1]Data2025!P413</f>
        <v>60000</v>
      </c>
      <c r="O414" s="51">
        <f>[1]Data2025!Q413</f>
        <v>1260000</v>
      </c>
      <c r="P414" s="52" t="s">
        <v>76</v>
      </c>
      <c r="Q414" s="53" t="e">
        <f>VLOOKUP(K414,[1]Sheet1!$C$1:$D$101,2,)</f>
        <v>#N/A</v>
      </c>
      <c r="R414" s="77">
        <v>550000</v>
      </c>
      <c r="S414" s="78">
        <v>750000</v>
      </c>
      <c r="T414" s="56">
        <f>[1]Data2025!T413</f>
        <v>0</v>
      </c>
      <c r="U414" s="80" t="s">
        <v>35</v>
      </c>
      <c r="V414" s="56" t="e">
        <f>[1]Data2025!V413</f>
        <v>#N/A</v>
      </c>
      <c r="W414" s="56" t="e">
        <f>[1]Data2025!X413</f>
        <v>#N/A</v>
      </c>
      <c r="X414" s="80" t="s">
        <v>36</v>
      </c>
      <c r="Y414" s="57" t="str">
        <f t="shared" si="22"/>
        <v>Honorarium</v>
      </c>
      <c r="Z414" s="58" t="str">
        <f t="shared" si="23"/>
        <v>Honorarium</v>
      </c>
      <c r="AA414" s="82" t="s">
        <v>42</v>
      </c>
      <c r="AB414" s="83">
        <v>5500</v>
      </c>
      <c r="AC414" s="83">
        <v>550000</v>
      </c>
      <c r="AD414" s="77">
        <v>550000</v>
      </c>
      <c r="AE414" s="84">
        <v>495495.4954954955</v>
      </c>
      <c r="AF414" s="84">
        <v>550000</v>
      </c>
      <c r="AG414" s="62" t="s">
        <v>38</v>
      </c>
      <c r="AH414" s="63" t="e">
        <f>[1]Data2025!W413</f>
        <v>#N/A</v>
      </c>
    </row>
    <row r="415" spans="1:34" s="88" customFormat="1" ht="16.5" thickTop="1" thickBot="1">
      <c r="A415" s="41">
        <f>[1]Data2025!G414</f>
        <v>408</v>
      </c>
      <c r="B415" s="42">
        <f>[1]Data2025!K414</f>
        <v>0</v>
      </c>
      <c r="C415" s="43" t="str">
        <f>[1]Data2025!D414</f>
        <v>07. 12. 01.</v>
      </c>
      <c r="D415" s="44" t="str">
        <f>[1]Data2025!C414</f>
        <v>5.1.02.02.01.0013</v>
      </c>
      <c r="E415" s="45">
        <f>[1]Data2025!E414</f>
        <v>0</v>
      </c>
      <c r="F415" s="46">
        <f>[1]Data2025!F414</f>
        <v>0</v>
      </c>
      <c r="G415" s="45">
        <f>[1]Data2025!H414</f>
        <v>0</v>
      </c>
      <c r="H415" s="45">
        <f t="shared" si="21"/>
        <v>0</v>
      </c>
      <c r="I415" s="47">
        <f>[1]Data2025!J414</f>
        <v>0</v>
      </c>
      <c r="J415" s="48" t="str">
        <f>[1]Data2025!L414</f>
        <v>Amonius Dakhi</v>
      </c>
      <c r="K415" s="48" t="str">
        <f>[1]Data2025!M414</f>
        <v>Gaji Guru Tidak Tetap Sekolah</v>
      </c>
      <c r="L415" s="49">
        <f>[1]Data2025!N414</f>
        <v>24</v>
      </c>
      <c r="M415" s="49" t="str">
        <f>[1]Data2025!O414</f>
        <v>orang / jam pelajaran</v>
      </c>
      <c r="N415" s="50">
        <f>[1]Data2025!P414</f>
        <v>50000</v>
      </c>
      <c r="O415" s="51">
        <f>[1]Data2025!Q414</f>
        <v>1200000</v>
      </c>
      <c r="P415" s="52" t="s">
        <v>76</v>
      </c>
      <c r="Q415" s="53" t="e">
        <f>VLOOKUP(K415,[1]Sheet1!$C$1:$D$101,2,)</f>
        <v>#N/A</v>
      </c>
      <c r="R415" s="77">
        <v>120000</v>
      </c>
      <c r="S415" s="78">
        <v>124000</v>
      </c>
      <c r="T415" s="56">
        <f>[1]Data2025!T414</f>
        <v>0</v>
      </c>
      <c r="U415" s="80" t="s">
        <v>35</v>
      </c>
      <c r="V415" s="56" t="e">
        <f>[1]Data2025!V414</f>
        <v>#N/A</v>
      </c>
      <c r="W415" s="56" t="e">
        <f>[1]Data2025!X414</f>
        <v>#N/A</v>
      </c>
      <c r="X415" s="80" t="s">
        <v>36</v>
      </c>
      <c r="Y415" s="57" t="str">
        <f t="shared" si="22"/>
        <v>Honorarium</v>
      </c>
      <c r="Z415" s="58" t="str">
        <f t="shared" si="23"/>
        <v>Honorarium</v>
      </c>
      <c r="AA415" s="82" t="s">
        <v>44</v>
      </c>
      <c r="AB415" s="83">
        <v>60000</v>
      </c>
      <c r="AC415" s="83">
        <v>120000</v>
      </c>
      <c r="AD415" s="77">
        <v>120000</v>
      </c>
      <c r="AE415" s="84">
        <v>108108.10810810811</v>
      </c>
      <c r="AF415" s="84">
        <v>120000</v>
      </c>
      <c r="AG415" s="62" t="s">
        <v>38</v>
      </c>
      <c r="AH415" s="63" t="e">
        <f>[1]Data2025!W414</f>
        <v>#N/A</v>
      </c>
    </row>
    <row r="416" spans="1:34" s="88" customFormat="1" ht="16.5" thickTop="1" thickBot="1">
      <c r="A416" s="41">
        <f>[1]Data2025!G415</f>
        <v>409</v>
      </c>
      <c r="B416" s="42">
        <f>[1]Data2025!K415</f>
        <v>0</v>
      </c>
      <c r="C416" s="43" t="str">
        <f>[1]Data2025!D415</f>
        <v>07. 12. 01.</v>
      </c>
      <c r="D416" s="44" t="str">
        <f>[1]Data2025!C415</f>
        <v>5.1.02.02.01.0013</v>
      </c>
      <c r="E416" s="45">
        <f>[1]Data2025!E415</f>
        <v>0</v>
      </c>
      <c r="F416" s="46">
        <f>[1]Data2025!F415</f>
        <v>0</v>
      </c>
      <c r="G416" s="45">
        <f>[1]Data2025!H415</f>
        <v>0</v>
      </c>
      <c r="H416" s="45">
        <f t="shared" si="21"/>
        <v>0</v>
      </c>
      <c r="I416" s="47">
        <f>[1]Data2025!J415</f>
        <v>0</v>
      </c>
      <c r="J416" s="48" t="str">
        <f>[1]Data2025!L415</f>
        <v>NELPI KARIANA WATI GOHAE</v>
      </c>
      <c r="K416" s="48" t="str">
        <f>[1]Data2025!M415</f>
        <v>Gaji Guru Tidak Tetap Sekolah</v>
      </c>
      <c r="L416" s="49">
        <f>[1]Data2025!N415</f>
        <v>24</v>
      </c>
      <c r="M416" s="49" t="str">
        <f>[1]Data2025!O415</f>
        <v>orang / jam pelajaran</v>
      </c>
      <c r="N416" s="50">
        <f>[1]Data2025!P415</f>
        <v>50000</v>
      </c>
      <c r="O416" s="51">
        <f>[1]Data2025!Q415</f>
        <v>1200000</v>
      </c>
      <c r="P416" s="52" t="s">
        <v>76</v>
      </c>
      <c r="Q416" s="53" t="e">
        <f>VLOOKUP(K416,[1]Sheet1!$C$1:$D$101,2,)</f>
        <v>#N/A</v>
      </c>
      <c r="R416" s="77">
        <v>40000</v>
      </c>
      <c r="S416" s="78">
        <v>44000</v>
      </c>
      <c r="T416" s="56">
        <f>[1]Data2025!T415</f>
        <v>0</v>
      </c>
      <c r="U416" s="80" t="s">
        <v>35</v>
      </c>
      <c r="V416" s="56" t="e">
        <f>[1]Data2025!V415</f>
        <v>#N/A</v>
      </c>
      <c r="W416" s="56" t="e">
        <f>[1]Data2025!X415</f>
        <v>#N/A</v>
      </c>
      <c r="X416" s="80" t="s">
        <v>36</v>
      </c>
      <c r="Y416" s="57" t="str">
        <f t="shared" si="22"/>
        <v>Honorarium</v>
      </c>
      <c r="Z416" s="58" t="str">
        <f t="shared" si="23"/>
        <v>Honorarium</v>
      </c>
      <c r="AA416" s="82" t="s">
        <v>42</v>
      </c>
      <c r="AB416" s="83">
        <v>20000</v>
      </c>
      <c r="AC416" s="83">
        <v>40000</v>
      </c>
      <c r="AD416" s="77">
        <v>40000</v>
      </c>
      <c r="AE416" s="84">
        <v>36036.036036036036</v>
      </c>
      <c r="AF416" s="84">
        <v>40000</v>
      </c>
      <c r="AG416" s="62" t="s">
        <v>38</v>
      </c>
      <c r="AH416" s="63" t="e">
        <f>[1]Data2025!W415</f>
        <v>#N/A</v>
      </c>
    </row>
    <row r="417" spans="1:36" ht="26" thickTop="1" thickBot="1">
      <c r="A417" s="41">
        <f>[1]Data2025!G416</f>
        <v>410</v>
      </c>
      <c r="B417" s="42">
        <f>[1]Data2025!K416</f>
        <v>0</v>
      </c>
      <c r="C417" s="43" t="str">
        <f>[1]Data2025!D416</f>
        <v>07. 12. 01.</v>
      </c>
      <c r="D417" s="44" t="str">
        <f>[1]Data2025!C416</f>
        <v>5.1.02.02.01.0013</v>
      </c>
      <c r="E417" s="45">
        <f>[1]Data2025!E416</f>
        <v>0</v>
      </c>
      <c r="F417" s="46">
        <f>[1]Data2025!F416</f>
        <v>0</v>
      </c>
      <c r="G417" s="45">
        <f>[1]Data2025!H416</f>
        <v>0</v>
      </c>
      <c r="H417" s="45">
        <f t="shared" si="21"/>
        <v>0</v>
      </c>
      <c r="I417" s="47">
        <f>[1]Data2025!J416</f>
        <v>0</v>
      </c>
      <c r="J417" s="48" t="str">
        <f>[1]Data2025!L416</f>
        <v>MERCY GRACE KARTIKA SARI ZAGOTO (1558776677230122)</v>
      </c>
      <c r="K417" s="48" t="str">
        <f>[1]Data2025!M416</f>
        <v>Gaji Guru Tidak Tetap Sekolah</v>
      </c>
      <c r="L417" s="49">
        <f>[1]Data2025!N416</f>
        <v>35</v>
      </c>
      <c r="M417" s="49" t="str">
        <f>[1]Data2025!O416</f>
        <v>orang / jam pelajaran</v>
      </c>
      <c r="N417" s="50">
        <f>[1]Data2025!P416</f>
        <v>50000</v>
      </c>
      <c r="O417" s="51">
        <f>[1]Data2025!Q416</f>
        <v>1750000</v>
      </c>
      <c r="P417" s="52" t="s">
        <v>76</v>
      </c>
      <c r="Q417" s="53" t="e">
        <f>VLOOKUP(K417,[1]Sheet1!$C$1:$D$101,2,)</f>
        <v>#N/A</v>
      </c>
      <c r="R417" s="77">
        <v>155000</v>
      </c>
      <c r="S417" s="78">
        <v>165000</v>
      </c>
      <c r="T417" s="56">
        <f>[1]Data2025!T416</f>
        <v>0</v>
      </c>
      <c r="U417" s="80" t="s">
        <v>35</v>
      </c>
      <c r="V417" s="56" t="e">
        <f>[1]Data2025!V416</f>
        <v>#N/A</v>
      </c>
      <c r="W417" s="56" t="e">
        <f>[1]Data2025!X416</f>
        <v>#N/A</v>
      </c>
      <c r="X417" s="80" t="s">
        <v>36</v>
      </c>
      <c r="Y417" s="57" t="str">
        <f t="shared" si="22"/>
        <v>Honorarium</v>
      </c>
      <c r="Z417" s="58" t="str">
        <f t="shared" si="23"/>
        <v>Honorarium</v>
      </c>
      <c r="AA417" s="82" t="s">
        <v>44</v>
      </c>
      <c r="AB417" s="60">
        <v>31000</v>
      </c>
      <c r="AC417" s="60">
        <v>155000</v>
      </c>
      <c r="AD417" s="54">
        <v>155000</v>
      </c>
      <c r="AE417" s="61">
        <v>139639.63963963964</v>
      </c>
      <c r="AF417" s="61">
        <v>155000</v>
      </c>
      <c r="AG417" s="62" t="s">
        <v>38</v>
      </c>
      <c r="AH417" s="63" t="e">
        <f>[1]Data2025!W416</f>
        <v>#N/A</v>
      </c>
    </row>
    <row r="418" spans="1:36" ht="16.5" thickTop="1" thickBot="1">
      <c r="A418" s="41">
        <f>[1]Data2025!G417</f>
        <v>411</v>
      </c>
      <c r="B418" s="42">
        <f>[1]Data2025!K417</f>
        <v>0</v>
      </c>
      <c r="C418" s="43" t="str">
        <f>[1]Data2025!D417</f>
        <v>07. 12. 02.</v>
      </c>
      <c r="D418" s="44" t="str">
        <f>[1]Data2025!C417</f>
        <v>5.1.02.02.01.0026</v>
      </c>
      <c r="E418" s="45">
        <f>[1]Data2025!E417</f>
        <v>0</v>
      </c>
      <c r="F418" s="46">
        <f>[1]Data2025!F417</f>
        <v>0</v>
      </c>
      <c r="G418" s="45">
        <f>[1]Data2025!H417</f>
        <v>0</v>
      </c>
      <c r="H418" s="45">
        <f t="shared" si="21"/>
        <v>0</v>
      </c>
      <c r="I418" s="47">
        <f>[1]Data2025!J417</f>
        <v>0</v>
      </c>
      <c r="J418" s="48" t="str">
        <f>[1]Data2025!L417</f>
        <v>Estera Nehe</v>
      </c>
      <c r="K418" s="48" t="str">
        <f>[1]Data2025!M417</f>
        <v>Gaji Pegawai Tidak Tetap Sekolah</v>
      </c>
      <c r="L418" s="49">
        <f>[1]Data2025!N417</f>
        <v>1</v>
      </c>
      <c r="M418" s="49" t="str">
        <f>[1]Data2025!O417</f>
        <v>bulan</v>
      </c>
      <c r="N418" s="50">
        <f>[1]Data2025!P417</f>
        <v>2000000</v>
      </c>
      <c r="O418" s="51">
        <f>[1]Data2025!Q417</f>
        <v>2000000</v>
      </c>
      <c r="P418" s="52" t="s">
        <v>76</v>
      </c>
      <c r="Q418" s="53" t="e">
        <f>VLOOKUP(K418,[1]Sheet1!$C$1:$D$101,2,)</f>
        <v>#N/A</v>
      </c>
      <c r="R418" s="77">
        <v>40000</v>
      </c>
      <c r="S418" s="78">
        <v>44000</v>
      </c>
      <c r="T418" s="56">
        <f>[1]Data2025!T417</f>
        <v>0</v>
      </c>
      <c r="U418" s="80" t="s">
        <v>35</v>
      </c>
      <c r="V418" s="56" t="e">
        <f>[1]Data2025!V417</f>
        <v>#N/A</v>
      </c>
      <c r="W418" s="56" t="e">
        <f>[1]Data2025!X417</f>
        <v>#N/A</v>
      </c>
      <c r="X418" s="80" t="s">
        <v>36</v>
      </c>
      <c r="Y418" s="57" t="str">
        <f t="shared" si="22"/>
        <v>Honorarium</v>
      </c>
      <c r="Z418" s="58" t="str">
        <f t="shared" si="23"/>
        <v>Honorarium</v>
      </c>
      <c r="AA418" s="82" t="s">
        <v>47</v>
      </c>
      <c r="AB418" s="60">
        <v>20000</v>
      </c>
      <c r="AC418" s="60">
        <v>40000</v>
      </c>
      <c r="AD418" s="54">
        <v>40000</v>
      </c>
      <c r="AE418" s="61">
        <v>36036.036036036036</v>
      </c>
      <c r="AF418" s="61">
        <v>40000</v>
      </c>
      <c r="AG418" s="62" t="s">
        <v>38</v>
      </c>
      <c r="AH418" s="63" t="e">
        <f>[1]Data2025!W417</f>
        <v>#N/A</v>
      </c>
    </row>
    <row r="419" spans="1:36" ht="16.5" thickTop="1" thickBot="1">
      <c r="A419" s="41">
        <f>[1]Data2025!G418</f>
        <v>412</v>
      </c>
      <c r="B419" s="42">
        <f>[1]Data2025!K418</f>
        <v>0</v>
      </c>
      <c r="C419" s="43" t="str">
        <f>[1]Data2025!D418</f>
        <v>07. 12. 02.</v>
      </c>
      <c r="D419" s="44" t="str">
        <f>[1]Data2025!C418</f>
        <v>5.1.02.02.01.0026</v>
      </c>
      <c r="E419" s="45">
        <f>[1]Data2025!E418</f>
        <v>0</v>
      </c>
      <c r="F419" s="46">
        <f>[1]Data2025!F418</f>
        <v>0</v>
      </c>
      <c r="G419" s="45">
        <f>[1]Data2025!H418</f>
        <v>0</v>
      </c>
      <c r="H419" s="45">
        <f t="shared" si="21"/>
        <v>0</v>
      </c>
      <c r="I419" s="47">
        <f>[1]Data2025!J418</f>
        <v>0</v>
      </c>
      <c r="J419" s="48" t="str">
        <f>[1]Data2025!L418</f>
        <v>Hatieli Buulolo</v>
      </c>
      <c r="K419" s="48" t="str">
        <f>[1]Data2025!M418</f>
        <v>Gaji Pegawai Tidak Tetap Sekolah</v>
      </c>
      <c r="L419" s="49">
        <f>[1]Data2025!N418</f>
        <v>1</v>
      </c>
      <c r="M419" s="49" t="str">
        <f>[1]Data2025!O418</f>
        <v>bulan</v>
      </c>
      <c r="N419" s="50">
        <f>[1]Data2025!P418</f>
        <v>2500000</v>
      </c>
      <c r="O419" s="51">
        <f>[1]Data2025!Q418</f>
        <v>2500000</v>
      </c>
      <c r="P419" s="52" t="s">
        <v>76</v>
      </c>
      <c r="Q419" s="53" t="e">
        <f>VLOOKUP(K419,[1]Sheet1!$C$1:$D$101,2,)</f>
        <v>#N/A</v>
      </c>
      <c r="R419" s="77">
        <v>396000</v>
      </c>
      <c r="S419" s="78">
        <v>420000</v>
      </c>
      <c r="T419" s="56">
        <f>[1]Data2025!T418</f>
        <v>0</v>
      </c>
      <c r="U419" s="80" t="s">
        <v>35</v>
      </c>
      <c r="V419" s="56" t="e">
        <f>[1]Data2025!V418</f>
        <v>#N/A</v>
      </c>
      <c r="W419" s="56" t="e">
        <f>[1]Data2025!X418</f>
        <v>#N/A</v>
      </c>
      <c r="X419" s="80" t="s">
        <v>36</v>
      </c>
      <c r="Y419" s="57" t="str">
        <f t="shared" si="22"/>
        <v>Honorarium</v>
      </c>
      <c r="Z419" s="58" t="str">
        <f t="shared" si="23"/>
        <v>Honorarium</v>
      </c>
      <c r="AA419" s="82" t="s">
        <v>48</v>
      </c>
      <c r="AB419" s="60">
        <v>33000</v>
      </c>
      <c r="AC419" s="60">
        <v>396000</v>
      </c>
      <c r="AD419" s="54">
        <v>396000</v>
      </c>
      <c r="AE419" s="61">
        <v>356756.75675675675</v>
      </c>
      <c r="AF419" s="61">
        <v>396000</v>
      </c>
      <c r="AG419" s="62" t="s">
        <v>38</v>
      </c>
      <c r="AH419" s="63" t="e">
        <f>[1]Data2025!W418</f>
        <v>#N/A</v>
      </c>
      <c r="AI419" s="92"/>
      <c r="AJ419" s="92"/>
    </row>
    <row r="420" spans="1:36" ht="16.5" thickTop="1" thickBot="1">
      <c r="A420" s="41">
        <f>[1]Data2025!G419</f>
        <v>413</v>
      </c>
      <c r="B420" s="42">
        <f>[1]Data2025!K419</f>
        <v>0</v>
      </c>
      <c r="C420" s="43" t="str">
        <f>[1]Data2025!D419</f>
        <v>07. 12. 02.</v>
      </c>
      <c r="D420" s="44" t="str">
        <f>[1]Data2025!C419</f>
        <v>5.1.02.02.01.0026</v>
      </c>
      <c r="E420" s="45">
        <f>[1]Data2025!E419</f>
        <v>0</v>
      </c>
      <c r="F420" s="46">
        <f>[1]Data2025!F419</f>
        <v>0</v>
      </c>
      <c r="G420" s="45">
        <f>[1]Data2025!H419</f>
        <v>0</v>
      </c>
      <c r="H420" s="45">
        <f t="shared" si="21"/>
        <v>0</v>
      </c>
      <c r="I420" s="47">
        <f>[1]Data2025!J419</f>
        <v>0</v>
      </c>
      <c r="J420" s="48" t="str">
        <f>[1]Data2025!L419</f>
        <v>David J. Sitinjak</v>
      </c>
      <c r="K420" s="48" t="str">
        <f>[1]Data2025!M419</f>
        <v>Gaji Pegawai Tidak Tetap Sekolah</v>
      </c>
      <c r="L420" s="49">
        <f>[1]Data2025!N419</f>
        <v>1</v>
      </c>
      <c r="M420" s="49" t="str">
        <f>[1]Data2025!O419</f>
        <v>bulan</v>
      </c>
      <c r="N420" s="50">
        <f>[1]Data2025!P419</f>
        <v>2500000</v>
      </c>
      <c r="O420" s="51">
        <f>[1]Data2025!Q419</f>
        <v>2500000</v>
      </c>
      <c r="P420" s="52" t="s">
        <v>76</v>
      </c>
      <c r="Q420" s="53" t="e">
        <f>VLOOKUP(K420,[1]Sheet1!$C$1:$D$101,2,)</f>
        <v>#N/A</v>
      </c>
      <c r="R420" s="77">
        <v>75000</v>
      </c>
      <c r="S420" s="78">
        <v>85000</v>
      </c>
      <c r="T420" s="56">
        <f>[1]Data2025!T419</f>
        <v>0</v>
      </c>
      <c r="U420" s="80" t="s">
        <v>35</v>
      </c>
      <c r="V420" s="56" t="e">
        <f>[1]Data2025!V419</f>
        <v>#N/A</v>
      </c>
      <c r="W420" s="56" t="e">
        <f>[1]Data2025!X419</f>
        <v>#N/A</v>
      </c>
      <c r="X420" s="80" t="s">
        <v>36</v>
      </c>
      <c r="Y420" s="57" t="str">
        <f t="shared" si="22"/>
        <v>Honorarium</v>
      </c>
      <c r="Z420" s="58" t="str">
        <f t="shared" si="23"/>
        <v>Honorarium</v>
      </c>
      <c r="AA420" s="82" t="s">
        <v>42</v>
      </c>
      <c r="AB420" s="60">
        <v>15000</v>
      </c>
      <c r="AC420" s="60">
        <v>75000</v>
      </c>
      <c r="AD420" s="54">
        <v>75000</v>
      </c>
      <c r="AE420" s="61">
        <v>67567.567567567574</v>
      </c>
      <c r="AF420" s="61">
        <v>75000</v>
      </c>
      <c r="AG420" s="62" t="s">
        <v>38</v>
      </c>
      <c r="AH420" s="63" t="e">
        <f>[1]Data2025!W419</f>
        <v>#N/A</v>
      </c>
    </row>
    <row r="421" spans="1:36" s="88" customFormat="1" ht="16.5" thickTop="1" thickBot="1">
      <c r="A421" s="41">
        <f>[1]Data2025!G420</f>
        <v>414</v>
      </c>
      <c r="B421" s="42">
        <f>[1]Data2025!K420</f>
        <v>0</v>
      </c>
      <c r="C421" s="43" t="str">
        <f>[1]Data2025!D420</f>
        <v>07. 12. 02.</v>
      </c>
      <c r="D421" s="44" t="str">
        <f>[1]Data2025!C420</f>
        <v>5.1.02.02.01.0026</v>
      </c>
      <c r="E421" s="45">
        <f>[1]Data2025!E420</f>
        <v>0</v>
      </c>
      <c r="F421" s="46">
        <f>[1]Data2025!F420</f>
        <v>0</v>
      </c>
      <c r="G421" s="45">
        <f>[1]Data2025!H420</f>
        <v>0</v>
      </c>
      <c r="H421" s="45">
        <f t="shared" si="21"/>
        <v>0</v>
      </c>
      <c r="I421" s="47">
        <f>[1]Data2025!J420</f>
        <v>0</v>
      </c>
      <c r="J421" s="48" t="str">
        <f>[1]Data2025!L420</f>
        <v>Siona Ziraluo</v>
      </c>
      <c r="K421" s="48" t="str">
        <f>[1]Data2025!M420</f>
        <v>Gaji Pegawai Tidak Tetap Sekolah</v>
      </c>
      <c r="L421" s="49">
        <f>[1]Data2025!N420</f>
        <v>1</v>
      </c>
      <c r="M421" s="49" t="str">
        <f>[1]Data2025!O420</f>
        <v>bulan</v>
      </c>
      <c r="N421" s="50">
        <f>[1]Data2025!P420</f>
        <v>2000000</v>
      </c>
      <c r="O421" s="51">
        <f>[1]Data2025!Q420</f>
        <v>2000000</v>
      </c>
      <c r="P421" s="52" t="s">
        <v>76</v>
      </c>
      <c r="Q421" s="53" t="e">
        <f>VLOOKUP(K421,[1]Sheet1!$C$1:$D$101,2,)</f>
        <v>#N/A</v>
      </c>
      <c r="R421" s="77">
        <v>300000</v>
      </c>
      <c r="S421" s="78">
        <v>310000</v>
      </c>
      <c r="T421" s="56">
        <f>[1]Data2025!T420</f>
        <v>0</v>
      </c>
      <c r="U421" s="80" t="s">
        <v>35</v>
      </c>
      <c r="V421" s="56" t="e">
        <f>[1]Data2025!V420</f>
        <v>#N/A</v>
      </c>
      <c r="W421" s="56" t="e">
        <f>[1]Data2025!X420</f>
        <v>#N/A</v>
      </c>
      <c r="X421" s="80" t="s">
        <v>36</v>
      </c>
      <c r="Y421" s="57" t="str">
        <f t="shared" si="22"/>
        <v>Honorarium</v>
      </c>
      <c r="Z421" s="58" t="str">
        <f t="shared" si="23"/>
        <v>Honorarium</v>
      </c>
      <c r="AA421" s="82" t="s">
        <v>44</v>
      </c>
      <c r="AB421" s="83">
        <v>60000</v>
      </c>
      <c r="AC421" s="83">
        <v>300000</v>
      </c>
      <c r="AD421" s="77">
        <v>300000</v>
      </c>
      <c r="AE421" s="84">
        <v>270270.2702702703</v>
      </c>
      <c r="AF421" s="84">
        <v>300000</v>
      </c>
      <c r="AG421" s="62" t="s">
        <v>38</v>
      </c>
      <c r="AH421" s="63" t="e">
        <f>[1]Data2025!W420</f>
        <v>#N/A</v>
      </c>
    </row>
    <row r="422" spans="1:36" s="88" customFormat="1" ht="16.5" thickTop="1" thickBot="1">
      <c r="A422" s="41">
        <f>[1]Data2025!G421</f>
        <v>415</v>
      </c>
      <c r="B422" s="42">
        <f>[1]Data2025!K421</f>
        <v>0</v>
      </c>
      <c r="C422" s="43" t="str">
        <f>[1]Data2025!D421</f>
        <v>07. 12. 02.</v>
      </c>
      <c r="D422" s="44" t="str">
        <f>[1]Data2025!C421</f>
        <v>5.1.02.02.01.0026</v>
      </c>
      <c r="E422" s="45">
        <f>[1]Data2025!E421</f>
        <v>0</v>
      </c>
      <c r="F422" s="46">
        <f>[1]Data2025!F421</f>
        <v>0</v>
      </c>
      <c r="G422" s="45">
        <f>[1]Data2025!H421</f>
        <v>0</v>
      </c>
      <c r="H422" s="45">
        <f t="shared" si="21"/>
        <v>0</v>
      </c>
      <c r="I422" s="47">
        <f>[1]Data2025!J421</f>
        <v>0</v>
      </c>
      <c r="J422" s="48" t="str">
        <f>[1]Data2025!L421</f>
        <v>Merdina Ziraluo</v>
      </c>
      <c r="K422" s="48" t="str">
        <f>[1]Data2025!M421</f>
        <v>Gaji Pegawai Tidak Tetap Sekolah</v>
      </c>
      <c r="L422" s="49">
        <f>[1]Data2025!N421</f>
        <v>1</v>
      </c>
      <c r="M422" s="49" t="str">
        <f>[1]Data2025!O421</f>
        <v>bulan</v>
      </c>
      <c r="N422" s="50">
        <f>[1]Data2025!P421</f>
        <v>2500000</v>
      </c>
      <c r="O422" s="51">
        <f>[1]Data2025!Q421</f>
        <v>2500000</v>
      </c>
      <c r="P422" s="52" t="s">
        <v>76</v>
      </c>
      <c r="Q422" s="53" t="e">
        <f>VLOOKUP(K422,[1]Sheet1!$C$1:$D$101,2,)</f>
        <v>#N/A</v>
      </c>
      <c r="R422" s="77">
        <v>37500</v>
      </c>
      <c r="S422" s="78">
        <v>47500</v>
      </c>
      <c r="T422" s="56">
        <f>[1]Data2025!T421</f>
        <v>0</v>
      </c>
      <c r="U422" s="80" t="s">
        <v>35</v>
      </c>
      <c r="V422" s="56" t="e">
        <f>[1]Data2025!V421</f>
        <v>#N/A</v>
      </c>
      <c r="W422" s="56" t="e">
        <f>[1]Data2025!X421</f>
        <v>#N/A</v>
      </c>
      <c r="X422" s="80" t="s">
        <v>36</v>
      </c>
      <c r="Y422" s="57" t="str">
        <f t="shared" si="22"/>
        <v>Honorarium</v>
      </c>
      <c r="Z422" s="58" t="str">
        <f t="shared" si="23"/>
        <v>Honorarium</v>
      </c>
      <c r="AA422" s="82" t="s">
        <v>37</v>
      </c>
      <c r="AB422" s="83">
        <v>7500</v>
      </c>
      <c r="AC422" s="83">
        <v>37500</v>
      </c>
      <c r="AD422" s="77">
        <v>37500</v>
      </c>
      <c r="AE422" s="84">
        <v>33783.783783783787</v>
      </c>
      <c r="AF422" s="84">
        <v>37500</v>
      </c>
      <c r="AG422" s="62" t="s">
        <v>38</v>
      </c>
      <c r="AH422" s="63" t="e">
        <f>[1]Data2025!W421</f>
        <v>#N/A</v>
      </c>
      <c r="AI422" s="87"/>
      <c r="AJ422" s="87"/>
    </row>
    <row r="423" spans="1:36" s="88" customFormat="1" ht="16.5" thickTop="1" thickBot="1">
      <c r="A423" s="41">
        <f>[1]Data2025!G422</f>
        <v>416</v>
      </c>
      <c r="B423" s="42">
        <f>[1]Data2025!K422</f>
        <v>0</v>
      </c>
      <c r="C423" s="43" t="str">
        <f>[1]Data2025!D422</f>
        <v>07. 12. 02.</v>
      </c>
      <c r="D423" s="44" t="str">
        <f>[1]Data2025!C422</f>
        <v>5.1.02.02.01.0026</v>
      </c>
      <c r="E423" s="45">
        <f>[1]Data2025!E422</f>
        <v>0</v>
      </c>
      <c r="F423" s="46">
        <f>[1]Data2025!F422</f>
        <v>0</v>
      </c>
      <c r="G423" s="45">
        <f>[1]Data2025!H422</f>
        <v>0</v>
      </c>
      <c r="H423" s="45">
        <f t="shared" si="21"/>
        <v>0</v>
      </c>
      <c r="I423" s="47">
        <f>[1]Data2025!J422</f>
        <v>0</v>
      </c>
      <c r="J423" s="48" t="str">
        <f>[1]Data2025!L422</f>
        <v>Oksilia Buulolo, S.S</v>
      </c>
      <c r="K423" s="48" t="str">
        <f>[1]Data2025!M422</f>
        <v>Gaji Pegawai Tidak Tetap Sekolah</v>
      </c>
      <c r="L423" s="49">
        <f>[1]Data2025!N422</f>
        <v>1</v>
      </c>
      <c r="M423" s="49" t="str">
        <f>[1]Data2025!O422</f>
        <v>bulan/orang</v>
      </c>
      <c r="N423" s="50">
        <f>[1]Data2025!P422</f>
        <v>2000000</v>
      </c>
      <c r="O423" s="51">
        <f>[1]Data2025!Q422</f>
        <v>2000000</v>
      </c>
      <c r="P423" s="52" t="s">
        <v>76</v>
      </c>
      <c r="Q423" s="53" t="e">
        <f>VLOOKUP(K423,[1]Sheet1!$C$1:$D$101,2,)</f>
        <v>#N/A</v>
      </c>
      <c r="R423" s="77">
        <v>69000</v>
      </c>
      <c r="S423" s="78">
        <v>75000</v>
      </c>
      <c r="T423" s="56">
        <f>[1]Data2025!T422</f>
        <v>0</v>
      </c>
      <c r="U423" s="80" t="s">
        <v>35</v>
      </c>
      <c r="V423" s="56" t="e">
        <f>[1]Data2025!V422</f>
        <v>#N/A</v>
      </c>
      <c r="W423" s="56" t="e">
        <f>[1]Data2025!X422</f>
        <v>#N/A</v>
      </c>
      <c r="X423" s="80" t="s">
        <v>36</v>
      </c>
      <c r="Y423" s="57" t="str">
        <f t="shared" si="22"/>
        <v>Honorarium</v>
      </c>
      <c r="Z423" s="58" t="str">
        <f t="shared" si="23"/>
        <v>Honorarium</v>
      </c>
      <c r="AA423" s="82" t="s">
        <v>44</v>
      </c>
      <c r="AB423" s="83">
        <v>23000</v>
      </c>
      <c r="AC423" s="83">
        <v>69000</v>
      </c>
      <c r="AD423" s="77">
        <v>69000</v>
      </c>
      <c r="AE423" s="84">
        <v>62162.16216216216</v>
      </c>
      <c r="AF423" s="84">
        <v>69000</v>
      </c>
      <c r="AG423" s="62" t="s">
        <v>38</v>
      </c>
      <c r="AH423" s="63" t="e">
        <f>[1]Data2025!W422</f>
        <v>#N/A</v>
      </c>
    </row>
    <row r="424" spans="1:36" s="88" customFormat="1" ht="16.5" thickTop="1" thickBot="1">
      <c r="A424" s="41">
        <f>[1]Data2025!G423</f>
        <v>417</v>
      </c>
      <c r="B424" s="42">
        <f>[1]Data2025!K423</f>
        <v>0</v>
      </c>
      <c r="C424" s="43" t="str">
        <f>[1]Data2025!D423</f>
        <v>07. 12. 02.</v>
      </c>
      <c r="D424" s="44" t="str">
        <f>[1]Data2025!C423</f>
        <v>5.1.02.02.01.0026</v>
      </c>
      <c r="E424" s="45">
        <f>[1]Data2025!E423</f>
        <v>0</v>
      </c>
      <c r="F424" s="46">
        <f>[1]Data2025!F423</f>
        <v>0</v>
      </c>
      <c r="G424" s="45">
        <f>[1]Data2025!H423</f>
        <v>0</v>
      </c>
      <c r="H424" s="45">
        <f t="shared" si="21"/>
        <v>0</v>
      </c>
      <c r="I424" s="47">
        <f>[1]Data2025!J423</f>
        <v>0</v>
      </c>
      <c r="J424" s="48" t="str">
        <f>[1]Data2025!L423</f>
        <v>Novika Efdimasari Halawa, S.S.I</v>
      </c>
      <c r="K424" s="48" t="str">
        <f>[1]Data2025!M423</f>
        <v>Gaji Pegawai Tidak Tetap Sekolah</v>
      </c>
      <c r="L424" s="49">
        <f>[1]Data2025!N423</f>
        <v>1</v>
      </c>
      <c r="M424" s="49" t="str">
        <f>[1]Data2025!O423</f>
        <v>bulan/orang</v>
      </c>
      <c r="N424" s="50">
        <f>[1]Data2025!P423</f>
        <v>2000000</v>
      </c>
      <c r="O424" s="51">
        <f>[1]Data2025!Q423</f>
        <v>2000000</v>
      </c>
      <c r="P424" s="52" t="s">
        <v>76</v>
      </c>
      <c r="Q424" s="53" t="e">
        <f>VLOOKUP(K424,[1]Sheet1!$C$1:$D$101,2,)</f>
        <v>#N/A</v>
      </c>
      <c r="R424" s="77">
        <v>125000</v>
      </c>
      <c r="S424" s="78">
        <v>135000</v>
      </c>
      <c r="T424" s="56">
        <f>[1]Data2025!T423</f>
        <v>0</v>
      </c>
      <c r="U424" s="80" t="s">
        <v>35</v>
      </c>
      <c r="V424" s="56" t="e">
        <f>[1]Data2025!V423</f>
        <v>#N/A</v>
      </c>
      <c r="W424" s="56" t="e">
        <f>[1]Data2025!X423</f>
        <v>#N/A</v>
      </c>
      <c r="X424" s="80" t="s">
        <v>36</v>
      </c>
      <c r="Y424" s="57" t="str">
        <f t="shared" si="22"/>
        <v>Honorarium</v>
      </c>
      <c r="Z424" s="58" t="str">
        <f t="shared" si="23"/>
        <v>Honorarium</v>
      </c>
      <c r="AA424" s="82" t="s">
        <v>49</v>
      </c>
      <c r="AB424" s="83">
        <v>25000</v>
      </c>
      <c r="AC424" s="83">
        <v>125000</v>
      </c>
      <c r="AD424" s="77">
        <v>125000</v>
      </c>
      <c r="AE424" s="84">
        <v>112612.61261261262</v>
      </c>
      <c r="AF424" s="84">
        <v>125000</v>
      </c>
      <c r="AG424" s="62" t="s">
        <v>38</v>
      </c>
      <c r="AH424" s="63" t="e">
        <f>[1]Data2025!W423</f>
        <v>#N/A</v>
      </c>
    </row>
    <row r="425" spans="1:36" ht="16.5" thickTop="1" thickBot="1">
      <c r="A425" s="41">
        <f>[1]Data2025!G424</f>
        <v>418</v>
      </c>
      <c r="B425" s="42">
        <f>[1]Data2025!K424</f>
        <v>0</v>
      </c>
      <c r="C425" s="43" t="str">
        <f>[1]Data2025!D424</f>
        <v>07. 12. 04.</v>
      </c>
      <c r="D425" s="44" t="str">
        <f>[1]Data2025!C424</f>
        <v>5.1.02.02.01.0016</v>
      </c>
      <c r="E425" s="45">
        <f>[1]Data2025!E424</f>
        <v>0</v>
      </c>
      <c r="F425" s="46">
        <f>[1]Data2025!F424</f>
        <v>0</v>
      </c>
      <c r="G425" s="45">
        <f>[1]Data2025!H424</f>
        <v>0</v>
      </c>
      <c r="H425" s="45">
        <f t="shared" si="21"/>
        <v>0</v>
      </c>
      <c r="I425" s="47">
        <f>[1]Data2025!J424</f>
        <v>0</v>
      </c>
      <c r="J425" s="48" t="str">
        <f>[1]Data2025!L424</f>
        <v>Zefrianus Zai</v>
      </c>
      <c r="K425" s="48" t="str">
        <f>[1]Data2025!M424</f>
        <v>Gaji Pegawai Tidak Tetap Sekolah</v>
      </c>
      <c r="L425" s="49">
        <f>[1]Data2025!N424</f>
        <v>1</v>
      </c>
      <c r="M425" s="49" t="str">
        <f>[1]Data2025!O424</f>
        <v>bulan/orang</v>
      </c>
      <c r="N425" s="50">
        <f>[1]Data2025!P424</f>
        <v>2000000</v>
      </c>
      <c r="O425" s="51">
        <f>[1]Data2025!Q424</f>
        <v>2000000</v>
      </c>
      <c r="P425" s="52" t="s">
        <v>76</v>
      </c>
      <c r="Q425" s="53" t="e">
        <f>VLOOKUP(K425,[1]Sheet1!$C$1:$D$101,2,)</f>
        <v>#N/A</v>
      </c>
      <c r="R425" s="77">
        <v>209000</v>
      </c>
      <c r="S425" s="78">
        <v>229000</v>
      </c>
      <c r="T425" s="56">
        <f>[1]Data2025!T424</f>
        <v>0</v>
      </c>
      <c r="U425" s="80" t="s">
        <v>35</v>
      </c>
      <c r="V425" s="56" t="e">
        <f>[1]Data2025!V424</f>
        <v>#N/A</v>
      </c>
      <c r="W425" s="56" t="e">
        <f>[1]Data2025!X424</f>
        <v>#N/A</v>
      </c>
      <c r="X425" s="80" t="s">
        <v>36</v>
      </c>
      <c r="Y425" s="57" t="str">
        <f t="shared" si="22"/>
        <v>Honorarium</v>
      </c>
      <c r="Z425" s="58" t="str">
        <f t="shared" si="23"/>
        <v>Honorarium</v>
      </c>
      <c r="AA425" s="82" t="s">
        <v>42</v>
      </c>
      <c r="AB425" s="60">
        <v>20900</v>
      </c>
      <c r="AC425" s="60">
        <v>209000</v>
      </c>
      <c r="AD425" s="54">
        <v>209000</v>
      </c>
      <c r="AE425" s="61">
        <v>188288.28828828828</v>
      </c>
      <c r="AF425" s="61">
        <v>209000</v>
      </c>
      <c r="AG425" s="62" t="s">
        <v>38</v>
      </c>
      <c r="AH425" s="63" t="e">
        <f>[1]Data2025!W424</f>
        <v>#N/A</v>
      </c>
    </row>
    <row r="426" spans="1:36" ht="16.5" thickTop="1" thickBot="1">
      <c r="A426" s="41">
        <f>[1]Data2025!G425</f>
        <v>419</v>
      </c>
      <c r="B426" s="42">
        <f>[1]Data2025!K425</f>
        <v>0</v>
      </c>
      <c r="C426" s="43" t="str">
        <f>[1]Data2025!D425</f>
        <v>07. 12. 04.</v>
      </c>
      <c r="D426" s="44" t="str">
        <f>[1]Data2025!C425</f>
        <v>5.1.02.02.01.0030</v>
      </c>
      <c r="E426" s="45">
        <f>[1]Data2025!E425</f>
        <v>0</v>
      </c>
      <c r="F426" s="46">
        <f>[1]Data2025!F425</f>
        <v>0</v>
      </c>
      <c r="G426" s="45">
        <f>[1]Data2025!H425</f>
        <v>0</v>
      </c>
      <c r="H426" s="45">
        <f t="shared" si="21"/>
        <v>0</v>
      </c>
      <c r="I426" s="47">
        <f>[1]Data2025!J425</f>
        <v>0</v>
      </c>
      <c r="J426" s="48" t="str">
        <f>[1]Data2025!L425</f>
        <v>Thomas Hondro</v>
      </c>
      <c r="K426" s="48" t="str">
        <f>[1]Data2025!M425</f>
        <v>Gaji Pegawai Tidak Tetap Sekolah</v>
      </c>
      <c r="L426" s="49">
        <f>[1]Data2025!N425</f>
        <v>1</v>
      </c>
      <c r="M426" s="49" t="str">
        <f>[1]Data2025!O425</f>
        <v>bulan</v>
      </c>
      <c r="N426" s="50">
        <f>[1]Data2025!P425</f>
        <v>1000000</v>
      </c>
      <c r="O426" s="51">
        <f>[1]Data2025!Q425</f>
        <v>1000000</v>
      </c>
      <c r="P426" s="52" t="s">
        <v>76</v>
      </c>
      <c r="Q426" s="53" t="e">
        <f>VLOOKUP(K426,[1]Sheet1!$C$1:$D$101,2,)</f>
        <v>#N/A</v>
      </c>
      <c r="R426" s="77">
        <v>10000</v>
      </c>
      <c r="S426" s="78">
        <v>14000</v>
      </c>
      <c r="T426" s="56">
        <f>[1]Data2025!T425</f>
        <v>0</v>
      </c>
      <c r="U426" s="80" t="s">
        <v>35</v>
      </c>
      <c r="V426" s="56" t="e">
        <f>[1]Data2025!V425</f>
        <v>#N/A</v>
      </c>
      <c r="W426" s="56" t="e">
        <f>[1]Data2025!X425</f>
        <v>#N/A</v>
      </c>
      <c r="X426" s="80" t="s">
        <v>36</v>
      </c>
      <c r="Y426" s="57" t="str">
        <f t="shared" si="22"/>
        <v>Honorarium</v>
      </c>
      <c r="Z426" s="58" t="str">
        <f t="shared" si="23"/>
        <v>Honorarium</v>
      </c>
      <c r="AA426" s="82" t="s">
        <v>37</v>
      </c>
      <c r="AB426" s="60">
        <v>5000</v>
      </c>
      <c r="AC426" s="60">
        <v>10000</v>
      </c>
      <c r="AD426" s="54">
        <v>10000</v>
      </c>
      <c r="AE426" s="61">
        <v>9009.0090090090089</v>
      </c>
      <c r="AF426" s="61">
        <v>10000</v>
      </c>
      <c r="AG426" s="62" t="s">
        <v>38</v>
      </c>
      <c r="AH426" s="63" t="e">
        <f>[1]Data2025!W425</f>
        <v>#N/A</v>
      </c>
      <c r="AI426" s="92"/>
      <c r="AJ426" s="92"/>
    </row>
    <row r="427" spans="1:36" ht="16.5" thickTop="1" thickBot="1">
      <c r="A427" s="41"/>
      <c r="B427" s="42"/>
      <c r="C427" s="43"/>
      <c r="D427" s="44"/>
      <c r="E427" s="45"/>
      <c r="F427" s="46"/>
      <c r="G427" s="45"/>
      <c r="H427" s="45"/>
      <c r="I427" s="47"/>
      <c r="J427" s="48"/>
      <c r="K427" s="48"/>
      <c r="L427" s="49"/>
      <c r="M427" s="49"/>
      <c r="N427" s="50"/>
      <c r="O427" s="51"/>
      <c r="P427" s="52"/>
      <c r="Q427" s="53"/>
      <c r="R427" s="77"/>
      <c r="S427" s="78"/>
      <c r="T427" s="56"/>
      <c r="U427" s="80"/>
      <c r="V427" s="56"/>
      <c r="W427" s="56"/>
      <c r="X427" s="80"/>
      <c r="Y427" s="57"/>
      <c r="Z427" s="58"/>
      <c r="AA427" s="82"/>
      <c r="AB427" s="60"/>
      <c r="AC427" s="60"/>
      <c r="AD427" s="54"/>
      <c r="AE427" s="61"/>
      <c r="AF427" s="61"/>
      <c r="AG427" s="62"/>
      <c r="AH427" s="63"/>
    </row>
    <row r="428" spans="1:36" s="88" customFormat="1" ht="16.5" thickTop="1" thickBot="1">
      <c r="A428" s="41"/>
      <c r="B428" s="42"/>
      <c r="C428" s="43"/>
      <c r="D428" s="44"/>
      <c r="E428" s="45"/>
      <c r="F428" s="46"/>
      <c r="G428" s="45"/>
      <c r="H428" s="45"/>
      <c r="I428" s="47"/>
      <c r="J428" s="48"/>
      <c r="K428" s="48"/>
      <c r="L428" s="49"/>
      <c r="M428" s="49"/>
      <c r="N428" s="50"/>
      <c r="O428" s="51"/>
      <c r="P428" s="52"/>
      <c r="Q428" s="53"/>
      <c r="R428" s="77"/>
      <c r="S428" s="78"/>
      <c r="T428" s="56"/>
      <c r="U428" s="80"/>
      <c r="V428" s="56"/>
      <c r="W428" s="56"/>
      <c r="X428" s="80"/>
      <c r="Y428" s="57"/>
      <c r="Z428" s="58"/>
      <c r="AA428" s="82"/>
      <c r="AB428" s="83"/>
      <c r="AC428" s="83"/>
      <c r="AD428" s="77"/>
      <c r="AE428" s="84"/>
      <c r="AF428" s="84"/>
      <c r="AG428" s="62"/>
      <c r="AH428" s="63"/>
    </row>
    <row r="429" spans="1:36" s="103" customFormat="1" ht="16.5" thickTop="1" thickBot="1">
      <c r="A429" s="41"/>
      <c r="B429" s="42"/>
      <c r="C429" s="43"/>
      <c r="D429" s="44"/>
      <c r="E429" s="45"/>
      <c r="F429" s="46"/>
      <c r="G429" s="45"/>
      <c r="H429" s="45"/>
      <c r="I429" s="47"/>
      <c r="J429" s="48"/>
      <c r="K429" s="48"/>
      <c r="L429" s="49"/>
      <c r="M429" s="49"/>
      <c r="N429" s="50"/>
      <c r="O429" s="51"/>
      <c r="P429" s="52"/>
      <c r="Q429" s="53"/>
      <c r="R429" s="77"/>
      <c r="S429" s="78"/>
      <c r="T429" s="56"/>
      <c r="U429" s="80"/>
      <c r="V429" s="56"/>
      <c r="W429" s="56"/>
      <c r="X429" s="80"/>
      <c r="Y429" s="57"/>
      <c r="Z429" s="58"/>
      <c r="AA429" s="82"/>
      <c r="AB429" s="60"/>
      <c r="AC429" s="60"/>
      <c r="AD429" s="54"/>
      <c r="AE429" s="61"/>
      <c r="AF429" s="61"/>
      <c r="AG429" s="62"/>
      <c r="AH429" s="63"/>
    </row>
    <row r="430" spans="1:36" s="88" customFormat="1" ht="16.5" thickTop="1" thickBot="1">
      <c r="A430" s="41"/>
      <c r="B430" s="42"/>
      <c r="C430" s="43"/>
      <c r="D430" s="44"/>
      <c r="E430" s="45"/>
      <c r="F430" s="46"/>
      <c r="G430" s="45"/>
      <c r="H430" s="45"/>
      <c r="I430" s="47"/>
      <c r="J430" s="48"/>
      <c r="K430" s="48"/>
      <c r="L430" s="49"/>
      <c r="M430" s="49"/>
      <c r="N430" s="50"/>
      <c r="O430" s="51"/>
      <c r="P430" s="52"/>
      <c r="Q430" s="53"/>
      <c r="R430" s="77"/>
      <c r="S430" s="78"/>
      <c r="T430" s="56"/>
      <c r="U430" s="80"/>
      <c r="V430" s="56"/>
      <c r="W430" s="56"/>
      <c r="X430" s="80"/>
      <c r="Y430" s="57"/>
      <c r="Z430" s="58"/>
      <c r="AA430" s="82"/>
      <c r="AB430" s="83"/>
      <c r="AC430" s="83"/>
      <c r="AD430" s="77"/>
      <c r="AE430" s="84"/>
      <c r="AF430" s="84"/>
      <c r="AG430" s="62"/>
      <c r="AH430" s="63"/>
    </row>
    <row r="431" spans="1:36" s="88" customFormat="1" ht="16.5" thickTop="1" thickBot="1">
      <c r="A431" s="41"/>
      <c r="B431" s="42"/>
      <c r="C431" s="43"/>
      <c r="D431" s="44"/>
      <c r="E431" s="45"/>
      <c r="F431" s="46"/>
      <c r="G431" s="45"/>
      <c r="H431" s="45"/>
      <c r="I431" s="47"/>
      <c r="J431" s="48"/>
      <c r="K431" s="48"/>
      <c r="L431" s="49"/>
      <c r="M431" s="49"/>
      <c r="N431" s="50"/>
      <c r="O431" s="51"/>
      <c r="P431" s="52"/>
      <c r="Q431" s="53"/>
      <c r="R431" s="77"/>
      <c r="S431" s="78"/>
      <c r="T431" s="56"/>
      <c r="U431" s="80"/>
      <c r="V431" s="56"/>
      <c r="W431" s="56"/>
      <c r="X431" s="80"/>
      <c r="Y431" s="57"/>
      <c r="Z431" s="58"/>
      <c r="AA431" s="82"/>
      <c r="AB431" s="83"/>
      <c r="AC431" s="83"/>
      <c r="AD431" s="77"/>
      <c r="AE431" s="84"/>
      <c r="AF431" s="84"/>
      <c r="AG431" s="62"/>
      <c r="AH431" s="63"/>
    </row>
    <row r="432" spans="1:36" s="88" customFormat="1" ht="16.5" thickTop="1" thickBot="1">
      <c r="A432" s="41"/>
      <c r="B432" s="42"/>
      <c r="C432" s="43"/>
      <c r="D432" s="44"/>
      <c r="E432" s="45"/>
      <c r="F432" s="46"/>
      <c r="G432" s="45"/>
      <c r="H432" s="45"/>
      <c r="I432" s="47"/>
      <c r="J432" s="48"/>
      <c r="K432" s="48"/>
      <c r="L432" s="49"/>
      <c r="M432" s="49"/>
      <c r="N432" s="50"/>
      <c r="O432" s="51"/>
      <c r="P432" s="52"/>
      <c r="Q432" s="53"/>
      <c r="R432" s="77"/>
      <c r="S432" s="78"/>
      <c r="T432" s="56"/>
      <c r="U432" s="80"/>
      <c r="V432" s="56"/>
      <c r="W432" s="56"/>
      <c r="X432" s="80"/>
      <c r="Y432" s="57"/>
      <c r="Z432" s="58"/>
      <c r="AA432" s="82"/>
      <c r="AB432" s="83"/>
      <c r="AC432" s="83"/>
      <c r="AD432" s="77"/>
      <c r="AE432" s="84"/>
      <c r="AF432" s="84"/>
      <c r="AG432" s="62"/>
      <c r="AH432" s="63"/>
    </row>
    <row r="433" spans="1:36" s="104" customFormat="1" ht="16.5" thickTop="1" thickBot="1">
      <c r="A433" s="41"/>
      <c r="B433" s="42"/>
      <c r="C433" s="43"/>
      <c r="D433" s="44"/>
      <c r="E433" s="45"/>
      <c r="F433" s="46"/>
      <c r="G433" s="45"/>
      <c r="H433" s="45"/>
      <c r="I433" s="47"/>
      <c r="J433" s="48"/>
      <c r="K433" s="48"/>
      <c r="L433" s="49"/>
      <c r="M433" s="49"/>
      <c r="N433" s="50"/>
      <c r="O433" s="51"/>
      <c r="P433" s="52"/>
      <c r="Q433" s="53"/>
      <c r="R433" s="77"/>
      <c r="S433" s="78"/>
      <c r="T433" s="56"/>
      <c r="U433" s="80"/>
      <c r="V433" s="56"/>
      <c r="W433" s="56"/>
      <c r="X433" s="80"/>
      <c r="Y433" s="57"/>
      <c r="Z433" s="58"/>
      <c r="AA433" s="82"/>
      <c r="AB433" s="83"/>
      <c r="AC433" s="83"/>
      <c r="AD433" s="77"/>
      <c r="AE433" s="84"/>
      <c r="AF433" s="84"/>
      <c r="AG433" s="62"/>
      <c r="AH433" s="63"/>
    </row>
    <row r="434" spans="1:36" s="88" customFormat="1" ht="16.5" thickTop="1" thickBot="1">
      <c r="A434" s="41"/>
      <c r="B434" s="42"/>
      <c r="C434" s="43"/>
      <c r="D434" s="44"/>
      <c r="E434" s="45"/>
      <c r="F434" s="46"/>
      <c r="G434" s="45"/>
      <c r="H434" s="45"/>
      <c r="I434" s="47"/>
      <c r="J434" s="48"/>
      <c r="K434" s="48"/>
      <c r="L434" s="49"/>
      <c r="M434" s="49"/>
      <c r="N434" s="50"/>
      <c r="O434" s="51"/>
      <c r="P434" s="52"/>
      <c r="Q434" s="53"/>
      <c r="R434" s="77"/>
      <c r="S434" s="78"/>
      <c r="T434" s="56"/>
      <c r="U434" s="80"/>
      <c r="V434" s="56"/>
      <c r="W434" s="56"/>
      <c r="X434" s="80"/>
      <c r="Y434" s="57"/>
      <c r="Z434" s="58"/>
      <c r="AA434" s="82"/>
      <c r="AB434" s="83"/>
      <c r="AC434" s="83"/>
      <c r="AD434" s="77"/>
      <c r="AE434" s="84"/>
      <c r="AF434" s="84"/>
      <c r="AG434" s="62"/>
      <c r="AH434" s="63"/>
    </row>
    <row r="435" spans="1:36" s="88" customFormat="1" ht="16.5" thickTop="1" thickBot="1">
      <c r="A435" s="41"/>
      <c r="B435" s="42"/>
      <c r="C435" s="43"/>
      <c r="D435" s="44"/>
      <c r="E435" s="45"/>
      <c r="F435" s="46"/>
      <c r="G435" s="45"/>
      <c r="H435" s="45"/>
      <c r="I435" s="47"/>
      <c r="J435" s="48"/>
      <c r="K435" s="48"/>
      <c r="L435" s="49"/>
      <c r="M435" s="49"/>
      <c r="N435" s="50"/>
      <c r="O435" s="51"/>
      <c r="P435" s="52"/>
      <c r="Q435" s="53"/>
      <c r="R435" s="77"/>
      <c r="S435" s="78"/>
      <c r="T435" s="56"/>
      <c r="U435" s="80"/>
      <c r="V435" s="56"/>
      <c r="W435" s="56"/>
      <c r="X435" s="80"/>
      <c r="Y435" s="57"/>
      <c r="Z435" s="58"/>
      <c r="AA435" s="82"/>
      <c r="AB435" s="83"/>
      <c r="AC435" s="83"/>
      <c r="AD435" s="77"/>
      <c r="AE435" s="84"/>
      <c r="AF435" s="84"/>
      <c r="AG435" s="62"/>
      <c r="AH435" s="63"/>
    </row>
    <row r="436" spans="1:36" s="88" customFormat="1" ht="16.5" thickTop="1" thickBot="1">
      <c r="A436" s="41"/>
      <c r="B436" s="42"/>
      <c r="C436" s="43"/>
      <c r="D436" s="44"/>
      <c r="E436" s="45"/>
      <c r="F436" s="46"/>
      <c r="G436" s="45"/>
      <c r="H436" s="45"/>
      <c r="I436" s="47"/>
      <c r="J436" s="48"/>
      <c r="K436" s="48"/>
      <c r="L436" s="49"/>
      <c r="M436" s="49"/>
      <c r="N436" s="50"/>
      <c r="O436" s="51"/>
      <c r="P436" s="52"/>
      <c r="Q436" s="53"/>
      <c r="R436" s="77"/>
      <c r="S436" s="78"/>
      <c r="T436" s="56"/>
      <c r="U436" s="80"/>
      <c r="V436" s="56"/>
      <c r="W436" s="56"/>
      <c r="X436" s="80"/>
      <c r="Y436" s="57"/>
      <c r="Z436" s="58"/>
      <c r="AA436" s="82"/>
      <c r="AB436" s="83"/>
      <c r="AC436" s="83"/>
      <c r="AD436" s="77"/>
      <c r="AE436" s="84"/>
      <c r="AF436" s="84"/>
      <c r="AG436" s="62"/>
      <c r="AH436" s="63"/>
      <c r="AI436" s="87"/>
      <c r="AJ436" s="87"/>
    </row>
    <row r="437" spans="1:36" s="88" customFormat="1" ht="16.5" thickTop="1" thickBot="1">
      <c r="A437" s="41"/>
      <c r="B437" s="42"/>
      <c r="C437" s="43"/>
      <c r="D437" s="44"/>
      <c r="E437" s="45"/>
      <c r="F437" s="46"/>
      <c r="G437" s="45"/>
      <c r="H437" s="45"/>
      <c r="I437" s="47"/>
      <c r="J437" s="48"/>
      <c r="K437" s="48"/>
      <c r="L437" s="49"/>
      <c r="M437" s="49"/>
      <c r="N437" s="50"/>
      <c r="O437" s="51"/>
      <c r="P437" s="52"/>
      <c r="Q437" s="53"/>
      <c r="R437" s="77"/>
      <c r="S437" s="78"/>
      <c r="T437" s="56"/>
      <c r="U437" s="80"/>
      <c r="V437" s="56"/>
      <c r="W437" s="56"/>
      <c r="X437" s="80"/>
      <c r="Y437" s="57"/>
      <c r="Z437" s="58"/>
      <c r="AA437" s="82"/>
      <c r="AB437" s="83"/>
      <c r="AC437" s="83"/>
      <c r="AD437" s="77"/>
      <c r="AE437" s="84"/>
      <c r="AF437" s="84"/>
      <c r="AG437" s="62"/>
      <c r="AH437" s="63"/>
    </row>
    <row r="438" spans="1:36" s="88" customFormat="1" ht="16.5" thickTop="1" thickBot="1">
      <c r="A438" s="41"/>
      <c r="B438" s="42"/>
      <c r="C438" s="43"/>
      <c r="D438" s="44"/>
      <c r="E438" s="45"/>
      <c r="F438" s="46"/>
      <c r="G438" s="45"/>
      <c r="H438" s="45"/>
      <c r="I438" s="47"/>
      <c r="J438" s="48"/>
      <c r="K438" s="48"/>
      <c r="L438" s="49"/>
      <c r="M438" s="49"/>
      <c r="N438" s="50"/>
      <c r="O438" s="51"/>
      <c r="P438" s="52"/>
      <c r="Q438" s="53"/>
      <c r="R438" s="77"/>
      <c r="S438" s="78"/>
      <c r="T438" s="56"/>
      <c r="U438" s="80"/>
      <c r="V438" s="56"/>
      <c r="W438" s="56"/>
      <c r="X438" s="80"/>
      <c r="Y438" s="57"/>
      <c r="Z438" s="58"/>
      <c r="AA438" s="82"/>
      <c r="AB438" s="83"/>
      <c r="AC438" s="83"/>
      <c r="AD438" s="77"/>
      <c r="AE438" s="84"/>
      <c r="AF438" s="84"/>
      <c r="AG438" s="62"/>
      <c r="AH438" s="63"/>
      <c r="AI438" s="87"/>
      <c r="AJ438" s="87"/>
    </row>
    <row r="439" spans="1:36" s="88" customFormat="1" ht="16.5" thickTop="1" thickBot="1">
      <c r="A439" s="41"/>
      <c r="B439" s="42"/>
      <c r="C439" s="43"/>
      <c r="D439" s="44"/>
      <c r="E439" s="45"/>
      <c r="F439" s="46"/>
      <c r="G439" s="45"/>
      <c r="H439" s="45"/>
      <c r="I439" s="47"/>
      <c r="J439" s="48"/>
      <c r="K439" s="48"/>
      <c r="L439" s="49"/>
      <c r="M439" s="49"/>
      <c r="N439" s="50"/>
      <c r="O439" s="51"/>
      <c r="P439" s="52"/>
      <c r="Q439" s="53"/>
      <c r="R439" s="77"/>
      <c r="S439" s="78"/>
      <c r="T439" s="56"/>
      <c r="U439" s="80"/>
      <c r="V439" s="56"/>
      <c r="W439" s="56"/>
      <c r="X439" s="80"/>
      <c r="Y439" s="57"/>
      <c r="Z439" s="58"/>
      <c r="AA439" s="82"/>
      <c r="AB439" s="83"/>
      <c r="AC439" s="83"/>
      <c r="AD439" s="77"/>
      <c r="AE439" s="84"/>
      <c r="AF439" s="84"/>
      <c r="AG439" s="62"/>
      <c r="AH439" s="63"/>
    </row>
    <row r="440" spans="1:36" s="88" customFormat="1" ht="16.5" thickTop="1" thickBot="1">
      <c r="A440" s="41"/>
      <c r="B440" s="42"/>
      <c r="C440" s="43"/>
      <c r="D440" s="44"/>
      <c r="E440" s="45"/>
      <c r="F440" s="46"/>
      <c r="G440" s="45"/>
      <c r="H440" s="45"/>
      <c r="I440" s="47"/>
      <c r="J440" s="48"/>
      <c r="K440" s="48"/>
      <c r="L440" s="49"/>
      <c r="M440" s="49"/>
      <c r="N440" s="50"/>
      <c r="O440" s="51"/>
      <c r="P440" s="52"/>
      <c r="Q440" s="53"/>
      <c r="R440" s="77"/>
      <c r="S440" s="78"/>
      <c r="T440" s="56"/>
      <c r="U440" s="80"/>
      <c r="V440" s="56"/>
      <c r="W440" s="56"/>
      <c r="X440" s="80"/>
      <c r="Y440" s="57"/>
      <c r="Z440" s="58"/>
      <c r="AA440" s="82"/>
      <c r="AB440" s="83"/>
      <c r="AC440" s="83"/>
      <c r="AD440" s="77"/>
      <c r="AE440" s="84"/>
      <c r="AF440" s="84"/>
      <c r="AG440" s="62"/>
      <c r="AH440" s="63"/>
    </row>
    <row r="441" spans="1:36" s="88" customFormat="1" ht="16.5" thickTop="1" thickBot="1">
      <c r="A441" s="41"/>
      <c r="B441" s="42"/>
      <c r="C441" s="43"/>
      <c r="D441" s="44"/>
      <c r="E441" s="45"/>
      <c r="F441" s="46"/>
      <c r="G441" s="45"/>
      <c r="H441" s="45"/>
      <c r="I441" s="47"/>
      <c r="J441" s="48"/>
      <c r="K441" s="48"/>
      <c r="L441" s="49"/>
      <c r="M441" s="49"/>
      <c r="N441" s="50"/>
      <c r="O441" s="51"/>
      <c r="P441" s="52"/>
      <c r="Q441" s="53"/>
      <c r="R441" s="77"/>
      <c r="S441" s="78"/>
      <c r="T441" s="56"/>
      <c r="U441" s="80"/>
      <c r="V441" s="56"/>
      <c r="W441" s="56"/>
      <c r="X441" s="80"/>
      <c r="Y441" s="57"/>
      <c r="Z441" s="58"/>
      <c r="AA441" s="82"/>
      <c r="AB441" s="83"/>
      <c r="AC441" s="83"/>
      <c r="AD441" s="77"/>
      <c r="AE441" s="84"/>
      <c r="AF441" s="84"/>
      <c r="AG441" s="62"/>
      <c r="AH441" s="63"/>
    </row>
    <row r="442" spans="1:36" s="88" customFormat="1" ht="16.5" thickTop="1" thickBot="1">
      <c r="A442" s="41"/>
      <c r="B442" s="42"/>
      <c r="C442" s="43"/>
      <c r="D442" s="44"/>
      <c r="E442" s="45"/>
      <c r="F442" s="46"/>
      <c r="G442" s="45"/>
      <c r="H442" s="45"/>
      <c r="I442" s="47"/>
      <c r="J442" s="48"/>
      <c r="K442" s="48"/>
      <c r="L442" s="49"/>
      <c r="M442" s="49"/>
      <c r="N442" s="50"/>
      <c r="O442" s="51"/>
      <c r="P442" s="52"/>
      <c r="Q442" s="53"/>
      <c r="R442" s="77"/>
      <c r="S442" s="78"/>
      <c r="T442" s="56"/>
      <c r="U442" s="80"/>
      <c r="V442" s="56"/>
      <c r="W442" s="56"/>
      <c r="X442" s="80"/>
      <c r="Y442" s="57"/>
      <c r="Z442" s="58"/>
      <c r="AA442" s="82"/>
      <c r="AB442" s="83"/>
      <c r="AC442" s="83"/>
      <c r="AD442" s="77"/>
      <c r="AE442" s="84"/>
      <c r="AF442" s="84"/>
      <c r="AG442" s="62"/>
      <c r="AH442" s="63"/>
    </row>
    <row r="443" spans="1:36" s="88" customFormat="1" ht="16.5" thickTop="1" thickBot="1">
      <c r="A443" s="41"/>
      <c r="B443" s="42"/>
      <c r="C443" s="43"/>
      <c r="D443" s="44"/>
      <c r="E443" s="45"/>
      <c r="F443" s="46"/>
      <c r="G443" s="45"/>
      <c r="H443" s="45"/>
      <c r="I443" s="47"/>
      <c r="J443" s="48"/>
      <c r="K443" s="48"/>
      <c r="L443" s="49"/>
      <c r="M443" s="49"/>
      <c r="N443" s="50"/>
      <c r="O443" s="51"/>
      <c r="P443" s="52"/>
      <c r="Q443" s="53"/>
      <c r="R443" s="77"/>
      <c r="S443" s="78"/>
      <c r="T443" s="56"/>
      <c r="U443" s="80"/>
      <c r="V443" s="56"/>
      <c r="W443" s="56"/>
      <c r="X443" s="80"/>
      <c r="Y443" s="57"/>
      <c r="Z443" s="58"/>
      <c r="AA443" s="82"/>
      <c r="AB443" s="83"/>
      <c r="AC443" s="83"/>
      <c r="AD443" s="77"/>
      <c r="AE443" s="84"/>
      <c r="AF443" s="84"/>
      <c r="AG443" s="62"/>
      <c r="AH443" s="63"/>
    </row>
    <row r="444" spans="1:36" s="88" customFormat="1" ht="16.5" thickTop="1" thickBot="1">
      <c r="A444" s="41"/>
      <c r="B444" s="42"/>
      <c r="C444" s="43"/>
      <c r="D444" s="44"/>
      <c r="E444" s="45"/>
      <c r="F444" s="46"/>
      <c r="G444" s="45"/>
      <c r="H444" s="45"/>
      <c r="I444" s="47"/>
      <c r="J444" s="48"/>
      <c r="K444" s="48"/>
      <c r="L444" s="49"/>
      <c r="M444" s="49"/>
      <c r="N444" s="50"/>
      <c r="O444" s="51"/>
      <c r="P444" s="52"/>
      <c r="Q444" s="53"/>
      <c r="R444" s="77"/>
      <c r="S444" s="78"/>
      <c r="T444" s="56"/>
      <c r="U444" s="80"/>
      <c r="V444" s="56"/>
      <c r="W444" s="56"/>
      <c r="X444" s="80"/>
      <c r="Y444" s="57"/>
      <c r="Z444" s="58"/>
      <c r="AA444" s="82"/>
      <c r="AB444" s="83"/>
      <c r="AC444" s="83"/>
      <c r="AD444" s="77"/>
      <c r="AE444" s="84"/>
      <c r="AF444" s="84"/>
      <c r="AG444" s="62"/>
      <c r="AH444" s="63"/>
    </row>
    <row r="445" spans="1:36" s="88" customFormat="1" ht="16.5" thickTop="1" thickBot="1">
      <c r="A445" s="41"/>
      <c r="B445" s="42"/>
      <c r="C445" s="43"/>
      <c r="D445" s="44"/>
      <c r="E445" s="45"/>
      <c r="F445" s="46"/>
      <c r="G445" s="45"/>
      <c r="H445" s="45"/>
      <c r="I445" s="47"/>
      <c r="J445" s="48"/>
      <c r="K445" s="48"/>
      <c r="L445" s="49"/>
      <c r="M445" s="49"/>
      <c r="N445" s="50"/>
      <c r="O445" s="51"/>
      <c r="P445" s="52"/>
      <c r="Q445" s="53"/>
      <c r="R445" s="77"/>
      <c r="S445" s="78"/>
      <c r="T445" s="56"/>
      <c r="U445" s="80"/>
      <c r="V445" s="56"/>
      <c r="W445" s="56"/>
      <c r="X445" s="80"/>
      <c r="Y445" s="57"/>
      <c r="Z445" s="58"/>
      <c r="AA445" s="82"/>
      <c r="AB445" s="83"/>
      <c r="AC445" s="83"/>
      <c r="AD445" s="77"/>
      <c r="AE445" s="84"/>
      <c r="AF445" s="84"/>
      <c r="AG445" s="62"/>
      <c r="AH445" s="63"/>
    </row>
    <row r="446" spans="1:36" s="88" customFormat="1" ht="16.5" thickTop="1" thickBot="1">
      <c r="A446" s="41"/>
      <c r="B446" s="42"/>
      <c r="C446" s="43"/>
      <c r="D446" s="44"/>
      <c r="E446" s="45"/>
      <c r="F446" s="46"/>
      <c r="G446" s="45"/>
      <c r="H446" s="45"/>
      <c r="I446" s="47"/>
      <c r="J446" s="48"/>
      <c r="K446" s="48"/>
      <c r="L446" s="49"/>
      <c r="M446" s="49"/>
      <c r="N446" s="50"/>
      <c r="O446" s="51"/>
      <c r="P446" s="52"/>
      <c r="Q446" s="53"/>
      <c r="R446" s="77"/>
      <c r="S446" s="78"/>
      <c r="T446" s="56"/>
      <c r="U446" s="80"/>
      <c r="V446" s="56"/>
      <c r="W446" s="56"/>
      <c r="X446" s="80"/>
      <c r="Y446" s="57"/>
      <c r="Z446" s="58"/>
      <c r="AA446" s="82"/>
      <c r="AB446" s="83"/>
      <c r="AC446" s="83"/>
      <c r="AD446" s="77"/>
      <c r="AE446" s="84"/>
      <c r="AF446" s="84"/>
      <c r="AG446" s="62"/>
      <c r="AH446" s="63"/>
      <c r="AI446" s="87"/>
      <c r="AJ446" s="87"/>
    </row>
    <row r="447" spans="1:36" s="88" customFormat="1" ht="16.5" thickTop="1" thickBot="1">
      <c r="A447" s="41"/>
      <c r="B447" s="42"/>
      <c r="C447" s="43"/>
      <c r="D447" s="44"/>
      <c r="E447" s="45"/>
      <c r="F447" s="46"/>
      <c r="G447" s="45"/>
      <c r="H447" s="45"/>
      <c r="I447" s="47"/>
      <c r="J447" s="48"/>
      <c r="K447" s="48"/>
      <c r="L447" s="49"/>
      <c r="M447" s="49"/>
      <c r="N447" s="50"/>
      <c r="O447" s="51"/>
      <c r="P447" s="52"/>
      <c r="Q447" s="53"/>
      <c r="R447" s="77"/>
      <c r="S447" s="78"/>
      <c r="T447" s="56"/>
      <c r="U447" s="80"/>
      <c r="V447" s="56"/>
      <c r="W447" s="56"/>
      <c r="X447" s="80"/>
      <c r="Y447" s="57"/>
      <c r="Z447" s="58"/>
      <c r="AA447" s="82"/>
      <c r="AB447" s="83"/>
      <c r="AC447" s="83"/>
      <c r="AD447" s="77"/>
      <c r="AE447" s="84"/>
      <c r="AF447" s="84"/>
      <c r="AG447" s="62"/>
      <c r="AH447" s="63"/>
    </row>
    <row r="448" spans="1:36" s="88" customFormat="1" ht="16.5" thickTop="1" thickBot="1">
      <c r="A448" s="41"/>
      <c r="B448" s="42"/>
      <c r="C448" s="43"/>
      <c r="D448" s="44"/>
      <c r="E448" s="45"/>
      <c r="F448" s="46"/>
      <c r="G448" s="45"/>
      <c r="H448" s="45"/>
      <c r="I448" s="47"/>
      <c r="J448" s="48"/>
      <c r="K448" s="48"/>
      <c r="L448" s="49"/>
      <c r="M448" s="49"/>
      <c r="N448" s="50"/>
      <c r="O448" s="51"/>
      <c r="P448" s="52"/>
      <c r="Q448" s="53"/>
      <c r="R448" s="77"/>
      <c r="S448" s="78"/>
      <c r="T448" s="56"/>
      <c r="U448" s="80"/>
      <c r="V448" s="56"/>
      <c r="W448" s="56"/>
      <c r="X448" s="80"/>
      <c r="Y448" s="57"/>
      <c r="Z448" s="58"/>
      <c r="AA448" s="82"/>
      <c r="AB448" s="83"/>
      <c r="AC448" s="83"/>
      <c r="AD448" s="77"/>
      <c r="AE448" s="84"/>
      <c r="AF448" s="84"/>
      <c r="AG448" s="62"/>
      <c r="AH448" s="63"/>
    </row>
    <row r="449" spans="1:36" s="88" customFormat="1" ht="16.5" thickTop="1" thickBot="1">
      <c r="A449" s="41"/>
      <c r="B449" s="42"/>
      <c r="C449" s="43"/>
      <c r="D449" s="44"/>
      <c r="E449" s="45"/>
      <c r="F449" s="46"/>
      <c r="G449" s="45"/>
      <c r="H449" s="45"/>
      <c r="I449" s="47"/>
      <c r="J449" s="48"/>
      <c r="K449" s="48"/>
      <c r="L449" s="49"/>
      <c r="M449" s="49"/>
      <c r="N449" s="50"/>
      <c r="O449" s="51"/>
      <c r="P449" s="52"/>
      <c r="Q449" s="53"/>
      <c r="R449" s="77"/>
      <c r="S449" s="78"/>
      <c r="T449" s="56"/>
      <c r="U449" s="80"/>
      <c r="V449" s="56"/>
      <c r="W449" s="56"/>
      <c r="X449" s="80"/>
      <c r="Y449" s="57"/>
      <c r="Z449" s="58"/>
      <c r="AA449" s="82"/>
      <c r="AB449" s="83"/>
      <c r="AC449" s="83"/>
      <c r="AD449" s="77"/>
      <c r="AE449" s="84"/>
      <c r="AF449" s="84"/>
      <c r="AG449" s="62"/>
      <c r="AH449" s="63"/>
      <c r="AI449" s="87"/>
      <c r="AJ449" s="87"/>
    </row>
    <row r="450" spans="1:36" s="88" customFormat="1" ht="16.5" thickTop="1" thickBot="1">
      <c r="A450" s="41"/>
      <c r="B450" s="42"/>
      <c r="C450" s="43"/>
      <c r="D450" s="44"/>
      <c r="E450" s="45"/>
      <c r="F450" s="46"/>
      <c r="G450" s="45"/>
      <c r="H450" s="45"/>
      <c r="I450" s="47"/>
      <c r="J450" s="48"/>
      <c r="K450" s="48"/>
      <c r="L450" s="49"/>
      <c r="M450" s="49"/>
      <c r="N450" s="50"/>
      <c r="O450" s="51"/>
      <c r="P450" s="52"/>
      <c r="Q450" s="53"/>
      <c r="R450" s="77"/>
      <c r="S450" s="78"/>
      <c r="T450" s="56"/>
      <c r="U450" s="80"/>
      <c r="V450" s="56"/>
      <c r="W450" s="56"/>
      <c r="X450" s="80"/>
      <c r="Y450" s="57"/>
      <c r="Z450" s="58"/>
      <c r="AA450" s="82"/>
      <c r="AB450" s="83"/>
      <c r="AC450" s="83"/>
      <c r="AD450" s="77"/>
      <c r="AE450" s="84"/>
      <c r="AF450" s="84"/>
      <c r="AG450" s="62"/>
      <c r="AH450" s="63"/>
    </row>
    <row r="451" spans="1:36" s="88" customFormat="1" ht="16.5" thickTop="1" thickBot="1">
      <c r="A451" s="41"/>
      <c r="B451" s="42"/>
      <c r="C451" s="43"/>
      <c r="D451" s="44"/>
      <c r="E451" s="45"/>
      <c r="F451" s="46"/>
      <c r="G451" s="45"/>
      <c r="H451" s="45"/>
      <c r="I451" s="47"/>
      <c r="J451" s="48"/>
      <c r="K451" s="48"/>
      <c r="L451" s="49"/>
      <c r="M451" s="49"/>
      <c r="N451" s="50"/>
      <c r="O451" s="51"/>
      <c r="P451" s="52"/>
      <c r="Q451" s="53"/>
      <c r="R451" s="77"/>
      <c r="S451" s="78"/>
      <c r="T451" s="56"/>
      <c r="U451" s="80"/>
      <c r="V451" s="56"/>
      <c r="W451" s="56"/>
      <c r="X451" s="80"/>
      <c r="Y451" s="57"/>
      <c r="Z451" s="58"/>
      <c r="AA451" s="82"/>
      <c r="AB451" s="83"/>
      <c r="AC451" s="83"/>
      <c r="AD451" s="77"/>
      <c r="AE451" s="84"/>
      <c r="AF451" s="84"/>
      <c r="AG451" s="62"/>
      <c r="AH451" s="63"/>
      <c r="AI451" s="87"/>
      <c r="AJ451" s="87"/>
    </row>
    <row r="452" spans="1:36" s="88" customFormat="1" ht="16.5" thickTop="1" thickBot="1">
      <c r="A452" s="41"/>
      <c r="B452" s="42"/>
      <c r="C452" s="43"/>
      <c r="D452" s="44"/>
      <c r="E452" s="45"/>
      <c r="F452" s="46"/>
      <c r="G452" s="45"/>
      <c r="H452" s="45"/>
      <c r="I452" s="47"/>
      <c r="J452" s="48"/>
      <c r="K452" s="48"/>
      <c r="L452" s="49"/>
      <c r="M452" s="49"/>
      <c r="N452" s="50"/>
      <c r="O452" s="51"/>
      <c r="P452" s="52"/>
      <c r="Q452" s="53"/>
      <c r="R452" s="77"/>
      <c r="S452" s="78"/>
      <c r="T452" s="56"/>
      <c r="U452" s="80"/>
      <c r="V452" s="56"/>
      <c r="W452" s="56"/>
      <c r="X452" s="80"/>
      <c r="Y452" s="57"/>
      <c r="Z452" s="58"/>
      <c r="AA452" s="82"/>
      <c r="AB452" s="83"/>
      <c r="AC452" s="83"/>
      <c r="AD452" s="77"/>
      <c r="AE452" s="84"/>
      <c r="AF452" s="84"/>
      <c r="AG452" s="62"/>
      <c r="AH452" s="63"/>
    </row>
    <row r="453" spans="1:36" s="88" customFormat="1" ht="16.5" thickTop="1" thickBot="1">
      <c r="A453" s="41"/>
      <c r="B453" s="42"/>
      <c r="C453" s="43"/>
      <c r="D453" s="44"/>
      <c r="E453" s="45"/>
      <c r="F453" s="46"/>
      <c r="G453" s="45"/>
      <c r="H453" s="45"/>
      <c r="I453" s="47"/>
      <c r="J453" s="48"/>
      <c r="K453" s="48"/>
      <c r="L453" s="49"/>
      <c r="M453" s="49"/>
      <c r="N453" s="50"/>
      <c r="O453" s="51"/>
      <c r="P453" s="52"/>
      <c r="Q453" s="53"/>
      <c r="R453" s="77"/>
      <c r="S453" s="78"/>
      <c r="T453" s="56"/>
      <c r="U453" s="80"/>
      <c r="V453" s="56"/>
      <c r="W453" s="56"/>
      <c r="X453" s="80"/>
      <c r="Y453" s="57"/>
      <c r="Z453" s="58"/>
      <c r="AA453" s="82"/>
      <c r="AB453" s="83"/>
      <c r="AC453" s="83"/>
      <c r="AD453" s="77"/>
      <c r="AE453" s="84"/>
      <c r="AF453" s="84"/>
      <c r="AG453" s="62"/>
      <c r="AH453" s="63"/>
    </row>
    <row r="454" spans="1:36" s="88" customFormat="1" ht="16.5" thickTop="1" thickBot="1">
      <c r="A454" s="41"/>
      <c r="B454" s="42"/>
      <c r="C454" s="43"/>
      <c r="D454" s="44"/>
      <c r="E454" s="45"/>
      <c r="F454" s="46"/>
      <c r="G454" s="45"/>
      <c r="H454" s="45"/>
      <c r="I454" s="47"/>
      <c r="J454" s="48"/>
      <c r="K454" s="48"/>
      <c r="L454" s="49"/>
      <c r="M454" s="49"/>
      <c r="N454" s="50"/>
      <c r="O454" s="51"/>
      <c r="P454" s="52"/>
      <c r="Q454" s="53"/>
      <c r="R454" s="77"/>
      <c r="S454" s="78"/>
      <c r="T454" s="56"/>
      <c r="U454" s="80"/>
      <c r="V454" s="56"/>
      <c r="W454" s="56"/>
      <c r="X454" s="80"/>
      <c r="Y454" s="57"/>
      <c r="Z454" s="58"/>
      <c r="AA454" s="82"/>
      <c r="AB454" s="83"/>
      <c r="AC454" s="83"/>
      <c r="AD454" s="77"/>
      <c r="AE454" s="84"/>
      <c r="AF454" s="84"/>
      <c r="AG454" s="62"/>
      <c r="AH454" s="63"/>
    </row>
    <row r="455" spans="1:36" s="88" customFormat="1" ht="16.5" thickTop="1" thickBot="1">
      <c r="A455" s="41"/>
      <c r="B455" s="42"/>
      <c r="C455" s="43"/>
      <c r="D455" s="44"/>
      <c r="E455" s="45"/>
      <c r="F455" s="46"/>
      <c r="G455" s="45"/>
      <c r="H455" s="45"/>
      <c r="I455" s="47"/>
      <c r="J455" s="48"/>
      <c r="K455" s="48"/>
      <c r="L455" s="49"/>
      <c r="M455" s="49"/>
      <c r="N455" s="50"/>
      <c r="O455" s="51"/>
      <c r="P455" s="52"/>
      <c r="Q455" s="53"/>
      <c r="R455" s="77"/>
      <c r="S455" s="78"/>
      <c r="T455" s="56"/>
      <c r="U455" s="80"/>
      <c r="V455" s="56"/>
      <c r="W455" s="56"/>
      <c r="X455" s="80"/>
      <c r="Y455" s="57"/>
      <c r="Z455" s="58"/>
      <c r="AA455" s="82"/>
      <c r="AB455" s="83"/>
      <c r="AC455" s="83"/>
      <c r="AD455" s="77"/>
      <c r="AE455" s="84"/>
      <c r="AF455" s="84"/>
      <c r="AG455" s="62"/>
      <c r="AH455" s="63"/>
    </row>
    <row r="456" spans="1:36" s="88" customFormat="1" ht="16.5" thickTop="1" thickBot="1">
      <c r="A456" s="41"/>
      <c r="B456" s="42"/>
      <c r="C456" s="43"/>
      <c r="D456" s="44"/>
      <c r="E456" s="45"/>
      <c r="F456" s="46"/>
      <c r="G456" s="45"/>
      <c r="H456" s="45"/>
      <c r="I456" s="47"/>
      <c r="J456" s="48"/>
      <c r="K456" s="48"/>
      <c r="L456" s="49"/>
      <c r="M456" s="49"/>
      <c r="N456" s="50"/>
      <c r="O456" s="51"/>
      <c r="P456" s="52"/>
      <c r="Q456" s="53"/>
      <c r="R456" s="77"/>
      <c r="S456" s="78"/>
      <c r="T456" s="56"/>
      <c r="U456" s="80"/>
      <c r="V456" s="56"/>
      <c r="W456" s="56"/>
      <c r="X456" s="80"/>
      <c r="Y456" s="57"/>
      <c r="Z456" s="58"/>
      <c r="AA456" s="82"/>
      <c r="AB456" s="83"/>
      <c r="AC456" s="83"/>
      <c r="AD456" s="77"/>
      <c r="AE456" s="84"/>
      <c r="AF456" s="84"/>
      <c r="AG456" s="62"/>
      <c r="AH456" s="63"/>
    </row>
    <row r="457" spans="1:36" s="88" customFormat="1" ht="16.5" thickTop="1" thickBot="1">
      <c r="A457" s="41"/>
      <c r="B457" s="42"/>
      <c r="C457" s="43"/>
      <c r="D457" s="44"/>
      <c r="E457" s="45"/>
      <c r="F457" s="46"/>
      <c r="G457" s="45"/>
      <c r="H457" s="45"/>
      <c r="I457" s="47"/>
      <c r="J457" s="48"/>
      <c r="K457" s="48"/>
      <c r="L457" s="49"/>
      <c r="M457" s="49"/>
      <c r="N457" s="50"/>
      <c r="O457" s="51"/>
      <c r="P457" s="52"/>
      <c r="Q457" s="53"/>
      <c r="R457" s="77"/>
      <c r="S457" s="78"/>
      <c r="T457" s="56"/>
      <c r="U457" s="80"/>
      <c r="V457" s="56"/>
      <c r="W457" s="56"/>
      <c r="X457" s="80"/>
      <c r="Y457" s="57"/>
      <c r="Z457" s="58"/>
      <c r="AA457" s="82"/>
      <c r="AB457" s="83"/>
      <c r="AC457" s="83"/>
      <c r="AD457" s="77"/>
      <c r="AE457" s="84"/>
      <c r="AF457" s="84"/>
      <c r="AG457" s="62"/>
      <c r="AH457" s="63"/>
    </row>
    <row r="458" spans="1:36" s="88" customFormat="1" ht="16.5" thickTop="1" thickBot="1">
      <c r="A458" s="41"/>
      <c r="B458" s="42"/>
      <c r="C458" s="43"/>
      <c r="D458" s="44"/>
      <c r="E458" s="45"/>
      <c r="F458" s="46"/>
      <c r="G458" s="45"/>
      <c r="H458" s="45"/>
      <c r="I458" s="47"/>
      <c r="J458" s="48"/>
      <c r="K458" s="48"/>
      <c r="L458" s="49"/>
      <c r="M458" s="49"/>
      <c r="N458" s="50"/>
      <c r="O458" s="51"/>
      <c r="P458" s="52"/>
      <c r="Q458" s="53"/>
      <c r="R458" s="77"/>
      <c r="S458" s="78"/>
      <c r="T458" s="56"/>
      <c r="U458" s="80"/>
      <c r="V458" s="56"/>
      <c r="W458" s="56"/>
      <c r="X458" s="80"/>
      <c r="Y458" s="57"/>
      <c r="Z458" s="58"/>
      <c r="AA458" s="82"/>
      <c r="AB458" s="83"/>
      <c r="AC458" s="83"/>
      <c r="AD458" s="77"/>
      <c r="AE458" s="84"/>
      <c r="AF458" s="84"/>
      <c r="AG458" s="62"/>
      <c r="AH458" s="63"/>
    </row>
    <row r="459" spans="1:36" s="88" customFormat="1" ht="16.5" thickTop="1" thickBot="1">
      <c r="A459" s="41"/>
      <c r="B459" s="42"/>
      <c r="C459" s="43"/>
      <c r="D459" s="44"/>
      <c r="E459" s="45"/>
      <c r="F459" s="46"/>
      <c r="G459" s="45"/>
      <c r="H459" s="45"/>
      <c r="I459" s="47"/>
      <c r="J459" s="48"/>
      <c r="K459" s="48"/>
      <c r="L459" s="49"/>
      <c r="M459" s="49"/>
      <c r="N459" s="50"/>
      <c r="O459" s="51"/>
      <c r="P459" s="52"/>
      <c r="Q459" s="53"/>
      <c r="R459" s="77"/>
      <c r="S459" s="78"/>
      <c r="T459" s="56"/>
      <c r="U459" s="80"/>
      <c r="V459" s="56"/>
      <c r="W459" s="56"/>
      <c r="X459" s="80"/>
      <c r="Y459" s="57"/>
      <c r="Z459" s="58"/>
      <c r="AA459" s="82"/>
      <c r="AB459" s="83"/>
      <c r="AC459" s="83"/>
      <c r="AD459" s="77"/>
      <c r="AE459" s="84"/>
      <c r="AF459" s="84"/>
      <c r="AG459" s="62"/>
      <c r="AH459" s="63"/>
    </row>
    <row r="460" spans="1:36" s="88" customFormat="1" ht="16.5" thickTop="1" thickBot="1">
      <c r="A460" s="41"/>
      <c r="B460" s="42"/>
      <c r="C460" s="43"/>
      <c r="D460" s="44"/>
      <c r="E460" s="45"/>
      <c r="F460" s="46"/>
      <c r="G460" s="45"/>
      <c r="H460" s="45"/>
      <c r="I460" s="47"/>
      <c r="J460" s="48"/>
      <c r="K460" s="48"/>
      <c r="L460" s="49"/>
      <c r="M460" s="49"/>
      <c r="N460" s="50"/>
      <c r="O460" s="51"/>
      <c r="P460" s="52"/>
      <c r="Q460" s="53"/>
      <c r="R460" s="77"/>
      <c r="S460" s="78"/>
      <c r="T460" s="56"/>
      <c r="U460" s="80"/>
      <c r="V460" s="56"/>
      <c r="W460" s="56"/>
      <c r="X460" s="80"/>
      <c r="Y460" s="57"/>
      <c r="Z460" s="58"/>
      <c r="AA460" s="82"/>
      <c r="AB460" s="83"/>
      <c r="AC460" s="83"/>
      <c r="AD460" s="77"/>
      <c r="AE460" s="84"/>
      <c r="AF460" s="84"/>
      <c r="AG460" s="62"/>
      <c r="AH460" s="63"/>
    </row>
    <row r="461" spans="1:36" s="88" customFormat="1" ht="16.5" thickTop="1" thickBot="1">
      <c r="A461" s="41"/>
      <c r="B461" s="42"/>
      <c r="C461" s="43"/>
      <c r="D461" s="44"/>
      <c r="E461" s="45"/>
      <c r="F461" s="46"/>
      <c r="G461" s="45"/>
      <c r="H461" s="45"/>
      <c r="I461" s="47"/>
      <c r="J461" s="48"/>
      <c r="K461" s="48"/>
      <c r="L461" s="49"/>
      <c r="M461" s="49"/>
      <c r="N461" s="50"/>
      <c r="O461" s="51"/>
      <c r="P461" s="52"/>
      <c r="Q461" s="53"/>
      <c r="R461" s="77"/>
      <c r="S461" s="78"/>
      <c r="T461" s="56"/>
      <c r="U461" s="80"/>
      <c r="V461" s="56"/>
      <c r="W461" s="56"/>
      <c r="X461" s="80"/>
      <c r="Y461" s="57"/>
      <c r="Z461" s="58"/>
      <c r="AA461" s="82"/>
      <c r="AB461" s="83"/>
      <c r="AC461" s="83"/>
      <c r="AD461" s="77"/>
      <c r="AE461" s="84"/>
      <c r="AF461" s="84"/>
      <c r="AG461" s="62"/>
      <c r="AH461" s="63"/>
    </row>
    <row r="462" spans="1:36" s="88" customFormat="1" ht="16.5" thickTop="1" thickBot="1">
      <c r="A462" s="41"/>
      <c r="B462" s="42"/>
      <c r="C462" s="43"/>
      <c r="D462" s="44"/>
      <c r="E462" s="45"/>
      <c r="F462" s="46"/>
      <c r="G462" s="45"/>
      <c r="H462" s="45"/>
      <c r="I462" s="47"/>
      <c r="J462" s="48"/>
      <c r="K462" s="48"/>
      <c r="L462" s="49"/>
      <c r="M462" s="49"/>
      <c r="N462" s="50"/>
      <c r="O462" s="51"/>
      <c r="P462" s="52"/>
      <c r="Q462" s="53"/>
      <c r="R462" s="77"/>
      <c r="S462" s="78"/>
      <c r="T462" s="56"/>
      <c r="U462" s="80"/>
      <c r="V462" s="56"/>
      <c r="W462" s="56"/>
      <c r="X462" s="80"/>
      <c r="Y462" s="57"/>
      <c r="Z462" s="58"/>
      <c r="AA462" s="82"/>
      <c r="AB462" s="83"/>
      <c r="AC462" s="83"/>
      <c r="AD462" s="77"/>
      <c r="AE462" s="84"/>
      <c r="AF462" s="84"/>
      <c r="AG462" s="62"/>
      <c r="AH462" s="63"/>
    </row>
    <row r="463" spans="1:36" s="88" customFormat="1" ht="16.5" thickTop="1" thickBot="1">
      <c r="A463" s="41"/>
      <c r="B463" s="42"/>
      <c r="C463" s="43"/>
      <c r="D463" s="44"/>
      <c r="E463" s="45"/>
      <c r="F463" s="46"/>
      <c r="G463" s="45"/>
      <c r="H463" s="45"/>
      <c r="I463" s="47"/>
      <c r="J463" s="48"/>
      <c r="K463" s="48"/>
      <c r="L463" s="49"/>
      <c r="M463" s="49"/>
      <c r="N463" s="50"/>
      <c r="O463" s="51"/>
      <c r="P463" s="52"/>
      <c r="Q463" s="53"/>
      <c r="R463" s="77"/>
      <c r="S463" s="78"/>
      <c r="T463" s="56"/>
      <c r="U463" s="80"/>
      <c r="V463" s="56"/>
      <c r="W463" s="56"/>
      <c r="X463" s="80"/>
      <c r="Y463" s="57"/>
      <c r="Z463" s="58"/>
      <c r="AA463" s="82"/>
      <c r="AB463" s="83"/>
      <c r="AC463" s="83"/>
      <c r="AD463" s="77"/>
      <c r="AE463" s="84"/>
      <c r="AF463" s="84"/>
      <c r="AG463" s="62"/>
      <c r="AH463" s="63"/>
    </row>
    <row r="464" spans="1:36" s="88" customFormat="1" ht="16.5" thickTop="1" thickBot="1">
      <c r="A464" s="41"/>
      <c r="B464" s="42"/>
      <c r="C464" s="43"/>
      <c r="D464" s="44"/>
      <c r="E464" s="45"/>
      <c r="F464" s="46"/>
      <c r="G464" s="45"/>
      <c r="H464" s="45"/>
      <c r="I464" s="47"/>
      <c r="J464" s="48"/>
      <c r="K464" s="48"/>
      <c r="L464" s="49"/>
      <c r="M464" s="49"/>
      <c r="N464" s="50"/>
      <c r="O464" s="51"/>
      <c r="P464" s="52"/>
      <c r="Q464" s="53"/>
      <c r="R464" s="77"/>
      <c r="S464" s="78"/>
      <c r="T464" s="56"/>
      <c r="U464" s="80"/>
      <c r="V464" s="56"/>
      <c r="W464" s="56"/>
      <c r="X464" s="80"/>
      <c r="Y464" s="57"/>
      <c r="Z464" s="58"/>
      <c r="AA464" s="82"/>
      <c r="AB464" s="83"/>
      <c r="AC464" s="83"/>
      <c r="AD464" s="77"/>
      <c r="AE464" s="84"/>
      <c r="AF464" s="84"/>
      <c r="AG464" s="62"/>
      <c r="AH464" s="63"/>
    </row>
    <row r="465" spans="1:34" s="88" customFormat="1" ht="16.5" thickTop="1" thickBot="1">
      <c r="A465" s="41"/>
      <c r="B465" s="42"/>
      <c r="C465" s="43"/>
      <c r="D465" s="44"/>
      <c r="E465" s="45"/>
      <c r="F465" s="46"/>
      <c r="G465" s="45"/>
      <c r="H465" s="45"/>
      <c r="I465" s="47"/>
      <c r="J465" s="48"/>
      <c r="K465" s="48"/>
      <c r="L465" s="49"/>
      <c r="M465" s="49"/>
      <c r="N465" s="50"/>
      <c r="O465" s="51"/>
      <c r="P465" s="52"/>
      <c r="Q465" s="53"/>
      <c r="R465" s="77"/>
      <c r="S465" s="78"/>
      <c r="T465" s="56"/>
      <c r="U465" s="80"/>
      <c r="V465" s="56"/>
      <c r="W465" s="56"/>
      <c r="X465" s="80"/>
      <c r="Y465" s="57"/>
      <c r="Z465" s="58"/>
      <c r="AA465" s="82"/>
      <c r="AB465" s="83"/>
      <c r="AC465" s="83"/>
      <c r="AD465" s="77"/>
      <c r="AE465" s="84"/>
      <c r="AF465" s="84"/>
      <c r="AG465" s="62"/>
      <c r="AH465" s="63"/>
    </row>
    <row r="466" spans="1:34" s="88" customFormat="1" ht="16.5" thickTop="1" thickBot="1">
      <c r="A466" s="41"/>
      <c r="B466" s="42"/>
      <c r="C466" s="43"/>
      <c r="D466" s="44"/>
      <c r="E466" s="45"/>
      <c r="F466" s="46"/>
      <c r="G466" s="45"/>
      <c r="H466" s="45"/>
      <c r="I466" s="47"/>
      <c r="J466" s="48"/>
      <c r="K466" s="48"/>
      <c r="L466" s="49"/>
      <c r="M466" s="49"/>
      <c r="N466" s="50"/>
      <c r="O466" s="51"/>
      <c r="P466" s="52"/>
      <c r="Q466" s="53"/>
      <c r="R466" s="77"/>
      <c r="S466" s="78"/>
      <c r="T466" s="56"/>
      <c r="U466" s="80"/>
      <c r="V466" s="56"/>
      <c r="W466" s="56"/>
      <c r="X466" s="80"/>
      <c r="Y466" s="57"/>
      <c r="Z466" s="58"/>
      <c r="AA466" s="82"/>
      <c r="AB466" s="83"/>
      <c r="AC466" s="83"/>
      <c r="AD466" s="77"/>
      <c r="AE466" s="84"/>
      <c r="AF466" s="84"/>
      <c r="AG466" s="62"/>
      <c r="AH466" s="63"/>
    </row>
    <row r="467" spans="1:34" s="88" customFormat="1" ht="16.5" thickTop="1" thickBot="1">
      <c r="A467" s="41"/>
      <c r="B467" s="42"/>
      <c r="C467" s="43"/>
      <c r="D467" s="44"/>
      <c r="E467" s="45"/>
      <c r="F467" s="46"/>
      <c r="G467" s="45"/>
      <c r="H467" s="45"/>
      <c r="I467" s="47"/>
      <c r="J467" s="48"/>
      <c r="K467" s="48"/>
      <c r="L467" s="49"/>
      <c r="M467" s="49"/>
      <c r="N467" s="50"/>
      <c r="O467" s="51"/>
      <c r="P467" s="52"/>
      <c r="Q467" s="53"/>
      <c r="R467" s="77"/>
      <c r="S467" s="78"/>
      <c r="T467" s="56"/>
      <c r="U467" s="80"/>
      <c r="V467" s="56"/>
      <c r="W467" s="56"/>
      <c r="X467" s="80"/>
      <c r="Y467" s="57"/>
      <c r="Z467" s="58"/>
      <c r="AA467" s="82"/>
      <c r="AB467" s="83"/>
      <c r="AC467" s="83"/>
      <c r="AD467" s="77"/>
      <c r="AE467" s="84"/>
      <c r="AF467" s="84"/>
      <c r="AG467" s="62"/>
      <c r="AH467" s="63"/>
    </row>
    <row r="468" spans="1:34" s="88" customFormat="1" ht="16.5" thickTop="1" thickBot="1">
      <c r="A468" s="41"/>
      <c r="B468" s="42"/>
      <c r="C468" s="43"/>
      <c r="D468" s="44"/>
      <c r="E468" s="45"/>
      <c r="F468" s="46"/>
      <c r="G468" s="45"/>
      <c r="H468" s="45"/>
      <c r="I468" s="47"/>
      <c r="J468" s="48"/>
      <c r="K468" s="48"/>
      <c r="L468" s="49"/>
      <c r="M468" s="49"/>
      <c r="N468" s="50"/>
      <c r="O468" s="51"/>
      <c r="P468" s="52"/>
      <c r="Q468" s="53"/>
      <c r="R468" s="77"/>
      <c r="S468" s="78"/>
      <c r="T468" s="56"/>
      <c r="U468" s="80"/>
      <c r="V468" s="56"/>
      <c r="W468" s="56"/>
      <c r="X468" s="80"/>
      <c r="Y468" s="57"/>
      <c r="Z468" s="58"/>
      <c r="AA468" s="82"/>
      <c r="AB468" s="83"/>
      <c r="AC468" s="83"/>
      <c r="AD468" s="77"/>
      <c r="AE468" s="84"/>
      <c r="AF468" s="84"/>
      <c r="AG468" s="62"/>
      <c r="AH468" s="63"/>
    </row>
    <row r="469" spans="1:34" s="88" customFormat="1" ht="16.5" thickTop="1" thickBot="1">
      <c r="A469" s="41"/>
      <c r="B469" s="42"/>
      <c r="C469" s="43"/>
      <c r="D469" s="44"/>
      <c r="E469" s="45"/>
      <c r="F469" s="46"/>
      <c r="G469" s="45"/>
      <c r="H469" s="45"/>
      <c r="I469" s="47"/>
      <c r="J469" s="48"/>
      <c r="K469" s="48"/>
      <c r="L469" s="49"/>
      <c r="M469" s="49"/>
      <c r="N469" s="50"/>
      <c r="O469" s="51"/>
      <c r="P469" s="52"/>
      <c r="Q469" s="53"/>
      <c r="R469" s="77"/>
      <c r="S469" s="78"/>
      <c r="T469" s="56"/>
      <c r="U469" s="80"/>
      <c r="V469" s="56"/>
      <c r="W469" s="56"/>
      <c r="X469" s="80"/>
      <c r="Y469" s="57"/>
      <c r="Z469" s="58"/>
      <c r="AA469" s="82"/>
      <c r="AB469" s="83"/>
      <c r="AC469" s="83"/>
      <c r="AD469" s="77"/>
      <c r="AE469" s="84"/>
      <c r="AF469" s="84"/>
      <c r="AG469" s="62"/>
      <c r="AH469" s="63"/>
    </row>
    <row r="470" spans="1:34" s="88" customFormat="1" ht="16.5" thickTop="1" thickBot="1">
      <c r="A470" s="41"/>
      <c r="B470" s="42"/>
      <c r="C470" s="43"/>
      <c r="D470" s="44"/>
      <c r="E470" s="45"/>
      <c r="F470" s="46"/>
      <c r="G470" s="45"/>
      <c r="H470" s="45"/>
      <c r="I470" s="47"/>
      <c r="J470" s="48"/>
      <c r="K470" s="48"/>
      <c r="L470" s="49"/>
      <c r="M470" s="49"/>
      <c r="N470" s="50"/>
      <c r="O470" s="51"/>
      <c r="P470" s="52"/>
      <c r="Q470" s="53"/>
      <c r="R470" s="77"/>
      <c r="S470" s="78"/>
      <c r="T470" s="56"/>
      <c r="U470" s="80"/>
      <c r="V470" s="56"/>
      <c r="W470" s="56"/>
      <c r="X470" s="80"/>
      <c r="Y470" s="57"/>
      <c r="Z470" s="58"/>
      <c r="AA470" s="82"/>
      <c r="AB470" s="83"/>
      <c r="AC470" s="83"/>
      <c r="AD470" s="77"/>
      <c r="AE470" s="84"/>
      <c r="AF470" s="84"/>
      <c r="AG470" s="62"/>
      <c r="AH470" s="63"/>
    </row>
    <row r="471" spans="1:34" s="88" customFormat="1" ht="16.5" thickTop="1" thickBot="1">
      <c r="A471" s="41"/>
      <c r="B471" s="42"/>
      <c r="C471" s="43"/>
      <c r="D471" s="44"/>
      <c r="E471" s="45"/>
      <c r="F471" s="46"/>
      <c r="G471" s="45"/>
      <c r="H471" s="45"/>
      <c r="I471" s="47"/>
      <c r="J471" s="48"/>
      <c r="K471" s="48"/>
      <c r="L471" s="49"/>
      <c r="M471" s="49"/>
      <c r="N471" s="50"/>
      <c r="O471" s="51"/>
      <c r="P471" s="52"/>
      <c r="Q471" s="53"/>
      <c r="R471" s="77"/>
      <c r="S471" s="78"/>
      <c r="T471" s="56"/>
      <c r="U471" s="80"/>
      <c r="V471" s="56"/>
      <c r="W471" s="56"/>
      <c r="X471" s="80"/>
      <c r="Y471" s="57"/>
      <c r="Z471" s="58"/>
      <c r="AA471" s="82"/>
      <c r="AB471" s="83"/>
      <c r="AC471" s="83"/>
      <c r="AD471" s="77"/>
      <c r="AE471" s="84"/>
      <c r="AF471" s="84"/>
      <c r="AG471" s="62"/>
      <c r="AH471" s="63"/>
    </row>
    <row r="472" spans="1:34" ht="16.5" thickTop="1" thickBot="1">
      <c r="A472" s="41"/>
      <c r="B472" s="42"/>
      <c r="C472" s="43"/>
      <c r="D472" s="44"/>
      <c r="E472" s="45"/>
      <c r="F472" s="46"/>
      <c r="G472" s="45"/>
      <c r="H472" s="45"/>
      <c r="I472" s="47"/>
      <c r="J472" s="48"/>
      <c r="K472" s="48"/>
      <c r="L472" s="49"/>
      <c r="M472" s="49"/>
      <c r="N472" s="50"/>
      <c r="O472" s="51"/>
      <c r="P472" s="52"/>
      <c r="Q472" s="53"/>
      <c r="R472" s="54"/>
      <c r="S472" s="55"/>
      <c r="T472" s="56"/>
      <c r="U472" s="57"/>
      <c r="V472" s="56"/>
      <c r="W472" s="56"/>
      <c r="X472" s="57"/>
      <c r="Y472" s="57"/>
      <c r="Z472" s="58"/>
      <c r="AA472" s="59"/>
      <c r="AB472" s="60"/>
      <c r="AC472" s="60"/>
      <c r="AD472" s="54"/>
      <c r="AE472" s="61"/>
      <c r="AF472" s="61"/>
      <c r="AG472" s="62"/>
      <c r="AH472" s="63"/>
    </row>
    <row r="473" spans="1:34" ht="16.5" thickTop="1" thickBot="1">
      <c r="A473" s="41"/>
      <c r="B473" s="42"/>
      <c r="C473" s="43"/>
      <c r="D473" s="44"/>
      <c r="E473" s="45"/>
      <c r="F473" s="46"/>
      <c r="G473" s="45"/>
      <c r="H473" s="45"/>
      <c r="I473" s="47"/>
      <c r="J473" s="48"/>
      <c r="K473" s="48"/>
      <c r="L473" s="49"/>
      <c r="M473" s="49"/>
      <c r="N473" s="50"/>
      <c r="O473" s="51"/>
      <c r="P473" s="52"/>
      <c r="Q473" s="53"/>
      <c r="R473" s="54"/>
      <c r="S473" s="55"/>
      <c r="T473" s="56"/>
      <c r="U473" s="57"/>
      <c r="V473" s="56"/>
      <c r="W473" s="56"/>
      <c r="X473" s="57"/>
      <c r="Y473" s="57"/>
      <c r="Z473" s="58"/>
      <c r="AA473" s="59"/>
      <c r="AB473" s="60"/>
      <c r="AC473" s="60"/>
      <c r="AD473" s="54"/>
      <c r="AE473" s="61"/>
      <c r="AF473" s="61"/>
      <c r="AG473" s="62"/>
      <c r="AH473" s="63"/>
    </row>
    <row r="474" spans="1:34" ht="16.5" thickTop="1" thickBot="1">
      <c r="A474" s="41"/>
      <c r="B474" s="42"/>
      <c r="C474" s="43"/>
      <c r="D474" s="44"/>
      <c r="E474" s="45"/>
      <c r="F474" s="46"/>
      <c r="G474" s="45"/>
      <c r="H474" s="45"/>
      <c r="I474" s="47"/>
      <c r="J474" s="48"/>
      <c r="K474" s="48"/>
      <c r="L474" s="49"/>
      <c r="M474" s="49"/>
      <c r="N474" s="50"/>
      <c r="O474" s="51"/>
      <c r="P474" s="52"/>
      <c r="Q474" s="53"/>
      <c r="R474" s="54"/>
      <c r="S474" s="55"/>
      <c r="T474" s="56"/>
      <c r="U474" s="57"/>
      <c r="V474" s="56"/>
      <c r="W474" s="56"/>
      <c r="X474" s="57"/>
      <c r="Y474" s="57"/>
      <c r="Z474" s="58"/>
      <c r="AA474" s="59"/>
      <c r="AB474" s="60"/>
      <c r="AC474" s="60"/>
      <c r="AD474" s="54"/>
      <c r="AE474" s="61"/>
      <c r="AF474" s="61"/>
      <c r="AG474" s="62"/>
      <c r="AH474" s="63"/>
    </row>
    <row r="475" spans="1:34" ht="16.5" thickTop="1" thickBot="1">
      <c r="A475" s="41"/>
      <c r="B475" s="42"/>
      <c r="C475" s="43"/>
      <c r="D475" s="44"/>
      <c r="E475" s="45"/>
      <c r="F475" s="46"/>
      <c r="G475" s="45"/>
      <c r="H475" s="45"/>
      <c r="I475" s="47"/>
      <c r="J475" s="48"/>
      <c r="K475" s="48"/>
      <c r="L475" s="49"/>
      <c r="M475" s="49"/>
      <c r="N475" s="50"/>
      <c r="O475" s="51"/>
      <c r="P475" s="52"/>
      <c r="Q475" s="53"/>
      <c r="R475" s="54"/>
      <c r="S475" s="55"/>
      <c r="T475" s="56"/>
      <c r="U475" s="57"/>
      <c r="V475" s="56"/>
      <c r="W475" s="56"/>
      <c r="X475" s="57"/>
      <c r="Y475" s="57"/>
      <c r="Z475" s="58"/>
      <c r="AA475" s="59"/>
      <c r="AB475" s="60"/>
      <c r="AC475" s="60"/>
      <c r="AD475" s="54"/>
      <c r="AE475" s="61"/>
      <c r="AF475" s="61"/>
      <c r="AG475" s="62"/>
      <c r="AH475" s="63"/>
    </row>
    <row r="476" spans="1:34" ht="16.5" thickTop="1" thickBot="1">
      <c r="A476" s="41"/>
      <c r="B476" s="42"/>
      <c r="C476" s="43"/>
      <c r="D476" s="44"/>
      <c r="E476" s="45"/>
      <c r="F476" s="46"/>
      <c r="G476" s="45"/>
      <c r="H476" s="45"/>
      <c r="I476" s="47"/>
      <c r="J476" s="48"/>
      <c r="K476" s="48"/>
      <c r="L476" s="49"/>
      <c r="M476" s="49"/>
      <c r="N476" s="50"/>
      <c r="O476" s="51"/>
      <c r="P476" s="52"/>
      <c r="Q476" s="53"/>
      <c r="R476" s="54"/>
      <c r="S476" s="55"/>
      <c r="T476" s="56"/>
      <c r="U476" s="57"/>
      <c r="V476" s="56"/>
      <c r="W476" s="56"/>
      <c r="X476" s="93"/>
      <c r="Y476" s="57"/>
      <c r="Z476" s="58"/>
      <c r="AA476" s="59"/>
      <c r="AB476" s="60"/>
      <c r="AC476" s="60"/>
      <c r="AD476" s="54"/>
      <c r="AE476" s="61"/>
      <c r="AF476" s="61"/>
      <c r="AG476" s="62"/>
      <c r="AH476" s="63"/>
    </row>
    <row r="477" spans="1:34" ht="16.5" thickTop="1" thickBot="1">
      <c r="A477" s="41"/>
      <c r="B477" s="42"/>
      <c r="C477" s="43"/>
      <c r="D477" s="44"/>
      <c r="E477" s="45"/>
      <c r="F477" s="46"/>
      <c r="G477" s="45"/>
      <c r="H477" s="45"/>
      <c r="I477" s="47"/>
      <c r="J477" s="48"/>
      <c r="K477" s="48"/>
      <c r="L477" s="49"/>
      <c r="M477" s="49"/>
      <c r="N477" s="50"/>
      <c r="O477" s="51"/>
      <c r="P477" s="52"/>
      <c r="Q477" s="53"/>
      <c r="R477" s="54"/>
      <c r="S477" s="55"/>
      <c r="T477" s="56"/>
      <c r="U477" s="57"/>
      <c r="V477" s="56"/>
      <c r="W477" s="56"/>
      <c r="X477" s="57"/>
      <c r="Y477" s="57"/>
      <c r="Z477" s="58"/>
      <c r="AA477" s="59"/>
      <c r="AB477" s="60"/>
      <c r="AC477" s="60"/>
      <c r="AD477" s="54"/>
      <c r="AE477" s="61"/>
      <c r="AF477" s="61"/>
      <c r="AG477" s="62"/>
      <c r="AH477" s="63"/>
    </row>
    <row r="478" spans="1:34" ht="16.5" thickTop="1" thickBot="1">
      <c r="A478" s="41"/>
      <c r="B478" s="42"/>
      <c r="C478" s="43"/>
      <c r="D478" s="44"/>
      <c r="E478" s="45"/>
      <c r="F478" s="46"/>
      <c r="G478" s="45"/>
      <c r="H478" s="45"/>
      <c r="I478" s="47"/>
      <c r="J478" s="48"/>
      <c r="K478" s="48"/>
      <c r="L478" s="49"/>
      <c r="M478" s="49"/>
      <c r="N478" s="50"/>
      <c r="O478" s="51"/>
      <c r="P478" s="52"/>
      <c r="Q478" s="53"/>
      <c r="R478" s="54"/>
      <c r="S478" s="55"/>
      <c r="T478" s="56"/>
      <c r="U478" s="57"/>
      <c r="V478" s="56"/>
      <c r="W478" s="56"/>
      <c r="X478" s="57"/>
      <c r="Y478" s="57"/>
      <c r="Z478" s="58"/>
      <c r="AA478" s="59"/>
      <c r="AB478" s="60"/>
      <c r="AC478" s="60"/>
      <c r="AD478" s="54"/>
      <c r="AE478" s="61"/>
      <c r="AF478" s="61"/>
      <c r="AG478" s="62"/>
      <c r="AH478" s="63"/>
    </row>
    <row r="479" spans="1:34" ht="16.5" thickTop="1" thickBot="1">
      <c r="A479" s="41"/>
      <c r="B479" s="42"/>
      <c r="C479" s="43"/>
      <c r="D479" s="44"/>
      <c r="E479" s="45"/>
      <c r="F479" s="46"/>
      <c r="G479" s="45"/>
      <c r="H479" s="45"/>
      <c r="I479" s="47"/>
      <c r="J479" s="48"/>
      <c r="K479" s="48"/>
      <c r="L479" s="49"/>
      <c r="M479" s="49"/>
      <c r="N479" s="50"/>
      <c r="O479" s="51"/>
      <c r="P479" s="52"/>
      <c r="Q479" s="53"/>
      <c r="R479" s="54"/>
      <c r="S479" s="55"/>
      <c r="T479" s="56"/>
      <c r="U479" s="57"/>
      <c r="V479" s="56"/>
      <c r="W479" s="56"/>
      <c r="X479" s="57"/>
      <c r="Y479" s="57"/>
      <c r="Z479" s="58"/>
      <c r="AA479" s="59"/>
      <c r="AB479" s="60"/>
      <c r="AC479" s="60"/>
      <c r="AD479" s="54"/>
      <c r="AE479" s="61"/>
      <c r="AF479" s="61"/>
      <c r="AG479" s="62"/>
      <c r="AH479" s="63"/>
    </row>
    <row r="480" spans="1:34" ht="16.5" thickTop="1" thickBot="1">
      <c r="A480" s="41"/>
      <c r="B480" s="42"/>
      <c r="C480" s="43"/>
      <c r="D480" s="44"/>
      <c r="E480" s="45"/>
      <c r="F480" s="46"/>
      <c r="G480" s="45"/>
      <c r="H480" s="45"/>
      <c r="I480" s="47"/>
      <c r="J480" s="48"/>
      <c r="K480" s="48"/>
      <c r="L480" s="49"/>
      <c r="M480" s="49"/>
      <c r="N480" s="50"/>
      <c r="O480" s="51"/>
      <c r="P480" s="52"/>
      <c r="Q480" s="53"/>
      <c r="R480" s="54"/>
      <c r="S480" s="55"/>
      <c r="T480" s="56"/>
      <c r="U480" s="57"/>
      <c r="V480" s="56"/>
      <c r="W480" s="56"/>
      <c r="X480" s="57"/>
      <c r="Y480" s="57"/>
      <c r="Z480" s="58"/>
      <c r="AA480" s="59"/>
      <c r="AB480" s="60"/>
      <c r="AC480" s="60"/>
      <c r="AD480" s="54"/>
      <c r="AE480" s="61"/>
      <c r="AF480" s="61"/>
      <c r="AG480" s="62"/>
      <c r="AH480" s="63"/>
    </row>
    <row r="481" spans="1:36" ht="16.5" thickTop="1" thickBot="1">
      <c r="A481" s="41"/>
      <c r="B481" s="42"/>
      <c r="C481" s="43"/>
      <c r="D481" s="44"/>
      <c r="E481" s="45"/>
      <c r="F481" s="46"/>
      <c r="G481" s="45"/>
      <c r="H481" s="45"/>
      <c r="I481" s="47"/>
      <c r="J481" s="48"/>
      <c r="K481" s="48"/>
      <c r="L481" s="49"/>
      <c r="M481" s="49"/>
      <c r="N481" s="50"/>
      <c r="O481" s="51"/>
      <c r="P481" s="52"/>
      <c r="Q481" s="53"/>
      <c r="R481" s="54"/>
      <c r="S481" s="55"/>
      <c r="T481" s="56"/>
      <c r="U481" s="57"/>
      <c r="V481" s="56"/>
      <c r="W481" s="56"/>
      <c r="X481" s="57"/>
      <c r="Y481" s="57"/>
      <c r="Z481" s="58"/>
      <c r="AA481" s="59"/>
      <c r="AB481" s="60"/>
      <c r="AC481" s="60"/>
      <c r="AD481" s="54"/>
      <c r="AE481" s="61"/>
      <c r="AF481" s="61"/>
      <c r="AG481" s="62"/>
      <c r="AH481" s="63"/>
    </row>
    <row r="482" spans="1:36" ht="16.5" thickTop="1" thickBot="1">
      <c r="A482" s="41"/>
      <c r="B482" s="42"/>
      <c r="C482" s="43"/>
      <c r="D482" s="44"/>
      <c r="E482" s="45"/>
      <c r="F482" s="46"/>
      <c r="G482" s="45"/>
      <c r="H482" s="45"/>
      <c r="I482" s="47"/>
      <c r="J482" s="48"/>
      <c r="K482" s="48"/>
      <c r="L482" s="49"/>
      <c r="M482" s="49"/>
      <c r="N482" s="50"/>
      <c r="O482" s="51"/>
      <c r="P482" s="52"/>
      <c r="Q482" s="53"/>
      <c r="R482" s="54"/>
      <c r="S482" s="55"/>
      <c r="T482" s="56"/>
      <c r="U482" s="57"/>
      <c r="V482" s="56"/>
      <c r="W482" s="56"/>
      <c r="X482" s="57"/>
      <c r="Y482" s="57"/>
      <c r="Z482" s="58"/>
      <c r="AA482" s="59"/>
      <c r="AB482" s="60"/>
      <c r="AC482" s="60"/>
      <c r="AD482" s="54"/>
      <c r="AE482" s="61"/>
      <c r="AF482" s="61"/>
      <c r="AG482" s="62"/>
      <c r="AH482" s="63"/>
    </row>
    <row r="483" spans="1:36" ht="16.5" thickTop="1" thickBot="1">
      <c r="A483" s="41"/>
      <c r="B483" s="42"/>
      <c r="C483" s="43"/>
      <c r="D483" s="44"/>
      <c r="E483" s="45"/>
      <c r="F483" s="46"/>
      <c r="G483" s="45"/>
      <c r="H483" s="45"/>
      <c r="I483" s="47"/>
      <c r="J483" s="48"/>
      <c r="K483" s="48"/>
      <c r="L483" s="49"/>
      <c r="M483" s="49"/>
      <c r="N483" s="50"/>
      <c r="O483" s="51"/>
      <c r="P483" s="52"/>
      <c r="Q483" s="53"/>
      <c r="R483" s="54"/>
      <c r="S483" s="55"/>
      <c r="T483" s="56"/>
      <c r="U483" s="57"/>
      <c r="V483" s="56"/>
      <c r="W483" s="56"/>
      <c r="X483" s="57"/>
      <c r="Y483" s="57"/>
      <c r="Z483" s="58"/>
      <c r="AA483" s="59"/>
      <c r="AB483" s="60"/>
      <c r="AC483" s="60"/>
      <c r="AD483" s="54"/>
      <c r="AE483" s="61"/>
      <c r="AF483" s="61"/>
      <c r="AG483" s="62"/>
      <c r="AH483" s="63"/>
    </row>
    <row r="484" spans="1:36" ht="16.5" thickTop="1" thickBot="1">
      <c r="A484" s="41"/>
      <c r="B484" s="42"/>
      <c r="C484" s="43"/>
      <c r="D484" s="44"/>
      <c r="E484" s="45"/>
      <c r="F484" s="46"/>
      <c r="G484" s="45"/>
      <c r="H484" s="45"/>
      <c r="I484" s="47"/>
      <c r="J484" s="48"/>
      <c r="K484" s="48"/>
      <c r="L484" s="49"/>
      <c r="M484" s="49"/>
      <c r="N484" s="50"/>
      <c r="O484" s="51"/>
      <c r="P484" s="52"/>
      <c r="Q484" s="53"/>
      <c r="R484" s="54"/>
      <c r="S484" s="55"/>
      <c r="T484" s="56"/>
      <c r="U484" s="57"/>
      <c r="V484" s="56"/>
      <c r="W484" s="56"/>
      <c r="X484" s="57"/>
      <c r="Y484" s="57"/>
      <c r="Z484" s="58"/>
      <c r="AA484" s="59"/>
      <c r="AB484" s="60"/>
      <c r="AC484" s="60"/>
      <c r="AD484" s="54"/>
      <c r="AE484" s="61"/>
      <c r="AF484" s="61"/>
      <c r="AG484" s="62"/>
      <c r="AH484" s="63"/>
    </row>
    <row r="485" spans="1:36" ht="16.5" thickTop="1" thickBot="1">
      <c r="A485" s="41"/>
      <c r="B485" s="42"/>
      <c r="C485" s="43"/>
      <c r="D485" s="44"/>
      <c r="E485" s="45"/>
      <c r="F485" s="46"/>
      <c r="G485" s="45"/>
      <c r="H485" s="45"/>
      <c r="I485" s="47"/>
      <c r="J485" s="48"/>
      <c r="K485" s="48"/>
      <c r="L485" s="49"/>
      <c r="M485" s="49"/>
      <c r="N485" s="50"/>
      <c r="O485" s="51"/>
      <c r="P485" s="52"/>
      <c r="Q485" s="53"/>
      <c r="R485" s="77"/>
      <c r="S485" s="78"/>
      <c r="T485" s="56"/>
      <c r="U485" s="57"/>
      <c r="V485" s="56"/>
      <c r="W485" s="56"/>
      <c r="X485" s="57"/>
      <c r="Y485" s="57"/>
      <c r="Z485" s="58"/>
      <c r="AA485" s="82"/>
      <c r="AB485" s="60"/>
      <c r="AC485" s="60"/>
      <c r="AD485" s="54"/>
      <c r="AE485" s="61"/>
      <c r="AF485" s="61"/>
      <c r="AG485" s="62"/>
      <c r="AH485" s="63"/>
    </row>
    <row r="486" spans="1:36" ht="16.5" thickTop="1" thickBot="1">
      <c r="A486" s="41"/>
      <c r="B486" s="42"/>
      <c r="C486" s="43"/>
      <c r="D486" s="44"/>
      <c r="E486" s="45"/>
      <c r="F486" s="46"/>
      <c r="G486" s="45"/>
      <c r="H486" s="45"/>
      <c r="I486" s="47"/>
      <c r="J486" s="48"/>
      <c r="K486" s="48"/>
      <c r="L486" s="49"/>
      <c r="M486" s="49"/>
      <c r="N486" s="50"/>
      <c r="O486" s="51"/>
      <c r="P486" s="52"/>
      <c r="Q486" s="53"/>
      <c r="R486" s="77"/>
      <c r="S486" s="78"/>
      <c r="T486" s="56"/>
      <c r="U486" s="57"/>
      <c r="V486" s="56"/>
      <c r="W486" s="56"/>
      <c r="X486" s="57"/>
      <c r="Y486" s="57"/>
      <c r="Z486" s="58"/>
      <c r="AA486" s="82"/>
      <c r="AB486" s="60"/>
      <c r="AC486" s="60"/>
      <c r="AD486" s="54"/>
      <c r="AE486" s="61"/>
      <c r="AF486" s="61"/>
      <c r="AG486" s="62"/>
      <c r="AH486" s="63"/>
    </row>
    <row r="487" spans="1:36" ht="16.5" thickTop="1" thickBot="1">
      <c r="A487" s="41"/>
      <c r="B487" s="42"/>
      <c r="C487" s="43"/>
      <c r="D487" s="44"/>
      <c r="E487" s="45"/>
      <c r="F487" s="46"/>
      <c r="G487" s="45"/>
      <c r="H487" s="45"/>
      <c r="I487" s="47"/>
      <c r="J487" s="48"/>
      <c r="K487" s="48"/>
      <c r="L487" s="49"/>
      <c r="M487" s="49"/>
      <c r="N487" s="50"/>
      <c r="O487" s="51"/>
      <c r="P487" s="52"/>
      <c r="Q487" s="53"/>
      <c r="R487" s="77"/>
      <c r="S487" s="78"/>
      <c r="T487" s="56"/>
      <c r="U487" s="57"/>
      <c r="V487" s="56"/>
      <c r="W487" s="56"/>
      <c r="X487" s="57"/>
      <c r="Y487" s="57"/>
      <c r="Z487" s="58"/>
      <c r="AA487" s="82"/>
      <c r="AB487" s="60"/>
      <c r="AC487" s="60"/>
      <c r="AD487" s="54"/>
      <c r="AE487" s="61"/>
      <c r="AF487" s="61"/>
      <c r="AG487" s="62"/>
      <c r="AH487" s="63"/>
    </row>
    <row r="488" spans="1:36" ht="16.5" thickTop="1" thickBot="1">
      <c r="A488" s="41"/>
      <c r="B488" s="42"/>
      <c r="C488" s="43"/>
      <c r="D488" s="44"/>
      <c r="E488" s="45"/>
      <c r="F488" s="46"/>
      <c r="G488" s="45"/>
      <c r="H488" s="45"/>
      <c r="I488" s="47"/>
      <c r="J488" s="48"/>
      <c r="K488" s="48"/>
      <c r="L488" s="49"/>
      <c r="M488" s="49"/>
      <c r="N488" s="50"/>
      <c r="O488" s="51"/>
      <c r="P488" s="52"/>
      <c r="Q488" s="53"/>
      <c r="R488" s="77"/>
      <c r="S488" s="78"/>
      <c r="T488" s="56"/>
      <c r="U488" s="57"/>
      <c r="V488" s="56"/>
      <c r="W488" s="56"/>
      <c r="X488" s="57"/>
      <c r="Y488" s="57"/>
      <c r="Z488" s="58"/>
      <c r="AA488" s="82"/>
      <c r="AB488" s="60"/>
      <c r="AC488" s="60"/>
      <c r="AD488" s="54"/>
      <c r="AE488" s="61"/>
      <c r="AF488" s="61"/>
      <c r="AG488" s="62"/>
      <c r="AH488" s="63"/>
    </row>
    <row r="489" spans="1:36" ht="16.5" thickTop="1" thickBot="1">
      <c r="A489" s="41"/>
      <c r="B489" s="42"/>
      <c r="C489" s="43"/>
      <c r="D489" s="44"/>
      <c r="E489" s="45"/>
      <c r="F489" s="46"/>
      <c r="G489" s="45"/>
      <c r="H489" s="45"/>
      <c r="I489" s="47"/>
      <c r="J489" s="48"/>
      <c r="K489" s="48"/>
      <c r="L489" s="49"/>
      <c r="M489" s="49"/>
      <c r="N489" s="50"/>
      <c r="O489" s="51"/>
      <c r="P489" s="52"/>
      <c r="Q489" s="53"/>
      <c r="R489" s="77"/>
      <c r="S489" s="78"/>
      <c r="T489" s="56"/>
      <c r="U489" s="57"/>
      <c r="V489" s="56"/>
      <c r="W489" s="56"/>
      <c r="X489" s="57"/>
      <c r="Y489" s="57"/>
      <c r="Z489" s="58"/>
      <c r="AA489" s="82"/>
      <c r="AB489" s="60"/>
      <c r="AC489" s="60"/>
      <c r="AD489" s="54"/>
      <c r="AE489" s="61"/>
      <c r="AF489" s="61"/>
      <c r="AG489" s="62"/>
      <c r="AH489" s="63"/>
      <c r="AI489" s="92"/>
      <c r="AJ489" s="92"/>
    </row>
    <row r="490" spans="1:36" ht="16.5" thickTop="1" thickBot="1">
      <c r="A490" s="41"/>
      <c r="B490" s="42"/>
      <c r="C490" s="43"/>
      <c r="D490" s="44"/>
      <c r="E490" s="45"/>
      <c r="F490" s="46"/>
      <c r="G490" s="45"/>
      <c r="H490" s="45"/>
      <c r="I490" s="47"/>
      <c r="J490" s="48"/>
      <c r="K490" s="48"/>
      <c r="L490" s="49"/>
      <c r="M490" s="49"/>
      <c r="N490" s="50"/>
      <c r="O490" s="51"/>
      <c r="P490" s="52"/>
      <c r="Q490" s="53"/>
      <c r="R490" s="77"/>
      <c r="S490" s="78"/>
      <c r="T490" s="56"/>
      <c r="U490" s="57"/>
      <c r="V490" s="56"/>
      <c r="W490" s="56"/>
      <c r="X490" s="57"/>
      <c r="Y490" s="57"/>
      <c r="Z490" s="58"/>
      <c r="AA490" s="82"/>
      <c r="AB490" s="60"/>
      <c r="AC490" s="60"/>
      <c r="AD490" s="54"/>
      <c r="AE490" s="61"/>
      <c r="AF490" s="61"/>
      <c r="AG490" s="62"/>
      <c r="AH490" s="63"/>
    </row>
    <row r="491" spans="1:36" s="88" customFormat="1" ht="16.5" thickTop="1" thickBot="1">
      <c r="A491" s="41"/>
      <c r="B491" s="42"/>
      <c r="C491" s="43"/>
      <c r="D491" s="44"/>
      <c r="E491" s="45"/>
      <c r="F491" s="46"/>
      <c r="G491" s="45"/>
      <c r="H491" s="45"/>
      <c r="I491" s="47"/>
      <c r="J491" s="48"/>
      <c r="K491" s="48"/>
      <c r="L491" s="49"/>
      <c r="M491" s="49"/>
      <c r="N491" s="50"/>
      <c r="O491" s="51"/>
      <c r="P491" s="52"/>
      <c r="Q491" s="53"/>
      <c r="R491" s="77"/>
      <c r="S491" s="78"/>
      <c r="T491" s="56"/>
      <c r="U491" s="80"/>
      <c r="V491" s="56"/>
      <c r="W491" s="56"/>
      <c r="X491" s="80"/>
      <c r="Y491" s="57"/>
      <c r="Z491" s="58"/>
      <c r="AA491" s="82"/>
      <c r="AB491" s="83"/>
      <c r="AC491" s="83"/>
      <c r="AD491" s="77"/>
      <c r="AE491" s="84"/>
      <c r="AF491" s="84"/>
      <c r="AG491" s="62"/>
      <c r="AH491" s="63"/>
    </row>
    <row r="492" spans="1:36" s="88" customFormat="1" ht="16.5" thickTop="1" thickBot="1">
      <c r="A492" s="41"/>
      <c r="B492" s="42"/>
      <c r="C492" s="43"/>
      <c r="D492" s="44"/>
      <c r="E492" s="45"/>
      <c r="F492" s="46"/>
      <c r="G492" s="45"/>
      <c r="H492" s="45"/>
      <c r="I492" s="47"/>
      <c r="J492" s="48"/>
      <c r="K492" s="48"/>
      <c r="L492" s="49"/>
      <c r="M492" s="49"/>
      <c r="N492" s="50"/>
      <c r="O492" s="51"/>
      <c r="P492" s="52"/>
      <c r="Q492" s="53"/>
      <c r="R492" s="77"/>
      <c r="S492" s="78"/>
      <c r="T492" s="56"/>
      <c r="U492" s="80"/>
      <c r="V492" s="56"/>
      <c r="W492" s="56"/>
      <c r="X492" s="80"/>
      <c r="Y492" s="57"/>
      <c r="Z492" s="58"/>
      <c r="AA492" s="82"/>
      <c r="AB492" s="83"/>
      <c r="AC492" s="83"/>
      <c r="AD492" s="77"/>
      <c r="AE492" s="84"/>
      <c r="AF492" s="84"/>
      <c r="AG492" s="62"/>
      <c r="AH492" s="63"/>
    </row>
    <row r="493" spans="1:36" s="88" customFormat="1" ht="16.5" thickTop="1" thickBot="1">
      <c r="A493" s="41"/>
      <c r="B493" s="42"/>
      <c r="C493" s="43"/>
      <c r="D493" s="44"/>
      <c r="E493" s="45"/>
      <c r="F493" s="46"/>
      <c r="G493" s="45"/>
      <c r="H493" s="45"/>
      <c r="I493" s="47"/>
      <c r="J493" s="48"/>
      <c r="K493" s="48"/>
      <c r="L493" s="49"/>
      <c r="M493" s="49"/>
      <c r="N493" s="50"/>
      <c r="O493" s="51"/>
      <c r="P493" s="52"/>
      <c r="Q493" s="53"/>
      <c r="R493" s="77"/>
      <c r="S493" s="78"/>
      <c r="T493" s="56"/>
      <c r="U493" s="80"/>
      <c r="V493" s="56"/>
      <c r="W493" s="56"/>
      <c r="X493" s="80"/>
      <c r="Y493" s="57"/>
      <c r="Z493" s="58"/>
      <c r="AA493" s="82"/>
      <c r="AB493" s="83"/>
      <c r="AC493" s="83"/>
      <c r="AD493" s="77"/>
      <c r="AE493" s="84"/>
      <c r="AF493" s="84"/>
      <c r="AG493" s="62"/>
      <c r="AH493" s="63"/>
      <c r="AI493" s="87"/>
      <c r="AJ493" s="87"/>
    </row>
    <row r="494" spans="1:36" s="88" customFormat="1" ht="16.5" thickTop="1" thickBot="1">
      <c r="A494" s="41"/>
      <c r="B494" s="42"/>
      <c r="C494" s="43"/>
      <c r="D494" s="44"/>
      <c r="E494" s="45"/>
      <c r="F494" s="46"/>
      <c r="G494" s="45"/>
      <c r="H494" s="45"/>
      <c r="I494" s="47"/>
      <c r="J494" s="48"/>
      <c r="K494" s="48"/>
      <c r="L494" s="49"/>
      <c r="M494" s="49"/>
      <c r="N494" s="50"/>
      <c r="O494" s="51"/>
      <c r="P494" s="52"/>
      <c r="Q494" s="53"/>
      <c r="R494" s="77"/>
      <c r="S494" s="78"/>
      <c r="T494" s="56"/>
      <c r="U494" s="80"/>
      <c r="V494" s="56"/>
      <c r="W494" s="56"/>
      <c r="X494" s="80"/>
      <c r="Y494" s="57"/>
      <c r="Z494" s="58"/>
      <c r="AA494" s="82"/>
      <c r="AB494" s="83"/>
      <c r="AC494" s="83"/>
      <c r="AD494" s="77"/>
      <c r="AE494" s="84"/>
      <c r="AF494" s="84"/>
      <c r="AG494" s="62"/>
      <c r="AH494" s="63"/>
    </row>
    <row r="495" spans="1:36" s="88" customFormat="1" ht="16.5" thickTop="1" thickBot="1">
      <c r="A495" s="41"/>
      <c r="B495" s="42"/>
      <c r="C495" s="43"/>
      <c r="D495" s="44"/>
      <c r="E495" s="45"/>
      <c r="F495" s="46"/>
      <c r="G495" s="45"/>
      <c r="H495" s="45"/>
      <c r="I495" s="47"/>
      <c r="J495" s="48"/>
      <c r="K495" s="48"/>
      <c r="L495" s="49"/>
      <c r="M495" s="49"/>
      <c r="N495" s="50"/>
      <c r="O495" s="51"/>
      <c r="P495" s="52"/>
      <c r="Q495" s="53"/>
      <c r="R495" s="77"/>
      <c r="S495" s="78"/>
      <c r="T495" s="56"/>
      <c r="U495" s="80"/>
      <c r="V495" s="56"/>
      <c r="W495" s="56"/>
      <c r="X495" s="80"/>
      <c r="Y495" s="57"/>
      <c r="Z495" s="58"/>
      <c r="AA495" s="82"/>
      <c r="AB495" s="83"/>
      <c r="AC495" s="83"/>
      <c r="AD495" s="77"/>
      <c r="AE495" s="84"/>
      <c r="AF495" s="84"/>
      <c r="AG495" s="62"/>
      <c r="AH495" s="63"/>
    </row>
    <row r="496" spans="1:36" s="88" customFormat="1" ht="16.5" thickTop="1" thickBot="1">
      <c r="A496" s="41"/>
      <c r="B496" s="42"/>
      <c r="C496" s="43"/>
      <c r="D496" s="44"/>
      <c r="E496" s="45"/>
      <c r="F496" s="46"/>
      <c r="G496" s="45"/>
      <c r="H496" s="45"/>
      <c r="I496" s="47"/>
      <c r="J496" s="48"/>
      <c r="K496" s="48"/>
      <c r="L496" s="49"/>
      <c r="M496" s="49"/>
      <c r="N496" s="50"/>
      <c r="O496" s="51"/>
      <c r="P496" s="52"/>
      <c r="Q496" s="53"/>
      <c r="R496" s="77"/>
      <c r="S496" s="78"/>
      <c r="T496" s="56"/>
      <c r="U496" s="80"/>
      <c r="V496" s="56"/>
      <c r="W496" s="56"/>
      <c r="X496" s="80"/>
      <c r="Y496" s="57"/>
      <c r="Z496" s="58"/>
      <c r="AA496" s="82"/>
      <c r="AB496" s="83"/>
      <c r="AC496" s="83"/>
      <c r="AD496" s="77"/>
      <c r="AE496" s="84"/>
      <c r="AF496" s="84"/>
      <c r="AG496" s="62"/>
      <c r="AH496" s="63"/>
    </row>
    <row r="497" spans="1:36" s="88" customFormat="1" ht="16.5" thickTop="1" thickBot="1">
      <c r="A497" s="41"/>
      <c r="B497" s="42"/>
      <c r="C497" s="43"/>
      <c r="D497" s="44"/>
      <c r="E497" s="45"/>
      <c r="F497" s="46"/>
      <c r="G497" s="45"/>
      <c r="H497" s="45"/>
      <c r="I497" s="47"/>
      <c r="J497" s="48"/>
      <c r="K497" s="48"/>
      <c r="L497" s="49"/>
      <c r="M497" s="49"/>
      <c r="N497" s="50"/>
      <c r="O497" s="51"/>
      <c r="P497" s="52"/>
      <c r="Q497" s="53"/>
      <c r="R497" s="77"/>
      <c r="S497" s="78"/>
      <c r="T497" s="56"/>
      <c r="U497" s="80"/>
      <c r="V497" s="56"/>
      <c r="W497" s="56"/>
      <c r="X497" s="80"/>
      <c r="Y497" s="57"/>
      <c r="Z497" s="58"/>
      <c r="AA497" s="82"/>
      <c r="AB497" s="83"/>
      <c r="AC497" s="83"/>
      <c r="AD497" s="77"/>
      <c r="AE497" s="84"/>
      <c r="AF497" s="84"/>
      <c r="AG497" s="62"/>
      <c r="AH497" s="63"/>
    </row>
    <row r="498" spans="1:36" ht="16.5" thickTop="1" thickBot="1">
      <c r="A498" s="41"/>
      <c r="B498" s="42"/>
      <c r="C498" s="43"/>
      <c r="D498" s="44"/>
      <c r="E498" s="45"/>
      <c r="F498" s="46"/>
      <c r="G498" s="45"/>
      <c r="H498" s="45"/>
      <c r="I498" s="47"/>
      <c r="J498" s="48"/>
      <c r="K498" s="48"/>
      <c r="L498" s="49"/>
      <c r="M498" s="49"/>
      <c r="N498" s="50"/>
      <c r="O498" s="51"/>
      <c r="P498" s="52"/>
      <c r="Q498" s="53"/>
      <c r="R498" s="54"/>
      <c r="S498" s="55"/>
      <c r="T498" s="56"/>
      <c r="U498" s="57"/>
      <c r="V498" s="56"/>
      <c r="W498" s="56"/>
      <c r="X498" s="57"/>
      <c r="Y498" s="57"/>
      <c r="Z498" s="58"/>
      <c r="AA498" s="59"/>
      <c r="AB498" s="60"/>
      <c r="AC498" s="60"/>
      <c r="AD498" s="54"/>
      <c r="AE498" s="61"/>
      <c r="AF498" s="61"/>
      <c r="AG498" s="62"/>
      <c r="AH498" s="63"/>
    </row>
    <row r="499" spans="1:36" ht="16.5" thickTop="1" thickBot="1">
      <c r="A499" s="41"/>
      <c r="B499" s="42"/>
      <c r="C499" s="43"/>
      <c r="D499" s="44"/>
      <c r="E499" s="45"/>
      <c r="F499" s="46"/>
      <c r="G499" s="45"/>
      <c r="H499" s="45"/>
      <c r="I499" s="47"/>
      <c r="J499" s="48"/>
      <c r="K499" s="48"/>
      <c r="L499" s="49"/>
      <c r="M499" s="49"/>
      <c r="N499" s="50"/>
      <c r="O499" s="51"/>
      <c r="P499" s="52"/>
      <c r="Q499" s="53"/>
      <c r="R499" s="54"/>
      <c r="S499" s="55"/>
      <c r="T499" s="56"/>
      <c r="U499" s="57"/>
      <c r="V499" s="56"/>
      <c r="W499" s="56"/>
      <c r="X499" s="57"/>
      <c r="Y499" s="57"/>
      <c r="Z499" s="58"/>
      <c r="AA499" s="59"/>
      <c r="AB499" s="60"/>
      <c r="AC499" s="60"/>
      <c r="AD499" s="54"/>
      <c r="AE499" s="61"/>
      <c r="AF499" s="61"/>
      <c r="AG499" s="62"/>
      <c r="AH499" s="63"/>
    </row>
    <row r="500" spans="1:36" ht="16.5" thickTop="1" thickBot="1">
      <c r="A500" s="41"/>
      <c r="B500" s="42"/>
      <c r="C500" s="43"/>
      <c r="D500" s="44"/>
      <c r="E500" s="45"/>
      <c r="F500" s="46"/>
      <c r="G500" s="45"/>
      <c r="H500" s="45"/>
      <c r="I500" s="47"/>
      <c r="J500" s="48"/>
      <c r="K500" s="48"/>
      <c r="L500" s="49"/>
      <c r="M500" s="49"/>
      <c r="N500" s="50"/>
      <c r="O500" s="51"/>
      <c r="P500" s="52"/>
      <c r="Q500" s="53"/>
      <c r="R500" s="54"/>
      <c r="S500" s="55"/>
      <c r="T500" s="56"/>
      <c r="U500" s="57"/>
      <c r="V500" s="56"/>
      <c r="W500" s="56"/>
      <c r="X500" s="57"/>
      <c r="Y500" s="57"/>
      <c r="Z500" s="58"/>
      <c r="AA500" s="59"/>
      <c r="AB500" s="60"/>
      <c r="AC500" s="60"/>
      <c r="AD500" s="54"/>
      <c r="AE500" s="61"/>
      <c r="AF500" s="61"/>
      <c r="AG500" s="62"/>
      <c r="AH500" s="63"/>
    </row>
    <row r="501" spans="1:36" ht="16.5" thickTop="1" thickBot="1">
      <c r="A501" s="41"/>
      <c r="B501" s="42"/>
      <c r="C501" s="43"/>
      <c r="D501" s="44"/>
      <c r="E501" s="45"/>
      <c r="F501" s="46"/>
      <c r="G501" s="45"/>
      <c r="H501" s="45"/>
      <c r="I501" s="47"/>
      <c r="J501" s="48"/>
      <c r="K501" s="48"/>
      <c r="L501" s="49"/>
      <c r="M501" s="49"/>
      <c r="N501" s="50"/>
      <c r="O501" s="51"/>
      <c r="P501" s="52"/>
      <c r="Q501" s="53"/>
      <c r="R501" s="77"/>
      <c r="S501" s="78"/>
      <c r="T501" s="56"/>
      <c r="U501" s="80"/>
      <c r="V501" s="56"/>
      <c r="W501" s="56"/>
      <c r="X501" s="80"/>
      <c r="Y501" s="57"/>
      <c r="Z501" s="58"/>
      <c r="AA501" s="82"/>
      <c r="AB501" s="60"/>
      <c r="AC501" s="60"/>
      <c r="AD501" s="54"/>
      <c r="AE501" s="61"/>
      <c r="AF501" s="61"/>
      <c r="AG501" s="62"/>
      <c r="AH501" s="63"/>
    </row>
    <row r="502" spans="1:36" ht="16.5" thickTop="1" thickBot="1">
      <c r="A502" s="41"/>
      <c r="B502" s="42"/>
      <c r="C502" s="43"/>
      <c r="D502" s="44"/>
      <c r="E502" s="45"/>
      <c r="F502" s="46"/>
      <c r="G502" s="45"/>
      <c r="H502" s="45"/>
      <c r="I502" s="47"/>
      <c r="J502" s="48"/>
      <c r="K502" s="48"/>
      <c r="L502" s="49"/>
      <c r="M502" s="49"/>
      <c r="N502" s="50"/>
      <c r="O502" s="51"/>
      <c r="P502" s="52"/>
      <c r="Q502" s="53"/>
      <c r="R502" s="77"/>
      <c r="S502" s="78"/>
      <c r="T502" s="56"/>
      <c r="U502" s="80"/>
      <c r="V502" s="56"/>
      <c r="W502" s="56"/>
      <c r="X502" s="80"/>
      <c r="Y502" s="57"/>
      <c r="Z502" s="58"/>
      <c r="AA502" s="82"/>
      <c r="AB502" s="60"/>
      <c r="AC502" s="60"/>
      <c r="AD502" s="54"/>
      <c r="AE502" s="61"/>
      <c r="AF502" s="61"/>
      <c r="AG502" s="62"/>
      <c r="AH502" s="63"/>
    </row>
    <row r="503" spans="1:36" ht="16.5" thickTop="1" thickBot="1">
      <c r="A503" s="41"/>
      <c r="B503" s="42"/>
      <c r="C503" s="43"/>
      <c r="D503" s="44"/>
      <c r="E503" s="45"/>
      <c r="F503" s="46"/>
      <c r="G503" s="45"/>
      <c r="H503" s="45"/>
      <c r="I503" s="47"/>
      <c r="J503" s="48"/>
      <c r="K503" s="48"/>
      <c r="L503" s="49"/>
      <c r="M503" s="49"/>
      <c r="N503" s="50"/>
      <c r="O503" s="51"/>
      <c r="P503" s="52"/>
      <c r="Q503" s="53"/>
      <c r="R503" s="77"/>
      <c r="S503" s="78"/>
      <c r="T503" s="56"/>
      <c r="U503" s="80"/>
      <c r="V503" s="56"/>
      <c r="W503" s="56"/>
      <c r="X503" s="80"/>
      <c r="Y503" s="57"/>
      <c r="Z503" s="58"/>
      <c r="AA503" s="82"/>
      <c r="AB503" s="60"/>
      <c r="AC503" s="60"/>
      <c r="AD503" s="54"/>
      <c r="AE503" s="61"/>
      <c r="AF503" s="61"/>
      <c r="AG503" s="62"/>
      <c r="AH503" s="63"/>
    </row>
    <row r="504" spans="1:36" s="88" customFormat="1" ht="16.5" thickTop="1" thickBot="1">
      <c r="A504" s="41"/>
      <c r="B504" s="42"/>
      <c r="C504" s="43"/>
      <c r="D504" s="44"/>
      <c r="E504" s="45"/>
      <c r="F504" s="46"/>
      <c r="G504" s="45"/>
      <c r="H504" s="45"/>
      <c r="I504" s="47"/>
      <c r="J504" s="48"/>
      <c r="K504" s="48"/>
      <c r="L504" s="49"/>
      <c r="M504" s="49"/>
      <c r="N504" s="50"/>
      <c r="O504" s="51"/>
      <c r="P504" s="52"/>
      <c r="Q504" s="53"/>
      <c r="R504" s="77"/>
      <c r="S504" s="78"/>
      <c r="T504" s="56"/>
      <c r="U504" s="80"/>
      <c r="V504" s="56"/>
      <c r="W504" s="56"/>
      <c r="X504" s="80"/>
      <c r="Y504" s="57"/>
      <c r="Z504" s="58"/>
      <c r="AA504" s="82"/>
      <c r="AB504" s="83"/>
      <c r="AC504" s="83"/>
      <c r="AD504" s="77"/>
      <c r="AE504" s="84"/>
      <c r="AF504" s="84"/>
      <c r="AG504" s="62"/>
      <c r="AH504" s="63"/>
      <c r="AI504" s="87"/>
      <c r="AJ504" s="87"/>
    </row>
    <row r="505" spans="1:36" s="88" customFormat="1" ht="16.5" thickTop="1" thickBot="1">
      <c r="A505" s="41"/>
      <c r="B505" s="42"/>
      <c r="C505" s="43"/>
      <c r="D505" s="44"/>
      <c r="E505" s="45"/>
      <c r="F505" s="46"/>
      <c r="G505" s="45"/>
      <c r="H505" s="45"/>
      <c r="I505" s="47"/>
      <c r="J505" s="48"/>
      <c r="K505" s="48"/>
      <c r="L505" s="49"/>
      <c r="M505" s="49"/>
      <c r="N505" s="50"/>
      <c r="O505" s="51"/>
      <c r="P505" s="52"/>
      <c r="Q505" s="53"/>
      <c r="R505" s="77"/>
      <c r="S505" s="78"/>
      <c r="T505" s="56"/>
      <c r="U505" s="80"/>
      <c r="V505" s="56"/>
      <c r="W505" s="56"/>
      <c r="X505" s="80"/>
      <c r="Y505" s="57"/>
      <c r="Z505" s="58"/>
      <c r="AA505" s="82"/>
      <c r="AB505" s="83"/>
      <c r="AC505" s="83"/>
      <c r="AD505" s="77"/>
      <c r="AE505" s="84"/>
      <c r="AF505" s="84"/>
      <c r="AG505" s="62"/>
      <c r="AH505" s="63"/>
      <c r="AI505" s="87"/>
      <c r="AJ505" s="87"/>
    </row>
    <row r="506" spans="1:36" s="88" customFormat="1" ht="16.5" thickTop="1" thickBot="1">
      <c r="A506" s="41"/>
      <c r="B506" s="42"/>
      <c r="C506" s="43"/>
      <c r="D506" s="44"/>
      <c r="E506" s="45"/>
      <c r="F506" s="46"/>
      <c r="G506" s="45"/>
      <c r="H506" s="45"/>
      <c r="I506" s="47"/>
      <c r="J506" s="48"/>
      <c r="K506" s="48"/>
      <c r="L506" s="49"/>
      <c r="M506" s="49"/>
      <c r="N506" s="50"/>
      <c r="O506" s="51"/>
      <c r="P506" s="52"/>
      <c r="Q506" s="53"/>
      <c r="R506" s="77"/>
      <c r="S506" s="78"/>
      <c r="T506" s="56"/>
      <c r="U506" s="80"/>
      <c r="V506" s="56"/>
      <c r="W506" s="56"/>
      <c r="X506" s="80"/>
      <c r="Y506" s="57"/>
      <c r="Z506" s="58"/>
      <c r="AA506" s="82"/>
      <c r="AB506" s="83"/>
      <c r="AC506" s="83"/>
      <c r="AD506" s="77"/>
      <c r="AE506" s="84"/>
      <c r="AF506" s="84"/>
      <c r="AG506" s="62"/>
      <c r="AH506" s="63"/>
    </row>
    <row r="507" spans="1:36" s="88" customFormat="1" ht="16.5" thickTop="1" thickBot="1">
      <c r="A507" s="41"/>
      <c r="B507" s="42"/>
      <c r="C507" s="43"/>
      <c r="D507" s="44"/>
      <c r="E507" s="45"/>
      <c r="F507" s="46"/>
      <c r="G507" s="45"/>
      <c r="H507" s="45"/>
      <c r="I507" s="47"/>
      <c r="J507" s="48"/>
      <c r="K507" s="48"/>
      <c r="L507" s="49"/>
      <c r="M507" s="49"/>
      <c r="N507" s="50"/>
      <c r="O507" s="51"/>
      <c r="P507" s="52"/>
      <c r="Q507" s="53"/>
      <c r="R507" s="77"/>
      <c r="S507" s="78"/>
      <c r="T507" s="56"/>
      <c r="U507" s="80"/>
      <c r="V507" s="56"/>
      <c r="W507" s="56"/>
      <c r="X507" s="80"/>
      <c r="Y507" s="57"/>
      <c r="Z507" s="58"/>
      <c r="AA507" s="82"/>
      <c r="AB507" s="83"/>
      <c r="AC507" s="83"/>
      <c r="AD507" s="77"/>
      <c r="AE507" s="84"/>
      <c r="AF507" s="84"/>
      <c r="AG507" s="62"/>
      <c r="AH507" s="63"/>
    </row>
    <row r="508" spans="1:36" s="88" customFormat="1" ht="16.5" thickTop="1" thickBot="1">
      <c r="A508" s="41"/>
      <c r="B508" s="42"/>
      <c r="C508" s="43"/>
      <c r="D508" s="44"/>
      <c r="E508" s="45"/>
      <c r="F508" s="46"/>
      <c r="G508" s="45"/>
      <c r="H508" s="45"/>
      <c r="I508" s="47"/>
      <c r="J508" s="48"/>
      <c r="K508" s="48"/>
      <c r="L508" s="49"/>
      <c r="M508" s="49"/>
      <c r="N508" s="50"/>
      <c r="O508" s="51"/>
      <c r="P508" s="52"/>
      <c r="Q508" s="53"/>
      <c r="R508" s="77"/>
      <c r="S508" s="78"/>
      <c r="T508" s="56"/>
      <c r="U508" s="80"/>
      <c r="V508" s="56"/>
      <c r="W508" s="56"/>
      <c r="X508" s="80"/>
      <c r="Y508" s="57"/>
      <c r="Z508" s="58"/>
      <c r="AA508" s="82"/>
      <c r="AB508" s="83"/>
      <c r="AC508" s="83"/>
      <c r="AD508" s="77"/>
      <c r="AE508" s="84"/>
      <c r="AF508" s="84"/>
      <c r="AG508" s="62"/>
      <c r="AH508" s="63"/>
    </row>
    <row r="509" spans="1:36" s="88" customFormat="1" ht="16.5" thickTop="1" thickBot="1">
      <c r="A509" s="41"/>
      <c r="B509" s="42"/>
      <c r="C509" s="43"/>
      <c r="D509" s="44"/>
      <c r="E509" s="45"/>
      <c r="F509" s="46"/>
      <c r="G509" s="45"/>
      <c r="H509" s="45"/>
      <c r="I509" s="47"/>
      <c r="J509" s="48"/>
      <c r="K509" s="48"/>
      <c r="L509" s="49"/>
      <c r="M509" s="49"/>
      <c r="N509" s="50"/>
      <c r="O509" s="51"/>
      <c r="P509" s="52"/>
      <c r="Q509" s="53"/>
      <c r="R509" s="77"/>
      <c r="S509" s="78"/>
      <c r="T509" s="56"/>
      <c r="U509" s="80"/>
      <c r="V509" s="56"/>
      <c r="W509" s="56"/>
      <c r="X509" s="80"/>
      <c r="Y509" s="57"/>
      <c r="Z509" s="58"/>
      <c r="AA509" s="82"/>
      <c r="AB509" s="83"/>
      <c r="AC509" s="83"/>
      <c r="AD509" s="77"/>
      <c r="AE509" s="84"/>
      <c r="AF509" s="84"/>
      <c r="AG509" s="62"/>
      <c r="AH509" s="63"/>
    </row>
    <row r="510" spans="1:36" ht="16.5" thickTop="1" thickBot="1">
      <c r="A510" s="41"/>
      <c r="B510" s="42"/>
      <c r="C510" s="43"/>
      <c r="D510" s="44"/>
      <c r="E510" s="45"/>
      <c r="F510" s="46"/>
      <c r="G510" s="45"/>
      <c r="H510" s="45"/>
      <c r="I510" s="47"/>
      <c r="J510" s="48"/>
      <c r="K510" s="48"/>
      <c r="L510" s="49"/>
      <c r="M510" s="49"/>
      <c r="N510" s="50"/>
      <c r="O510" s="51"/>
      <c r="P510" s="52"/>
      <c r="Q510" s="53"/>
      <c r="R510" s="77"/>
      <c r="S510" s="78"/>
      <c r="T510" s="56"/>
      <c r="U510" s="80"/>
      <c r="V510" s="56"/>
      <c r="W510" s="56"/>
      <c r="X510" s="80"/>
      <c r="Y510" s="57"/>
      <c r="Z510" s="58"/>
      <c r="AA510" s="82"/>
      <c r="AB510" s="60"/>
      <c r="AC510" s="60"/>
      <c r="AD510" s="54"/>
      <c r="AE510" s="61"/>
      <c r="AF510" s="61"/>
      <c r="AG510" s="62"/>
      <c r="AH510" s="63"/>
    </row>
    <row r="511" spans="1:36" ht="16.5" thickTop="1" thickBot="1">
      <c r="A511" s="41"/>
      <c r="B511" s="42"/>
      <c r="C511" s="43"/>
      <c r="D511" s="44"/>
      <c r="E511" s="45"/>
      <c r="F511" s="46"/>
      <c r="G511" s="45"/>
      <c r="H511" s="45"/>
      <c r="I511" s="47"/>
      <c r="J511" s="48"/>
      <c r="K511" s="48"/>
      <c r="L511" s="49"/>
      <c r="M511" s="49"/>
      <c r="N511" s="50"/>
      <c r="O511" s="51"/>
      <c r="P511" s="52"/>
      <c r="Q511" s="53"/>
      <c r="R511" s="77"/>
      <c r="S511" s="78"/>
      <c r="T511" s="56"/>
      <c r="U511" s="80"/>
      <c r="V511" s="56"/>
      <c r="W511" s="56"/>
      <c r="X511" s="80"/>
      <c r="Y511" s="57"/>
      <c r="Z511" s="58"/>
      <c r="AA511" s="82"/>
      <c r="AB511" s="60"/>
      <c r="AC511" s="60"/>
      <c r="AD511" s="54"/>
      <c r="AE511" s="61"/>
      <c r="AF511" s="61"/>
      <c r="AG511" s="62"/>
      <c r="AH511" s="63"/>
    </row>
    <row r="512" spans="1:36" ht="16.5" thickTop="1" thickBot="1">
      <c r="A512" s="41"/>
      <c r="B512" s="42"/>
      <c r="C512" s="43"/>
      <c r="D512" s="44"/>
      <c r="E512" s="45"/>
      <c r="F512" s="46"/>
      <c r="G512" s="45"/>
      <c r="H512" s="45"/>
      <c r="I512" s="47"/>
      <c r="J512" s="48"/>
      <c r="K512" s="48"/>
      <c r="L512" s="49"/>
      <c r="M512" s="49"/>
      <c r="N512" s="50"/>
      <c r="O512" s="51"/>
      <c r="P512" s="52"/>
      <c r="Q512" s="53"/>
      <c r="R512" s="77"/>
      <c r="S512" s="78"/>
      <c r="T512" s="56"/>
      <c r="U512" s="80"/>
      <c r="V512" s="56"/>
      <c r="W512" s="56"/>
      <c r="X512" s="80"/>
      <c r="Y512" s="57"/>
      <c r="Z512" s="58"/>
      <c r="AA512" s="82"/>
      <c r="AB512" s="60"/>
      <c r="AC512" s="60"/>
      <c r="AD512" s="54"/>
      <c r="AE512" s="61"/>
      <c r="AF512" s="61"/>
      <c r="AG512" s="62"/>
      <c r="AH512" s="63"/>
    </row>
    <row r="513" spans="1:36" ht="16.5" thickTop="1" thickBot="1">
      <c r="A513" s="41"/>
      <c r="B513" s="42"/>
      <c r="C513" s="43"/>
      <c r="D513" s="44"/>
      <c r="E513" s="45"/>
      <c r="F513" s="46"/>
      <c r="G513" s="45"/>
      <c r="H513" s="45"/>
      <c r="I513" s="47"/>
      <c r="J513" s="48"/>
      <c r="K513" s="48"/>
      <c r="L513" s="49"/>
      <c r="M513" s="49"/>
      <c r="N513" s="50"/>
      <c r="O513" s="51"/>
      <c r="P513" s="52"/>
      <c r="Q513" s="53"/>
      <c r="R513" s="77"/>
      <c r="S513" s="78"/>
      <c r="T513" s="56"/>
      <c r="U513" s="80"/>
      <c r="V513" s="56"/>
      <c r="W513" s="56"/>
      <c r="X513" s="80"/>
      <c r="Y513" s="57"/>
      <c r="Z513" s="58"/>
      <c r="AA513" s="82"/>
      <c r="AB513" s="60"/>
      <c r="AC513" s="60"/>
      <c r="AD513" s="54"/>
      <c r="AE513" s="61"/>
      <c r="AF513" s="61"/>
      <c r="AG513" s="62"/>
      <c r="AH513" s="63"/>
    </row>
    <row r="514" spans="1:36" ht="16.5" thickTop="1" thickBot="1">
      <c r="A514" s="41"/>
      <c r="B514" s="42"/>
      <c r="C514" s="43"/>
      <c r="D514" s="44"/>
      <c r="E514" s="45"/>
      <c r="F514" s="46"/>
      <c r="G514" s="45"/>
      <c r="H514" s="45"/>
      <c r="I514" s="47"/>
      <c r="J514" s="48"/>
      <c r="K514" s="48"/>
      <c r="L514" s="49"/>
      <c r="M514" s="49"/>
      <c r="N514" s="50"/>
      <c r="O514" s="51"/>
      <c r="P514" s="52"/>
      <c r="Q514" s="53"/>
      <c r="R514" s="77"/>
      <c r="S514" s="78"/>
      <c r="T514" s="56"/>
      <c r="U514" s="80"/>
      <c r="V514" s="56"/>
      <c r="W514" s="56"/>
      <c r="X514" s="80"/>
      <c r="Y514" s="57"/>
      <c r="Z514" s="58"/>
      <c r="AA514" s="82"/>
      <c r="AB514" s="60"/>
      <c r="AC514" s="60"/>
      <c r="AD514" s="54"/>
      <c r="AE514" s="61"/>
      <c r="AF514" s="61"/>
      <c r="AG514" s="62"/>
      <c r="AH514" s="63"/>
    </row>
    <row r="515" spans="1:36" ht="16.5" thickTop="1" thickBot="1">
      <c r="A515" s="41"/>
      <c r="B515" s="42"/>
      <c r="C515" s="43"/>
      <c r="D515" s="44"/>
      <c r="E515" s="45"/>
      <c r="F515" s="46"/>
      <c r="G515" s="45"/>
      <c r="H515" s="45"/>
      <c r="I515" s="47"/>
      <c r="J515" s="48"/>
      <c r="K515" s="48"/>
      <c r="L515" s="49"/>
      <c r="M515" s="49"/>
      <c r="N515" s="50"/>
      <c r="O515" s="51"/>
      <c r="P515" s="52"/>
      <c r="Q515" s="53"/>
      <c r="R515" s="77"/>
      <c r="S515" s="78"/>
      <c r="T515" s="56"/>
      <c r="U515" s="80"/>
      <c r="V515" s="56"/>
      <c r="W515" s="56"/>
      <c r="X515" s="80"/>
      <c r="Y515" s="57"/>
      <c r="Z515" s="58"/>
      <c r="AA515" s="82"/>
      <c r="AB515" s="60"/>
      <c r="AC515" s="60"/>
      <c r="AD515" s="54"/>
      <c r="AE515" s="61"/>
      <c r="AF515" s="61"/>
      <c r="AG515" s="62"/>
      <c r="AH515" s="63"/>
      <c r="AI515" s="92"/>
      <c r="AJ515" s="92"/>
    </row>
    <row r="516" spans="1:36" ht="16.5" thickTop="1" thickBot="1">
      <c r="A516" s="41"/>
      <c r="B516" s="42"/>
      <c r="C516" s="43"/>
      <c r="D516" s="44"/>
      <c r="E516" s="45"/>
      <c r="F516" s="46"/>
      <c r="G516" s="45"/>
      <c r="H516" s="45"/>
      <c r="I516" s="47"/>
      <c r="J516" s="48"/>
      <c r="K516" s="48"/>
      <c r="L516" s="49"/>
      <c r="M516" s="49"/>
      <c r="N516" s="50"/>
      <c r="O516" s="51"/>
      <c r="P516" s="52"/>
      <c r="Q516" s="53"/>
      <c r="R516" s="77"/>
      <c r="S516" s="78"/>
      <c r="T516" s="56"/>
      <c r="U516" s="80"/>
      <c r="V516" s="56"/>
      <c r="W516" s="56"/>
      <c r="X516" s="80"/>
      <c r="Y516" s="57"/>
      <c r="Z516" s="58"/>
      <c r="AA516" s="82"/>
      <c r="AB516" s="60"/>
      <c r="AC516" s="60"/>
      <c r="AD516" s="54"/>
      <c r="AE516" s="61"/>
      <c r="AF516" s="61"/>
      <c r="AG516" s="62"/>
      <c r="AH516" s="63"/>
    </row>
    <row r="517" spans="1:36" ht="16.5" thickTop="1" thickBot="1">
      <c r="A517" s="41"/>
      <c r="B517" s="42"/>
      <c r="C517" s="43"/>
      <c r="D517" s="44"/>
      <c r="E517" s="45"/>
      <c r="F517" s="46"/>
      <c r="G517" s="45"/>
      <c r="H517" s="45"/>
      <c r="I517" s="47"/>
      <c r="J517" s="48"/>
      <c r="K517" s="48"/>
      <c r="L517" s="49"/>
      <c r="M517" s="49"/>
      <c r="N517" s="50"/>
      <c r="O517" s="51"/>
      <c r="P517" s="52"/>
      <c r="Q517" s="53"/>
      <c r="R517" s="77"/>
      <c r="S517" s="78"/>
      <c r="T517" s="56"/>
      <c r="U517" s="80"/>
      <c r="V517" s="56"/>
      <c r="W517" s="56"/>
      <c r="X517" s="80"/>
      <c r="Y517" s="57"/>
      <c r="Z517" s="58"/>
      <c r="AA517" s="82"/>
      <c r="AB517" s="60"/>
      <c r="AC517" s="60"/>
      <c r="AD517" s="54"/>
      <c r="AE517" s="61"/>
      <c r="AF517" s="61"/>
      <c r="AG517" s="62"/>
      <c r="AH517" s="63"/>
    </row>
    <row r="518" spans="1:36" ht="16.5" thickTop="1" thickBot="1">
      <c r="A518" s="41"/>
      <c r="B518" s="42"/>
      <c r="C518" s="43"/>
      <c r="D518" s="44"/>
      <c r="E518" s="45"/>
      <c r="F518" s="46"/>
      <c r="G518" s="45"/>
      <c r="H518" s="45"/>
      <c r="I518" s="47"/>
      <c r="J518" s="48"/>
      <c r="K518" s="48"/>
      <c r="L518" s="49"/>
      <c r="M518" s="49"/>
      <c r="N518" s="50"/>
      <c r="O518" s="51"/>
      <c r="P518" s="52"/>
      <c r="Q518" s="53"/>
      <c r="R518" s="77"/>
      <c r="S518" s="78"/>
      <c r="T518" s="56"/>
      <c r="U518" s="80"/>
      <c r="V518" s="56"/>
      <c r="W518" s="56"/>
      <c r="X518" s="80"/>
      <c r="Y518" s="57"/>
      <c r="Z518" s="58"/>
      <c r="AA518" s="82"/>
      <c r="AB518" s="60"/>
      <c r="AC518" s="60"/>
      <c r="AD518" s="54"/>
      <c r="AE518" s="61"/>
      <c r="AF518" s="61"/>
      <c r="AG518" s="62"/>
      <c r="AH518" s="63"/>
      <c r="AI518" s="92"/>
      <c r="AJ518" s="92"/>
    </row>
    <row r="519" spans="1:36" ht="16.5" thickTop="1" thickBot="1">
      <c r="A519" s="41"/>
      <c r="B519" s="42"/>
      <c r="C519" s="43"/>
      <c r="D519" s="44"/>
      <c r="E519" s="45"/>
      <c r="F519" s="46"/>
      <c r="G519" s="45"/>
      <c r="H519" s="45"/>
      <c r="I519" s="47"/>
      <c r="J519" s="48"/>
      <c r="K519" s="48"/>
      <c r="L519" s="49"/>
      <c r="M519" s="49"/>
      <c r="N519" s="50"/>
      <c r="O519" s="51"/>
      <c r="P519" s="52"/>
      <c r="Q519" s="53"/>
      <c r="R519" s="77"/>
      <c r="S519" s="78"/>
      <c r="T519" s="56"/>
      <c r="U519" s="80"/>
      <c r="V519" s="56"/>
      <c r="W519" s="56"/>
      <c r="X519" s="80"/>
      <c r="Y519" s="57"/>
      <c r="Z519" s="58"/>
      <c r="AA519" s="82"/>
      <c r="AB519" s="60"/>
      <c r="AC519" s="60"/>
      <c r="AD519" s="54"/>
      <c r="AE519" s="61"/>
      <c r="AF519" s="61"/>
      <c r="AG519" s="62"/>
      <c r="AH519" s="63"/>
    </row>
    <row r="520" spans="1:36" ht="16.5" thickTop="1" thickBot="1">
      <c r="A520" s="41"/>
      <c r="B520" s="42"/>
      <c r="C520" s="43"/>
      <c r="D520" s="44"/>
      <c r="E520" s="45"/>
      <c r="F520" s="46"/>
      <c r="G520" s="45"/>
      <c r="H520" s="45"/>
      <c r="I520" s="47"/>
      <c r="J520" s="48"/>
      <c r="K520" s="48"/>
      <c r="L520" s="49"/>
      <c r="M520" s="49"/>
      <c r="N520" s="50"/>
      <c r="O520" s="51"/>
      <c r="P520" s="52"/>
      <c r="Q520" s="53"/>
      <c r="R520" s="77"/>
      <c r="S520" s="78"/>
      <c r="T520" s="56"/>
      <c r="U520" s="80"/>
      <c r="V520" s="56"/>
      <c r="W520" s="56"/>
      <c r="X520" s="80"/>
      <c r="Y520" s="57"/>
      <c r="Z520" s="58"/>
      <c r="AA520" s="82"/>
      <c r="AB520" s="60"/>
      <c r="AC520" s="60"/>
      <c r="AD520" s="54"/>
      <c r="AE520" s="61"/>
      <c r="AF520" s="61"/>
      <c r="AG520" s="62"/>
      <c r="AH520" s="63"/>
    </row>
    <row r="521" spans="1:36" ht="16.5" thickTop="1" thickBot="1">
      <c r="A521" s="41"/>
      <c r="B521" s="42"/>
      <c r="C521" s="43"/>
      <c r="D521" s="44"/>
      <c r="E521" s="45"/>
      <c r="F521" s="46"/>
      <c r="G521" s="45"/>
      <c r="H521" s="45"/>
      <c r="I521" s="47"/>
      <c r="J521" s="48"/>
      <c r="K521" s="48"/>
      <c r="L521" s="49"/>
      <c r="M521" s="49"/>
      <c r="N521" s="50"/>
      <c r="O521" s="51"/>
      <c r="P521" s="52"/>
      <c r="Q521" s="53"/>
      <c r="R521" s="77"/>
      <c r="S521" s="78"/>
      <c r="T521" s="56"/>
      <c r="U521" s="80"/>
      <c r="V521" s="56"/>
      <c r="W521" s="56"/>
      <c r="X521" s="80"/>
      <c r="Y521" s="57"/>
      <c r="Z521" s="58"/>
      <c r="AA521" s="82"/>
      <c r="AB521" s="60"/>
      <c r="AC521" s="60"/>
      <c r="AD521" s="54"/>
      <c r="AE521" s="61"/>
      <c r="AF521" s="61"/>
      <c r="AG521" s="62"/>
      <c r="AH521" s="63"/>
    </row>
    <row r="522" spans="1:36" ht="16.5" thickTop="1" thickBot="1">
      <c r="A522" s="41"/>
      <c r="B522" s="42"/>
      <c r="C522" s="43"/>
      <c r="D522" s="44"/>
      <c r="E522" s="45"/>
      <c r="F522" s="46"/>
      <c r="G522" s="45"/>
      <c r="H522" s="45"/>
      <c r="I522" s="47"/>
      <c r="J522" s="48"/>
      <c r="K522" s="48"/>
      <c r="L522" s="49"/>
      <c r="M522" s="49"/>
      <c r="N522" s="50"/>
      <c r="O522" s="51"/>
      <c r="P522" s="52"/>
      <c r="Q522" s="53"/>
      <c r="R522" s="77"/>
      <c r="S522" s="78"/>
      <c r="T522" s="56"/>
      <c r="U522" s="80"/>
      <c r="V522" s="56"/>
      <c r="W522" s="56"/>
      <c r="X522" s="80"/>
      <c r="Y522" s="57"/>
      <c r="Z522" s="58"/>
      <c r="AA522" s="82"/>
      <c r="AB522" s="60"/>
      <c r="AC522" s="60"/>
      <c r="AD522" s="54"/>
      <c r="AE522" s="61"/>
      <c r="AF522" s="61"/>
      <c r="AG522" s="62"/>
      <c r="AH522" s="63"/>
      <c r="AI522" s="92"/>
      <c r="AJ522" s="92"/>
    </row>
    <row r="523" spans="1:36" ht="16.5" thickTop="1" thickBot="1">
      <c r="A523" s="41"/>
      <c r="B523" s="42"/>
      <c r="C523" s="43"/>
      <c r="D523" s="44"/>
      <c r="E523" s="45"/>
      <c r="F523" s="46"/>
      <c r="G523" s="45"/>
      <c r="H523" s="45"/>
      <c r="I523" s="47"/>
      <c r="J523" s="48"/>
      <c r="K523" s="48"/>
      <c r="L523" s="49"/>
      <c r="M523" s="49"/>
      <c r="N523" s="50"/>
      <c r="O523" s="51"/>
      <c r="P523" s="52"/>
      <c r="Q523" s="53"/>
      <c r="R523" s="77"/>
      <c r="S523" s="78"/>
      <c r="T523" s="56"/>
      <c r="U523" s="80"/>
      <c r="V523" s="56"/>
      <c r="W523" s="56"/>
      <c r="X523" s="80"/>
      <c r="Y523" s="57"/>
      <c r="Z523" s="58"/>
      <c r="AA523" s="82"/>
      <c r="AB523" s="60"/>
      <c r="AC523" s="60"/>
      <c r="AD523" s="54"/>
      <c r="AE523" s="61"/>
      <c r="AF523" s="61"/>
      <c r="AG523" s="62"/>
      <c r="AH523" s="63"/>
    </row>
    <row r="524" spans="1:36" ht="16.5" thickTop="1" thickBot="1">
      <c r="A524" s="41"/>
      <c r="B524" s="42"/>
      <c r="C524" s="43"/>
      <c r="D524" s="44"/>
      <c r="E524" s="45"/>
      <c r="F524" s="46"/>
      <c r="G524" s="45"/>
      <c r="H524" s="45"/>
      <c r="I524" s="47"/>
      <c r="J524" s="48"/>
      <c r="K524" s="48"/>
      <c r="L524" s="49"/>
      <c r="M524" s="49"/>
      <c r="N524" s="50"/>
      <c r="O524" s="51"/>
      <c r="P524" s="52"/>
      <c r="Q524" s="53"/>
      <c r="R524" s="77"/>
      <c r="S524" s="78"/>
      <c r="T524" s="56"/>
      <c r="U524" s="80"/>
      <c r="V524" s="56"/>
      <c r="W524" s="56"/>
      <c r="X524" s="80"/>
      <c r="Y524" s="57"/>
      <c r="Z524" s="58"/>
      <c r="AA524" s="82"/>
      <c r="AB524" s="60"/>
      <c r="AC524" s="60"/>
      <c r="AD524" s="54"/>
      <c r="AE524" s="61"/>
      <c r="AF524" s="61"/>
      <c r="AG524" s="62"/>
      <c r="AH524" s="63"/>
    </row>
    <row r="525" spans="1:36" ht="16.5" thickTop="1" thickBot="1">
      <c r="A525" s="41"/>
      <c r="B525" s="42"/>
      <c r="C525" s="43"/>
      <c r="D525" s="44"/>
      <c r="E525" s="45"/>
      <c r="F525" s="46"/>
      <c r="G525" s="45"/>
      <c r="H525" s="45"/>
      <c r="I525" s="47"/>
      <c r="J525" s="48"/>
      <c r="K525" s="48"/>
      <c r="L525" s="49"/>
      <c r="M525" s="49"/>
      <c r="N525" s="50"/>
      <c r="O525" s="51"/>
      <c r="P525" s="52"/>
      <c r="Q525" s="53"/>
      <c r="R525" s="77"/>
      <c r="S525" s="78"/>
      <c r="T525" s="56"/>
      <c r="U525" s="80"/>
      <c r="V525" s="56"/>
      <c r="W525" s="56"/>
      <c r="X525" s="80"/>
      <c r="Y525" s="57"/>
      <c r="Z525" s="58"/>
      <c r="AA525" s="82"/>
      <c r="AB525" s="60"/>
      <c r="AC525" s="60"/>
      <c r="AD525" s="54"/>
      <c r="AE525" s="61"/>
      <c r="AF525" s="61"/>
      <c r="AG525" s="62"/>
      <c r="AH525" s="63"/>
    </row>
    <row r="526" spans="1:36" ht="16.5" thickTop="1" thickBot="1">
      <c r="A526" s="41"/>
      <c r="B526" s="42"/>
      <c r="C526" s="43"/>
      <c r="D526" s="44"/>
      <c r="E526" s="45"/>
      <c r="F526" s="46"/>
      <c r="G526" s="45"/>
      <c r="H526" s="45"/>
      <c r="I526" s="47"/>
      <c r="J526" s="48"/>
      <c r="K526" s="48"/>
      <c r="L526" s="49"/>
      <c r="M526" s="49"/>
      <c r="N526" s="50"/>
      <c r="O526" s="51"/>
      <c r="P526" s="52"/>
      <c r="Q526" s="53"/>
      <c r="R526" s="77"/>
      <c r="S526" s="78"/>
      <c r="T526" s="56"/>
      <c r="U526" s="80"/>
      <c r="V526" s="56"/>
      <c r="W526" s="56"/>
      <c r="X526" s="80"/>
      <c r="Y526" s="57"/>
      <c r="Z526" s="58"/>
      <c r="AA526" s="82"/>
      <c r="AB526" s="60"/>
      <c r="AC526" s="60"/>
      <c r="AD526" s="54"/>
      <c r="AE526" s="61"/>
      <c r="AF526" s="61"/>
      <c r="AG526" s="62"/>
      <c r="AH526" s="63"/>
      <c r="AI526" s="92"/>
      <c r="AJ526" s="92"/>
    </row>
    <row r="527" spans="1:36" ht="16.5" thickTop="1" thickBot="1">
      <c r="A527" s="41"/>
      <c r="B527" s="42"/>
      <c r="C527" s="43"/>
      <c r="D527" s="44"/>
      <c r="E527" s="45"/>
      <c r="F527" s="46"/>
      <c r="G527" s="45"/>
      <c r="H527" s="45"/>
      <c r="I527" s="47"/>
      <c r="J527" s="48"/>
      <c r="K527" s="48"/>
      <c r="L527" s="49"/>
      <c r="M527" s="49"/>
      <c r="N527" s="50"/>
      <c r="O527" s="51"/>
      <c r="P527" s="52"/>
      <c r="Q527" s="53"/>
      <c r="R527" s="77"/>
      <c r="S527" s="78"/>
      <c r="T527" s="56"/>
      <c r="U527" s="80"/>
      <c r="V527" s="56"/>
      <c r="W527" s="56"/>
      <c r="X527" s="80"/>
      <c r="Y527" s="57"/>
      <c r="Z527" s="58"/>
      <c r="AA527" s="82"/>
      <c r="AB527" s="60"/>
      <c r="AC527" s="60"/>
      <c r="AD527" s="54"/>
      <c r="AE527" s="61"/>
      <c r="AF527" s="61"/>
      <c r="AG527" s="62"/>
      <c r="AH527" s="63"/>
    </row>
    <row r="528" spans="1:36" ht="16.5" thickTop="1" thickBot="1">
      <c r="A528" s="41"/>
      <c r="B528" s="42"/>
      <c r="C528" s="43"/>
      <c r="D528" s="44"/>
      <c r="E528" s="45"/>
      <c r="F528" s="46"/>
      <c r="G528" s="45"/>
      <c r="H528" s="45"/>
      <c r="I528" s="47"/>
      <c r="J528" s="48"/>
      <c r="K528" s="48"/>
      <c r="L528" s="49"/>
      <c r="M528" s="49"/>
      <c r="N528" s="50"/>
      <c r="O528" s="51"/>
      <c r="P528" s="52"/>
      <c r="Q528" s="53"/>
      <c r="R528" s="77"/>
      <c r="S528" s="78"/>
      <c r="T528" s="56"/>
      <c r="U528" s="80"/>
      <c r="V528" s="56"/>
      <c r="W528" s="56"/>
      <c r="X528" s="80"/>
      <c r="Y528" s="57"/>
      <c r="Z528" s="58"/>
      <c r="AA528" s="82"/>
      <c r="AB528" s="60"/>
      <c r="AC528" s="60"/>
      <c r="AD528" s="54"/>
      <c r="AE528" s="61"/>
      <c r="AF528" s="61"/>
      <c r="AG528" s="62"/>
      <c r="AH528" s="63"/>
    </row>
    <row r="529" spans="1:34" ht="16.5" thickTop="1" thickBot="1">
      <c r="A529" s="41"/>
      <c r="B529" s="42"/>
      <c r="C529" s="43"/>
      <c r="D529" s="44"/>
      <c r="E529" s="45"/>
      <c r="F529" s="46"/>
      <c r="G529" s="45"/>
      <c r="H529" s="45"/>
      <c r="I529" s="47"/>
      <c r="J529" s="48"/>
      <c r="K529" s="48"/>
      <c r="L529" s="49"/>
      <c r="M529" s="49"/>
      <c r="N529" s="50"/>
      <c r="O529" s="51"/>
      <c r="P529" s="52"/>
      <c r="Q529" s="53"/>
      <c r="R529" s="77"/>
      <c r="S529" s="78"/>
      <c r="T529" s="56"/>
      <c r="U529" s="80"/>
      <c r="V529" s="56"/>
      <c r="W529" s="56"/>
      <c r="X529" s="80"/>
      <c r="Y529" s="57"/>
      <c r="Z529" s="58"/>
      <c r="AA529" s="82"/>
      <c r="AB529" s="60"/>
      <c r="AC529" s="60"/>
      <c r="AD529" s="54"/>
      <c r="AE529" s="61"/>
      <c r="AF529" s="61"/>
      <c r="AG529" s="62"/>
      <c r="AH529" s="63"/>
    </row>
    <row r="530" spans="1:34" ht="16.5" thickTop="1" thickBot="1">
      <c r="A530" s="41"/>
      <c r="B530" s="42"/>
      <c r="C530" s="43"/>
      <c r="D530" s="44"/>
      <c r="E530" s="45"/>
      <c r="F530" s="46"/>
      <c r="G530" s="45"/>
      <c r="H530" s="45"/>
      <c r="I530" s="47"/>
      <c r="J530" s="48"/>
      <c r="K530" s="48"/>
      <c r="L530" s="49"/>
      <c r="M530" s="49"/>
      <c r="N530" s="50"/>
      <c r="O530" s="51"/>
      <c r="P530" s="52"/>
      <c r="Q530" s="53"/>
      <c r="R530" s="77"/>
      <c r="S530" s="78"/>
      <c r="T530" s="56"/>
      <c r="U530" s="80"/>
      <c r="V530" s="56"/>
      <c r="W530" s="56"/>
      <c r="X530" s="80"/>
      <c r="Y530" s="57"/>
      <c r="Z530" s="58"/>
      <c r="AA530" s="82"/>
      <c r="AB530" s="60"/>
      <c r="AC530" s="60"/>
      <c r="AD530" s="54"/>
      <c r="AE530" s="61"/>
      <c r="AF530" s="61"/>
      <c r="AG530" s="62"/>
      <c r="AH530" s="63"/>
    </row>
    <row r="531" spans="1:34" ht="16.5" thickTop="1" thickBot="1">
      <c r="A531" s="41"/>
      <c r="B531" s="42"/>
      <c r="C531" s="43"/>
      <c r="D531" s="44"/>
      <c r="E531" s="45"/>
      <c r="F531" s="46"/>
      <c r="G531" s="45"/>
      <c r="H531" s="45"/>
      <c r="I531" s="47"/>
      <c r="J531" s="48"/>
      <c r="K531" s="48"/>
      <c r="L531" s="49"/>
      <c r="M531" s="49"/>
      <c r="N531" s="50"/>
      <c r="O531" s="51"/>
      <c r="P531" s="52"/>
      <c r="Q531" s="53"/>
      <c r="R531" s="77"/>
      <c r="S531" s="78"/>
      <c r="T531" s="56"/>
      <c r="U531" s="80"/>
      <c r="V531" s="56"/>
      <c r="W531" s="56"/>
      <c r="X531" s="80"/>
      <c r="Y531" s="57"/>
      <c r="Z531" s="58"/>
      <c r="AA531" s="82"/>
      <c r="AB531" s="60"/>
      <c r="AC531" s="60"/>
      <c r="AD531" s="54"/>
      <c r="AE531" s="61"/>
      <c r="AF531" s="61"/>
      <c r="AG531" s="62"/>
      <c r="AH531" s="63"/>
    </row>
    <row r="532" spans="1:34" ht="16.5" thickTop="1" thickBot="1">
      <c r="A532" s="41"/>
      <c r="B532" s="42"/>
      <c r="C532" s="43"/>
      <c r="D532" s="44"/>
      <c r="E532" s="45"/>
      <c r="F532" s="46"/>
      <c r="G532" s="45"/>
      <c r="H532" s="45"/>
      <c r="I532" s="47"/>
      <c r="J532" s="48"/>
      <c r="K532" s="48"/>
      <c r="L532" s="49"/>
      <c r="M532" s="49"/>
      <c r="N532" s="50"/>
      <c r="O532" s="51"/>
      <c r="P532" s="52"/>
      <c r="Q532" s="53"/>
      <c r="R532" s="77"/>
      <c r="S532" s="78"/>
      <c r="T532" s="56"/>
      <c r="U532" s="80"/>
      <c r="V532" s="56"/>
      <c r="W532" s="56"/>
      <c r="X532" s="80"/>
      <c r="Y532" s="57"/>
      <c r="Z532" s="58"/>
      <c r="AA532" s="82"/>
      <c r="AB532" s="60"/>
      <c r="AC532" s="60"/>
      <c r="AD532" s="54"/>
      <c r="AE532" s="61"/>
      <c r="AF532" s="61"/>
      <c r="AG532" s="62"/>
      <c r="AH532" s="63"/>
    </row>
    <row r="533" spans="1:34" ht="16.5" thickTop="1" thickBot="1">
      <c r="A533" s="41"/>
      <c r="B533" s="42"/>
      <c r="C533" s="43"/>
      <c r="D533" s="44"/>
      <c r="E533" s="45"/>
      <c r="F533" s="46"/>
      <c r="G533" s="45"/>
      <c r="H533" s="45"/>
      <c r="I533" s="47"/>
      <c r="J533" s="48"/>
      <c r="K533" s="48"/>
      <c r="L533" s="49"/>
      <c r="M533" s="49"/>
      <c r="N533" s="50"/>
      <c r="O533" s="51"/>
      <c r="P533" s="52"/>
      <c r="Q533" s="53"/>
      <c r="R533" s="77"/>
      <c r="S533" s="78"/>
      <c r="T533" s="56"/>
      <c r="U533" s="80"/>
      <c r="V533" s="56"/>
      <c r="W533" s="56"/>
      <c r="X533" s="80"/>
      <c r="Y533" s="57"/>
      <c r="Z533" s="58"/>
      <c r="AA533" s="82"/>
      <c r="AB533" s="60"/>
      <c r="AC533" s="60"/>
      <c r="AD533" s="54"/>
      <c r="AE533" s="61"/>
      <c r="AF533" s="61"/>
      <c r="AG533" s="62"/>
      <c r="AH533" s="63"/>
    </row>
    <row r="534" spans="1:34" ht="16.5" thickTop="1" thickBot="1">
      <c r="A534" s="41"/>
      <c r="B534" s="42"/>
      <c r="C534" s="43"/>
      <c r="D534" s="44"/>
      <c r="E534" s="45"/>
      <c r="F534" s="46"/>
      <c r="G534" s="45"/>
      <c r="H534" s="45"/>
      <c r="I534" s="47"/>
      <c r="J534" s="48"/>
      <c r="K534" s="48"/>
      <c r="L534" s="49"/>
      <c r="M534" s="49"/>
      <c r="N534" s="50"/>
      <c r="O534" s="51"/>
      <c r="P534" s="52"/>
      <c r="Q534" s="53"/>
      <c r="R534" s="77"/>
      <c r="S534" s="78"/>
      <c r="T534" s="56"/>
      <c r="U534" s="80"/>
      <c r="V534" s="56"/>
      <c r="W534" s="56"/>
      <c r="X534" s="80"/>
      <c r="Y534" s="57"/>
      <c r="Z534" s="58"/>
      <c r="AA534" s="82"/>
      <c r="AB534" s="60"/>
      <c r="AC534" s="60"/>
      <c r="AD534" s="54"/>
      <c r="AE534" s="61"/>
      <c r="AF534" s="61"/>
      <c r="AG534" s="62"/>
      <c r="AH534" s="63"/>
    </row>
    <row r="535" spans="1:34" ht="16.5" thickTop="1" thickBot="1">
      <c r="A535" s="41"/>
      <c r="B535" s="42"/>
      <c r="C535" s="43"/>
      <c r="D535" s="44"/>
      <c r="E535" s="45"/>
      <c r="F535" s="46"/>
      <c r="G535" s="45"/>
      <c r="H535" s="45"/>
      <c r="I535" s="47"/>
      <c r="J535" s="48"/>
      <c r="K535" s="48"/>
      <c r="L535" s="49"/>
      <c r="M535" s="49"/>
      <c r="N535" s="50"/>
      <c r="O535" s="51"/>
      <c r="P535" s="52"/>
      <c r="Q535" s="53"/>
      <c r="R535" s="77"/>
      <c r="S535" s="78"/>
      <c r="T535" s="56"/>
      <c r="U535" s="80"/>
      <c r="V535" s="56"/>
      <c r="W535" s="56"/>
      <c r="X535" s="80"/>
      <c r="Y535" s="57"/>
      <c r="Z535" s="58"/>
      <c r="AA535" s="82"/>
      <c r="AB535" s="60"/>
      <c r="AC535" s="60"/>
      <c r="AD535" s="54"/>
      <c r="AE535" s="61"/>
      <c r="AF535" s="61"/>
      <c r="AG535" s="62"/>
      <c r="AH535" s="63"/>
    </row>
    <row r="536" spans="1:34" ht="16.5" thickTop="1" thickBot="1">
      <c r="A536" s="41"/>
      <c r="B536" s="42"/>
      <c r="C536" s="43"/>
      <c r="D536" s="44"/>
      <c r="E536" s="45"/>
      <c r="F536" s="46"/>
      <c r="G536" s="45"/>
      <c r="H536" s="45"/>
      <c r="I536" s="47"/>
      <c r="J536" s="48"/>
      <c r="K536" s="48"/>
      <c r="L536" s="49"/>
      <c r="M536" s="49"/>
      <c r="N536" s="50"/>
      <c r="O536" s="51"/>
      <c r="P536" s="52"/>
      <c r="Q536" s="53"/>
      <c r="R536" s="77"/>
      <c r="S536" s="78"/>
      <c r="T536" s="56"/>
      <c r="U536" s="80"/>
      <c r="V536" s="56"/>
      <c r="W536" s="56"/>
      <c r="X536" s="80"/>
      <c r="Y536" s="57"/>
      <c r="Z536" s="58"/>
      <c r="AA536" s="82"/>
      <c r="AB536" s="60"/>
      <c r="AC536" s="60"/>
      <c r="AD536" s="54"/>
      <c r="AE536" s="61"/>
      <c r="AF536" s="61"/>
      <c r="AG536" s="62"/>
      <c r="AH536" s="63"/>
    </row>
    <row r="537" spans="1:34" ht="16.5" thickTop="1" thickBot="1">
      <c r="A537" s="41"/>
      <c r="B537" s="42"/>
      <c r="C537" s="43"/>
      <c r="D537" s="44"/>
      <c r="E537" s="45"/>
      <c r="F537" s="46"/>
      <c r="G537" s="45"/>
      <c r="H537" s="45"/>
      <c r="I537" s="47"/>
      <c r="J537" s="48"/>
      <c r="K537" s="48"/>
      <c r="L537" s="49"/>
      <c r="M537" s="49"/>
      <c r="N537" s="50"/>
      <c r="O537" s="51"/>
      <c r="P537" s="52"/>
      <c r="Q537" s="53"/>
      <c r="R537" s="77"/>
      <c r="S537" s="78"/>
      <c r="T537" s="56"/>
      <c r="U537" s="80"/>
      <c r="V537" s="56"/>
      <c r="W537" s="56"/>
      <c r="X537" s="80"/>
      <c r="Y537" s="57"/>
      <c r="Z537" s="58"/>
      <c r="AA537" s="82"/>
      <c r="AB537" s="60"/>
      <c r="AC537" s="60"/>
      <c r="AD537" s="54"/>
      <c r="AE537" s="61"/>
      <c r="AF537" s="61"/>
      <c r="AG537" s="62"/>
      <c r="AH537" s="63"/>
    </row>
    <row r="538" spans="1:34" ht="16.5" thickTop="1" thickBot="1">
      <c r="A538" s="41"/>
      <c r="B538" s="42"/>
      <c r="C538" s="43"/>
      <c r="D538" s="44"/>
      <c r="E538" s="45"/>
      <c r="F538" s="46"/>
      <c r="G538" s="45"/>
      <c r="H538" s="45"/>
      <c r="I538" s="47"/>
      <c r="J538" s="48"/>
      <c r="K538" s="48"/>
      <c r="L538" s="49"/>
      <c r="M538" s="49"/>
      <c r="N538" s="50"/>
      <c r="O538" s="51"/>
      <c r="P538" s="52"/>
      <c r="Q538" s="53"/>
      <c r="R538" s="77"/>
      <c r="S538" s="78"/>
      <c r="T538" s="56"/>
      <c r="U538" s="80"/>
      <c r="V538" s="56"/>
      <c r="W538" s="56"/>
      <c r="X538" s="80"/>
      <c r="Y538" s="57"/>
      <c r="Z538" s="58"/>
      <c r="AA538" s="82"/>
      <c r="AB538" s="60"/>
      <c r="AC538" s="60"/>
      <c r="AD538" s="54"/>
      <c r="AE538" s="61"/>
      <c r="AF538" s="61"/>
      <c r="AG538" s="62"/>
      <c r="AH538" s="63"/>
    </row>
    <row r="539" spans="1:34" ht="16.5" thickTop="1" thickBot="1">
      <c r="A539" s="41"/>
      <c r="B539" s="42"/>
      <c r="C539" s="43"/>
      <c r="D539" s="44"/>
      <c r="E539" s="45"/>
      <c r="F539" s="46"/>
      <c r="G539" s="45"/>
      <c r="H539" s="45"/>
      <c r="I539" s="47"/>
      <c r="J539" s="48"/>
      <c r="K539" s="48"/>
      <c r="L539" s="49"/>
      <c r="M539" s="49"/>
      <c r="N539" s="50"/>
      <c r="O539" s="51"/>
      <c r="P539" s="52"/>
      <c r="Q539" s="53"/>
      <c r="R539" s="77"/>
      <c r="S539" s="78"/>
      <c r="T539" s="56"/>
      <c r="U539" s="80"/>
      <c r="V539" s="56"/>
      <c r="W539" s="56"/>
      <c r="X539" s="80"/>
      <c r="Y539" s="57"/>
      <c r="Z539" s="58"/>
      <c r="AA539" s="82"/>
      <c r="AB539" s="60"/>
      <c r="AC539" s="60"/>
      <c r="AD539" s="54"/>
      <c r="AE539" s="61"/>
      <c r="AF539" s="61"/>
      <c r="AG539" s="62"/>
      <c r="AH539" s="63"/>
    </row>
    <row r="540" spans="1:34" ht="16.5" thickTop="1" thickBot="1">
      <c r="A540" s="41"/>
      <c r="B540" s="42"/>
      <c r="C540" s="43"/>
      <c r="D540" s="44"/>
      <c r="E540" s="45"/>
      <c r="F540" s="46"/>
      <c r="G540" s="45"/>
      <c r="H540" s="45"/>
      <c r="I540" s="47"/>
      <c r="J540" s="48"/>
      <c r="K540" s="48"/>
      <c r="L540" s="49"/>
      <c r="M540" s="49"/>
      <c r="N540" s="50"/>
      <c r="O540" s="51"/>
      <c r="P540" s="52"/>
      <c r="Q540" s="53"/>
      <c r="R540" s="77"/>
      <c r="S540" s="78"/>
      <c r="T540" s="56"/>
      <c r="U540" s="80"/>
      <c r="V540" s="56"/>
      <c r="W540" s="56"/>
      <c r="X540" s="80"/>
      <c r="Y540" s="57"/>
      <c r="Z540" s="58"/>
      <c r="AA540" s="82"/>
      <c r="AB540" s="60"/>
      <c r="AC540" s="60"/>
      <c r="AD540" s="54"/>
      <c r="AE540" s="61"/>
      <c r="AF540" s="61"/>
      <c r="AG540" s="62"/>
      <c r="AH540" s="63"/>
    </row>
    <row r="541" spans="1:34" ht="16.5" thickTop="1" thickBot="1">
      <c r="A541" s="41"/>
      <c r="B541" s="42"/>
      <c r="C541" s="43"/>
      <c r="D541" s="44"/>
      <c r="E541" s="45"/>
      <c r="F541" s="46"/>
      <c r="G541" s="45"/>
      <c r="H541" s="45"/>
      <c r="I541" s="47"/>
      <c r="J541" s="48"/>
      <c r="K541" s="48"/>
      <c r="L541" s="49"/>
      <c r="M541" s="49"/>
      <c r="N541" s="50"/>
      <c r="O541" s="51"/>
      <c r="P541" s="52"/>
      <c r="Q541" s="53"/>
      <c r="R541" s="77"/>
      <c r="S541" s="78"/>
      <c r="T541" s="56"/>
      <c r="U541" s="80"/>
      <c r="V541" s="56"/>
      <c r="W541" s="56"/>
      <c r="X541" s="80"/>
      <c r="Y541" s="57"/>
      <c r="Z541" s="58"/>
      <c r="AA541" s="82"/>
      <c r="AB541" s="60"/>
      <c r="AC541" s="60"/>
      <c r="AD541" s="54"/>
      <c r="AE541" s="61"/>
      <c r="AF541" s="61"/>
      <c r="AG541" s="62"/>
      <c r="AH541" s="63"/>
    </row>
    <row r="542" spans="1:34" ht="16.5" thickTop="1" thickBot="1">
      <c r="A542" s="41"/>
      <c r="B542" s="42"/>
      <c r="C542" s="43"/>
      <c r="D542" s="44"/>
      <c r="E542" s="45"/>
      <c r="F542" s="46"/>
      <c r="G542" s="45"/>
      <c r="H542" s="45"/>
      <c r="I542" s="47"/>
      <c r="J542" s="48"/>
      <c r="K542" s="48"/>
      <c r="L542" s="49"/>
      <c r="M542" s="49"/>
      <c r="N542" s="50"/>
      <c r="O542" s="51"/>
      <c r="P542" s="52"/>
      <c r="Q542" s="53"/>
      <c r="R542" s="77"/>
      <c r="S542" s="78"/>
      <c r="T542" s="56"/>
      <c r="U542" s="80"/>
      <c r="V542" s="56"/>
      <c r="W542" s="56"/>
      <c r="X542" s="80"/>
      <c r="Y542" s="57"/>
      <c r="Z542" s="58"/>
      <c r="AA542" s="82"/>
      <c r="AB542" s="60"/>
      <c r="AC542" s="60"/>
      <c r="AD542" s="54"/>
      <c r="AE542" s="61"/>
      <c r="AF542" s="61"/>
      <c r="AG542" s="62"/>
      <c r="AH542" s="63"/>
    </row>
    <row r="543" spans="1:34" ht="16.5" thickTop="1" thickBot="1">
      <c r="A543" s="41"/>
      <c r="B543" s="42"/>
      <c r="C543" s="43"/>
      <c r="D543" s="44"/>
      <c r="E543" s="45"/>
      <c r="F543" s="46"/>
      <c r="G543" s="45"/>
      <c r="H543" s="45"/>
      <c r="I543" s="47"/>
      <c r="J543" s="48"/>
      <c r="K543" s="48"/>
      <c r="L543" s="49"/>
      <c r="M543" s="49"/>
      <c r="N543" s="50"/>
      <c r="O543" s="51"/>
      <c r="P543" s="52"/>
      <c r="Q543" s="53"/>
      <c r="R543" s="77"/>
      <c r="S543" s="78"/>
      <c r="T543" s="56"/>
      <c r="U543" s="80"/>
      <c r="V543" s="56"/>
      <c r="W543" s="56"/>
      <c r="X543" s="80"/>
      <c r="Y543" s="57"/>
      <c r="Z543" s="58"/>
      <c r="AA543" s="82"/>
      <c r="AB543" s="60"/>
      <c r="AC543" s="60"/>
      <c r="AD543" s="54"/>
      <c r="AE543" s="61"/>
      <c r="AF543" s="61"/>
      <c r="AG543" s="62"/>
      <c r="AH543" s="63"/>
    </row>
    <row r="544" spans="1:34" ht="16.5" thickTop="1" thickBot="1">
      <c r="A544" s="41"/>
      <c r="B544" s="42"/>
      <c r="C544" s="43"/>
      <c r="D544" s="44"/>
      <c r="E544" s="45"/>
      <c r="F544" s="46"/>
      <c r="G544" s="45"/>
      <c r="H544" s="45"/>
      <c r="I544" s="47"/>
      <c r="J544" s="48"/>
      <c r="K544" s="48"/>
      <c r="L544" s="49"/>
      <c r="M544" s="49"/>
      <c r="N544" s="50"/>
      <c r="O544" s="51"/>
      <c r="P544" s="52"/>
      <c r="Q544" s="53"/>
      <c r="R544" s="77"/>
      <c r="S544" s="78"/>
      <c r="T544" s="56"/>
      <c r="U544" s="80"/>
      <c r="V544" s="56"/>
      <c r="W544" s="56"/>
      <c r="X544" s="80"/>
      <c r="Y544" s="57"/>
      <c r="Z544" s="58"/>
      <c r="AA544" s="82"/>
      <c r="AB544" s="60"/>
      <c r="AC544" s="60"/>
      <c r="AD544" s="54"/>
      <c r="AE544" s="61"/>
      <c r="AF544" s="61"/>
      <c r="AG544" s="62"/>
      <c r="AH544" s="63"/>
    </row>
    <row r="545" spans="1:34" ht="16.5" thickTop="1" thickBot="1">
      <c r="A545" s="41"/>
      <c r="B545" s="42"/>
      <c r="C545" s="43"/>
      <c r="D545" s="44"/>
      <c r="E545" s="45"/>
      <c r="F545" s="46"/>
      <c r="G545" s="45"/>
      <c r="H545" s="45"/>
      <c r="I545" s="47"/>
      <c r="J545" s="48"/>
      <c r="K545" s="48"/>
      <c r="L545" s="49"/>
      <c r="M545" s="49"/>
      <c r="N545" s="50"/>
      <c r="O545" s="51"/>
      <c r="P545" s="52"/>
      <c r="Q545" s="53"/>
      <c r="R545" s="77"/>
      <c r="S545" s="78"/>
      <c r="T545" s="56"/>
      <c r="U545" s="80"/>
      <c r="V545" s="56"/>
      <c r="W545" s="56"/>
      <c r="X545" s="80"/>
      <c r="Y545" s="57"/>
      <c r="Z545" s="58"/>
      <c r="AA545" s="82"/>
      <c r="AB545" s="60"/>
      <c r="AC545" s="60"/>
      <c r="AD545" s="54"/>
      <c r="AE545" s="61"/>
      <c r="AF545" s="61"/>
      <c r="AG545" s="62"/>
      <c r="AH545" s="63"/>
    </row>
    <row r="546" spans="1:34" ht="16.5" thickTop="1" thickBot="1">
      <c r="A546" s="41"/>
      <c r="B546" s="42"/>
      <c r="C546" s="43"/>
      <c r="D546" s="44"/>
      <c r="E546" s="45"/>
      <c r="F546" s="46"/>
      <c r="G546" s="45"/>
      <c r="H546" s="45"/>
      <c r="I546" s="47"/>
      <c r="J546" s="48"/>
      <c r="K546" s="48"/>
      <c r="L546" s="49"/>
      <c r="M546" s="49"/>
      <c r="N546" s="50"/>
      <c r="O546" s="51"/>
      <c r="P546" s="52"/>
      <c r="Q546" s="53"/>
      <c r="R546" s="77"/>
      <c r="S546" s="78"/>
      <c r="T546" s="56"/>
      <c r="U546" s="80"/>
      <c r="V546" s="56"/>
      <c r="W546" s="56"/>
      <c r="X546" s="80"/>
      <c r="Y546" s="57"/>
      <c r="Z546" s="58"/>
      <c r="AA546" s="82"/>
      <c r="AB546" s="60"/>
      <c r="AC546" s="60"/>
      <c r="AD546" s="54"/>
      <c r="AE546" s="61"/>
      <c r="AF546" s="61"/>
      <c r="AG546" s="62"/>
      <c r="AH546" s="63"/>
    </row>
    <row r="547" spans="1:34" ht="16.5" thickTop="1" thickBot="1">
      <c r="A547" s="41"/>
      <c r="B547" s="42"/>
      <c r="C547" s="43"/>
      <c r="D547" s="44"/>
      <c r="E547" s="45"/>
      <c r="F547" s="46"/>
      <c r="G547" s="45"/>
      <c r="H547" s="45"/>
      <c r="I547" s="47"/>
      <c r="J547" s="48"/>
      <c r="K547" s="48"/>
      <c r="L547" s="49"/>
      <c r="M547" s="49"/>
      <c r="N547" s="50"/>
      <c r="O547" s="51"/>
      <c r="P547" s="52"/>
      <c r="Q547" s="53"/>
      <c r="R547" s="77"/>
      <c r="S547" s="78"/>
      <c r="T547" s="56"/>
      <c r="U547" s="80"/>
      <c r="V547" s="56"/>
      <c r="W547" s="56"/>
      <c r="X547" s="80"/>
      <c r="Y547" s="57"/>
      <c r="Z547" s="58"/>
      <c r="AA547" s="82"/>
      <c r="AB547" s="60"/>
      <c r="AC547" s="60"/>
      <c r="AD547" s="54"/>
      <c r="AE547" s="61"/>
      <c r="AF547" s="61"/>
      <c r="AG547" s="62"/>
      <c r="AH547" s="63"/>
    </row>
    <row r="548" spans="1:34" ht="16.5" thickTop="1" thickBot="1">
      <c r="A548" s="41"/>
      <c r="B548" s="42"/>
      <c r="C548" s="43"/>
      <c r="D548" s="44"/>
      <c r="E548" s="45"/>
      <c r="F548" s="46"/>
      <c r="G548" s="45"/>
      <c r="H548" s="45"/>
      <c r="I548" s="47"/>
      <c r="J548" s="48"/>
      <c r="K548" s="48"/>
      <c r="L548" s="49"/>
      <c r="M548" s="49"/>
      <c r="N548" s="50"/>
      <c r="O548" s="51"/>
      <c r="P548" s="52"/>
      <c r="Q548" s="53"/>
      <c r="R548" s="77"/>
      <c r="S548" s="78"/>
      <c r="T548" s="56"/>
      <c r="U548" s="80"/>
      <c r="V548" s="56"/>
      <c r="W548" s="56"/>
      <c r="X548" s="80"/>
      <c r="Y548" s="57"/>
      <c r="Z548" s="58"/>
      <c r="AA548" s="82"/>
      <c r="AB548" s="60"/>
      <c r="AC548" s="60"/>
      <c r="AD548" s="54"/>
      <c r="AE548" s="61"/>
      <c r="AF548" s="61"/>
      <c r="AG548" s="62"/>
      <c r="AH548" s="63"/>
    </row>
    <row r="549" spans="1:34" ht="16.5" thickTop="1" thickBot="1">
      <c r="A549" s="41"/>
      <c r="B549" s="42"/>
      <c r="C549" s="43"/>
      <c r="D549" s="44"/>
      <c r="E549" s="45"/>
      <c r="F549" s="46"/>
      <c r="G549" s="45"/>
      <c r="H549" s="45"/>
      <c r="I549" s="47"/>
      <c r="J549" s="48"/>
      <c r="K549" s="48"/>
      <c r="L549" s="49"/>
      <c r="M549" s="49"/>
      <c r="N549" s="50"/>
      <c r="O549" s="51"/>
      <c r="P549" s="52"/>
      <c r="Q549" s="53"/>
      <c r="R549" s="77"/>
      <c r="S549" s="78"/>
      <c r="T549" s="56"/>
      <c r="U549" s="80"/>
      <c r="V549" s="56"/>
      <c r="W549" s="56"/>
      <c r="X549" s="80"/>
      <c r="Y549" s="57"/>
      <c r="Z549" s="58"/>
      <c r="AA549" s="82"/>
      <c r="AB549" s="60"/>
      <c r="AC549" s="60"/>
      <c r="AD549" s="54"/>
      <c r="AE549" s="61"/>
      <c r="AF549" s="61"/>
      <c r="AG549" s="62"/>
      <c r="AH549" s="63"/>
    </row>
    <row r="550" spans="1:34" ht="16.5" thickTop="1" thickBot="1">
      <c r="A550" s="41"/>
      <c r="B550" s="42"/>
      <c r="C550" s="43"/>
      <c r="D550" s="44"/>
      <c r="E550" s="45"/>
      <c r="F550" s="46"/>
      <c r="G550" s="45"/>
      <c r="H550" s="45"/>
      <c r="I550" s="47"/>
      <c r="J550" s="48"/>
      <c r="K550" s="48"/>
      <c r="L550" s="49"/>
      <c r="M550" s="49"/>
      <c r="N550" s="50"/>
      <c r="O550" s="51"/>
      <c r="P550" s="52"/>
      <c r="Q550" s="53"/>
      <c r="R550" s="77"/>
      <c r="S550" s="78"/>
      <c r="T550" s="56"/>
      <c r="U550" s="80"/>
      <c r="V550" s="56"/>
      <c r="W550" s="56"/>
      <c r="X550" s="80"/>
      <c r="Y550" s="57"/>
      <c r="Z550" s="58"/>
      <c r="AA550" s="82"/>
      <c r="AB550" s="60"/>
      <c r="AC550" s="60"/>
      <c r="AD550" s="54"/>
      <c r="AE550" s="61"/>
      <c r="AF550" s="61"/>
      <c r="AG550" s="62"/>
      <c r="AH550" s="63"/>
    </row>
    <row r="551" spans="1:34" ht="16.5" thickTop="1" thickBot="1">
      <c r="A551" s="41"/>
      <c r="B551" s="42"/>
      <c r="C551" s="43"/>
      <c r="D551" s="44"/>
      <c r="E551" s="45"/>
      <c r="F551" s="46"/>
      <c r="G551" s="45"/>
      <c r="H551" s="45"/>
      <c r="I551" s="47"/>
      <c r="J551" s="48"/>
      <c r="K551" s="48"/>
      <c r="L551" s="49"/>
      <c r="M551" s="49"/>
      <c r="N551" s="50"/>
      <c r="O551" s="51"/>
      <c r="P551" s="52"/>
      <c r="Q551" s="53"/>
      <c r="R551" s="77"/>
      <c r="S551" s="78"/>
      <c r="T551" s="56"/>
      <c r="U551" s="80"/>
      <c r="V551" s="56"/>
      <c r="W551" s="56"/>
      <c r="X551" s="80"/>
      <c r="Y551" s="57"/>
      <c r="Z551" s="58"/>
      <c r="AA551" s="82"/>
      <c r="AB551" s="60"/>
      <c r="AC551" s="60"/>
      <c r="AD551" s="54"/>
      <c r="AE551" s="61"/>
      <c r="AF551" s="61"/>
      <c r="AG551" s="62"/>
      <c r="AH551" s="63"/>
    </row>
    <row r="552" spans="1:34" ht="16.5" thickTop="1" thickBot="1">
      <c r="A552" s="41"/>
      <c r="B552" s="42"/>
      <c r="C552" s="43"/>
      <c r="D552" s="44"/>
      <c r="E552" s="45"/>
      <c r="F552" s="46"/>
      <c r="G552" s="45"/>
      <c r="H552" s="45"/>
      <c r="I552" s="47"/>
      <c r="J552" s="48"/>
      <c r="K552" s="48"/>
      <c r="L552" s="49"/>
      <c r="M552" s="49"/>
      <c r="N552" s="50"/>
      <c r="O552" s="51"/>
      <c r="P552" s="52"/>
      <c r="Q552" s="53"/>
      <c r="R552" s="77"/>
      <c r="S552" s="78"/>
      <c r="T552" s="56"/>
      <c r="U552" s="80"/>
      <c r="V552" s="56"/>
      <c r="W552" s="56"/>
      <c r="X552" s="80"/>
      <c r="Y552" s="57"/>
      <c r="Z552" s="58"/>
      <c r="AA552" s="82"/>
      <c r="AB552" s="60"/>
      <c r="AC552" s="60"/>
      <c r="AD552" s="54"/>
      <c r="AE552" s="61"/>
      <c r="AF552" s="61"/>
      <c r="AG552" s="62"/>
      <c r="AH552" s="63"/>
    </row>
    <row r="553" spans="1:34" ht="16.5" thickTop="1" thickBot="1">
      <c r="A553" s="41"/>
      <c r="B553" s="42"/>
      <c r="C553" s="43"/>
      <c r="D553" s="44"/>
      <c r="E553" s="45"/>
      <c r="F553" s="46"/>
      <c r="G553" s="45"/>
      <c r="H553" s="45"/>
      <c r="I553" s="47"/>
      <c r="J553" s="48"/>
      <c r="K553" s="48"/>
      <c r="L553" s="49"/>
      <c r="M553" s="49"/>
      <c r="N553" s="50"/>
      <c r="O553" s="51"/>
      <c r="P553" s="52"/>
      <c r="Q553" s="53"/>
      <c r="R553" s="77"/>
      <c r="S553" s="78"/>
      <c r="T553" s="56"/>
      <c r="U553" s="80"/>
      <c r="V553" s="56"/>
      <c r="W553" s="56"/>
      <c r="X553" s="80"/>
      <c r="Y553" s="57"/>
      <c r="Z553" s="58"/>
      <c r="AA553" s="82"/>
      <c r="AB553" s="60"/>
      <c r="AC553" s="60"/>
      <c r="AD553" s="54"/>
      <c r="AE553" s="61"/>
      <c r="AF553" s="61"/>
      <c r="AG553" s="62"/>
      <c r="AH553" s="63"/>
    </row>
    <row r="554" spans="1:34" ht="16.5" thickTop="1" thickBot="1">
      <c r="A554" s="41"/>
      <c r="B554" s="42"/>
      <c r="C554" s="43"/>
      <c r="D554" s="44"/>
      <c r="E554" s="45"/>
      <c r="F554" s="46"/>
      <c r="G554" s="45"/>
      <c r="H554" s="45"/>
      <c r="I554" s="47"/>
      <c r="J554" s="48"/>
      <c r="K554" s="48"/>
      <c r="L554" s="49"/>
      <c r="M554" s="49"/>
      <c r="N554" s="50"/>
      <c r="O554" s="51"/>
      <c r="P554" s="52"/>
      <c r="Q554" s="53"/>
      <c r="R554" s="77"/>
      <c r="S554" s="78"/>
      <c r="T554" s="56"/>
      <c r="U554" s="80"/>
      <c r="V554" s="56"/>
      <c r="W554" s="56"/>
      <c r="X554" s="80"/>
      <c r="Y554" s="57"/>
      <c r="Z554" s="58"/>
      <c r="AA554" s="82"/>
      <c r="AB554" s="60"/>
      <c r="AC554" s="60"/>
      <c r="AD554" s="54"/>
      <c r="AE554" s="61"/>
      <c r="AF554" s="61"/>
      <c r="AG554" s="62"/>
      <c r="AH554" s="63"/>
    </row>
    <row r="555" spans="1:34" ht="16.5" thickTop="1" thickBot="1">
      <c r="A555" s="41"/>
      <c r="B555" s="42"/>
      <c r="C555" s="43"/>
      <c r="D555" s="44"/>
      <c r="E555" s="45"/>
      <c r="F555" s="46"/>
      <c r="G555" s="45"/>
      <c r="H555" s="45"/>
      <c r="I555" s="47"/>
      <c r="J555" s="48"/>
      <c r="K555" s="48"/>
      <c r="L555" s="49"/>
      <c r="M555" s="49"/>
      <c r="N555" s="50"/>
      <c r="O555" s="51"/>
      <c r="P555" s="52"/>
      <c r="Q555" s="53"/>
      <c r="R555" s="77"/>
      <c r="S555" s="78"/>
      <c r="T555" s="56"/>
      <c r="U555" s="80"/>
      <c r="V555" s="56"/>
      <c r="W555" s="56"/>
      <c r="X555" s="80"/>
      <c r="Y555" s="57"/>
      <c r="Z555" s="58"/>
      <c r="AA555" s="82"/>
      <c r="AB555" s="60"/>
      <c r="AC555" s="60"/>
      <c r="AD555" s="54"/>
      <c r="AE555" s="61"/>
      <c r="AF555" s="61"/>
      <c r="AG555" s="62"/>
      <c r="AH555" s="63"/>
    </row>
    <row r="556" spans="1:34" ht="16.5" thickTop="1" thickBot="1">
      <c r="A556" s="41"/>
      <c r="B556" s="42"/>
      <c r="C556" s="43"/>
      <c r="D556" s="44"/>
      <c r="E556" s="45"/>
      <c r="F556" s="46"/>
      <c r="G556" s="45"/>
      <c r="H556" s="45"/>
      <c r="I556" s="47"/>
      <c r="J556" s="48"/>
      <c r="K556" s="48"/>
      <c r="L556" s="49"/>
      <c r="M556" s="49"/>
      <c r="N556" s="50"/>
      <c r="O556" s="51"/>
      <c r="P556" s="52"/>
      <c r="Q556" s="53"/>
      <c r="R556" s="77"/>
      <c r="S556" s="78"/>
      <c r="T556" s="56"/>
      <c r="U556" s="80"/>
      <c r="V556" s="56"/>
      <c r="W556" s="56"/>
      <c r="X556" s="80"/>
      <c r="Y556" s="57"/>
      <c r="Z556" s="58"/>
      <c r="AA556" s="82"/>
      <c r="AB556" s="60"/>
      <c r="AC556" s="60"/>
      <c r="AD556" s="54"/>
      <c r="AE556" s="61"/>
      <c r="AF556" s="61"/>
      <c r="AG556" s="62"/>
      <c r="AH556" s="63"/>
    </row>
    <row r="557" spans="1:34" ht="16.5" thickTop="1" thickBot="1">
      <c r="A557" s="41"/>
      <c r="B557" s="42"/>
      <c r="C557" s="43"/>
      <c r="D557" s="44"/>
      <c r="E557" s="45"/>
      <c r="F557" s="46"/>
      <c r="G557" s="45"/>
      <c r="H557" s="45"/>
      <c r="I557" s="47"/>
      <c r="J557" s="48"/>
      <c r="K557" s="48"/>
      <c r="L557" s="49"/>
      <c r="M557" s="49"/>
      <c r="N557" s="50"/>
      <c r="O557" s="51"/>
      <c r="P557" s="52"/>
      <c r="Q557" s="53"/>
      <c r="R557" s="77"/>
      <c r="S557" s="78"/>
      <c r="T557" s="56"/>
      <c r="U557" s="80"/>
      <c r="V557" s="56"/>
      <c r="W557" s="56"/>
      <c r="X557" s="80"/>
      <c r="Y557" s="57"/>
      <c r="Z557" s="58"/>
      <c r="AA557" s="82"/>
      <c r="AB557" s="60"/>
      <c r="AC557" s="60"/>
      <c r="AD557" s="54"/>
      <c r="AE557" s="61"/>
      <c r="AF557" s="61"/>
      <c r="AG557" s="62"/>
      <c r="AH557" s="63"/>
    </row>
    <row r="558" spans="1:34" ht="16.5" thickTop="1" thickBot="1">
      <c r="A558" s="41"/>
      <c r="B558" s="42"/>
      <c r="C558" s="43"/>
      <c r="D558" s="44"/>
      <c r="E558" s="45"/>
      <c r="F558" s="46"/>
      <c r="G558" s="45"/>
      <c r="H558" s="45"/>
      <c r="I558" s="47"/>
      <c r="J558" s="48"/>
      <c r="K558" s="48"/>
      <c r="L558" s="49"/>
      <c r="M558" s="49"/>
      <c r="N558" s="50"/>
      <c r="O558" s="51"/>
      <c r="P558" s="52"/>
      <c r="Q558" s="53"/>
      <c r="R558" s="77"/>
      <c r="S558" s="78"/>
      <c r="T558" s="56"/>
      <c r="U558" s="80"/>
      <c r="V558" s="56"/>
      <c r="W558" s="56"/>
      <c r="X558" s="80"/>
      <c r="Y558" s="57"/>
      <c r="Z558" s="58"/>
      <c r="AA558" s="82"/>
      <c r="AB558" s="60"/>
      <c r="AC558" s="60"/>
      <c r="AD558" s="54"/>
      <c r="AE558" s="61"/>
      <c r="AF558" s="61"/>
      <c r="AG558" s="62"/>
      <c r="AH558" s="63"/>
    </row>
    <row r="559" spans="1:34" ht="16.5" thickTop="1" thickBot="1">
      <c r="A559" s="41"/>
      <c r="B559" s="42"/>
      <c r="C559" s="43"/>
      <c r="D559" s="44"/>
      <c r="E559" s="45"/>
      <c r="F559" s="46"/>
      <c r="G559" s="45"/>
      <c r="H559" s="45"/>
      <c r="I559" s="47"/>
      <c r="J559" s="48"/>
      <c r="K559" s="48"/>
      <c r="L559" s="49"/>
      <c r="M559" s="49"/>
      <c r="N559" s="50"/>
      <c r="O559" s="51"/>
      <c r="P559" s="52"/>
      <c r="Q559" s="53"/>
      <c r="R559" s="77"/>
      <c r="S559" s="78"/>
      <c r="T559" s="56"/>
      <c r="U559" s="80"/>
      <c r="V559" s="56"/>
      <c r="W559" s="56"/>
      <c r="X559" s="80"/>
      <c r="Y559" s="57"/>
      <c r="Z559" s="58"/>
      <c r="AA559" s="82"/>
      <c r="AB559" s="60"/>
      <c r="AC559" s="60"/>
      <c r="AD559" s="54"/>
      <c r="AE559" s="61"/>
      <c r="AF559" s="61"/>
      <c r="AG559" s="62"/>
      <c r="AH559" s="63"/>
    </row>
    <row r="560" spans="1:34" ht="16.5" thickTop="1" thickBot="1">
      <c r="A560" s="41"/>
      <c r="B560" s="42"/>
      <c r="C560" s="43"/>
      <c r="D560" s="44"/>
      <c r="E560" s="45"/>
      <c r="F560" s="46"/>
      <c r="G560" s="45"/>
      <c r="H560" s="45"/>
      <c r="I560" s="47"/>
      <c r="J560" s="48"/>
      <c r="K560" s="48"/>
      <c r="L560" s="49"/>
      <c r="M560" s="49"/>
      <c r="N560" s="50"/>
      <c r="O560" s="51"/>
      <c r="P560" s="52"/>
      <c r="Q560" s="53"/>
      <c r="R560" s="77"/>
      <c r="S560" s="78"/>
      <c r="T560" s="56"/>
      <c r="U560" s="80"/>
      <c r="V560" s="56"/>
      <c r="W560" s="56"/>
      <c r="X560" s="80"/>
      <c r="Y560" s="57"/>
      <c r="Z560" s="58"/>
      <c r="AA560" s="82"/>
      <c r="AB560" s="60"/>
      <c r="AC560" s="60"/>
      <c r="AD560" s="54"/>
      <c r="AE560" s="61"/>
      <c r="AF560" s="61"/>
      <c r="AG560" s="62"/>
      <c r="AH560" s="63"/>
    </row>
    <row r="561" spans="1:36" ht="16.5" thickTop="1" thickBot="1">
      <c r="A561" s="41"/>
      <c r="B561" s="42"/>
      <c r="C561" s="43"/>
      <c r="D561" s="44"/>
      <c r="E561" s="45"/>
      <c r="F561" s="46"/>
      <c r="G561" s="45"/>
      <c r="H561" s="45"/>
      <c r="I561" s="47"/>
      <c r="J561" s="48"/>
      <c r="K561" s="48"/>
      <c r="L561" s="49"/>
      <c r="M561" s="49"/>
      <c r="N561" s="50"/>
      <c r="O561" s="51"/>
      <c r="P561" s="52"/>
      <c r="Q561" s="53"/>
      <c r="R561" s="77"/>
      <c r="S561" s="78"/>
      <c r="T561" s="56"/>
      <c r="U561" s="80"/>
      <c r="V561" s="56"/>
      <c r="W561" s="56"/>
      <c r="X561" s="80"/>
      <c r="Y561" s="57"/>
      <c r="Z561" s="58"/>
      <c r="AA561" s="82"/>
      <c r="AB561" s="60"/>
      <c r="AC561" s="60"/>
      <c r="AD561" s="54"/>
      <c r="AE561" s="61"/>
      <c r="AF561" s="61"/>
      <c r="AG561" s="62"/>
      <c r="AH561" s="63"/>
    </row>
    <row r="562" spans="1:36" ht="16.5" thickTop="1" thickBot="1">
      <c r="A562" s="41"/>
      <c r="B562" s="42"/>
      <c r="C562" s="43"/>
      <c r="D562" s="44"/>
      <c r="E562" s="45"/>
      <c r="F562" s="46"/>
      <c r="G562" s="45"/>
      <c r="H562" s="45"/>
      <c r="I562" s="47"/>
      <c r="J562" s="48"/>
      <c r="K562" s="48"/>
      <c r="L562" s="49"/>
      <c r="M562" s="49"/>
      <c r="N562" s="50"/>
      <c r="O562" s="51"/>
      <c r="P562" s="52"/>
      <c r="Q562" s="53"/>
      <c r="R562" s="54"/>
      <c r="S562" s="55"/>
      <c r="T562" s="56"/>
      <c r="U562" s="57"/>
      <c r="V562" s="56"/>
      <c r="W562" s="56"/>
      <c r="X562" s="57"/>
      <c r="Y562" s="57"/>
      <c r="Z562" s="58"/>
      <c r="AA562" s="59"/>
      <c r="AB562" s="60"/>
      <c r="AC562" s="60"/>
      <c r="AD562" s="54"/>
      <c r="AE562" s="61"/>
      <c r="AF562" s="61"/>
      <c r="AG562" s="62"/>
      <c r="AH562" s="63"/>
    </row>
    <row r="563" spans="1:36" ht="16.5" thickTop="1" thickBot="1">
      <c r="A563" s="41"/>
      <c r="B563" s="42"/>
      <c r="C563" s="43"/>
      <c r="D563" s="44"/>
      <c r="E563" s="45"/>
      <c r="F563" s="46"/>
      <c r="G563" s="45"/>
      <c r="H563" s="45"/>
      <c r="I563" s="47"/>
      <c r="J563" s="48"/>
      <c r="K563" s="48"/>
      <c r="L563" s="49"/>
      <c r="M563" s="49"/>
      <c r="N563" s="50"/>
      <c r="O563" s="51"/>
      <c r="P563" s="52"/>
      <c r="Q563" s="53"/>
      <c r="R563" s="54"/>
      <c r="S563" s="55"/>
      <c r="T563" s="56"/>
      <c r="U563" s="57"/>
      <c r="V563" s="56"/>
      <c r="W563" s="56"/>
      <c r="X563" s="57"/>
      <c r="Y563" s="57"/>
      <c r="Z563" s="58"/>
      <c r="AA563" s="59"/>
      <c r="AB563" s="60"/>
      <c r="AC563" s="60"/>
      <c r="AD563" s="54"/>
      <c r="AE563" s="61"/>
      <c r="AF563" s="61"/>
      <c r="AG563" s="62"/>
      <c r="AH563" s="63"/>
    </row>
    <row r="564" spans="1:36" ht="16.5" thickTop="1" thickBot="1">
      <c r="A564" s="41"/>
      <c r="B564" s="42"/>
      <c r="C564" s="43"/>
      <c r="D564" s="44"/>
      <c r="E564" s="45"/>
      <c r="F564" s="46"/>
      <c r="G564" s="45"/>
      <c r="H564" s="45"/>
      <c r="I564" s="47"/>
      <c r="J564" s="48"/>
      <c r="K564" s="48"/>
      <c r="L564" s="49"/>
      <c r="M564" s="49"/>
      <c r="N564" s="50"/>
      <c r="O564" s="51"/>
      <c r="P564" s="52"/>
      <c r="Q564" s="53"/>
      <c r="R564" s="54"/>
      <c r="S564" s="55"/>
      <c r="T564" s="56"/>
      <c r="U564" s="57"/>
      <c r="V564" s="56"/>
      <c r="W564" s="56"/>
      <c r="X564" s="57"/>
      <c r="Y564" s="57"/>
      <c r="Z564" s="58"/>
      <c r="AA564" s="59"/>
      <c r="AB564" s="60"/>
      <c r="AC564" s="60"/>
      <c r="AD564" s="54"/>
      <c r="AE564" s="61"/>
      <c r="AF564" s="61"/>
      <c r="AG564" s="62"/>
      <c r="AH564" s="63"/>
    </row>
    <row r="565" spans="1:36" s="103" customFormat="1" ht="16.5" thickTop="1" thickBot="1">
      <c r="A565" s="41"/>
      <c r="B565" s="42"/>
      <c r="C565" s="43"/>
      <c r="D565" s="44"/>
      <c r="E565" s="45"/>
      <c r="F565" s="46"/>
      <c r="G565" s="45"/>
      <c r="H565" s="45"/>
      <c r="I565" s="47"/>
      <c r="J565" s="48"/>
      <c r="K565" s="48"/>
      <c r="L565" s="49"/>
      <c r="M565" s="49"/>
      <c r="N565" s="50"/>
      <c r="O565" s="51"/>
      <c r="P565" s="52"/>
      <c r="Q565" s="53"/>
      <c r="R565" s="54"/>
      <c r="S565" s="55"/>
      <c r="T565" s="56"/>
      <c r="U565" s="57"/>
      <c r="V565" s="56"/>
      <c r="W565" s="56"/>
      <c r="X565" s="57"/>
      <c r="Y565" s="57"/>
      <c r="Z565" s="58"/>
      <c r="AA565" s="59"/>
      <c r="AB565" s="60"/>
      <c r="AC565" s="60"/>
      <c r="AD565" s="54"/>
      <c r="AE565" s="61"/>
      <c r="AF565" s="61"/>
      <c r="AG565" s="62"/>
      <c r="AH565" s="63"/>
    </row>
    <row r="566" spans="1:36" s="103" customFormat="1" ht="16.5" thickTop="1" thickBot="1">
      <c r="A566" s="41"/>
      <c r="B566" s="42"/>
      <c r="C566" s="43"/>
      <c r="D566" s="44"/>
      <c r="E566" s="45"/>
      <c r="F566" s="46"/>
      <c r="G566" s="45"/>
      <c r="H566" s="45"/>
      <c r="I566" s="47"/>
      <c r="J566" s="48"/>
      <c r="K566" s="48"/>
      <c r="L566" s="49"/>
      <c r="M566" s="49"/>
      <c r="N566" s="50"/>
      <c r="O566" s="51"/>
      <c r="P566" s="52"/>
      <c r="Q566" s="53"/>
      <c r="R566" s="54"/>
      <c r="S566" s="55"/>
      <c r="T566" s="56"/>
      <c r="U566" s="57"/>
      <c r="V566" s="56"/>
      <c r="W566" s="56"/>
      <c r="X566" s="57"/>
      <c r="Y566" s="57"/>
      <c r="Z566" s="58"/>
      <c r="AA566" s="59"/>
      <c r="AB566" s="60"/>
      <c r="AC566" s="60"/>
      <c r="AD566" s="54"/>
      <c r="AE566" s="61"/>
      <c r="AF566" s="61"/>
      <c r="AG566" s="62"/>
      <c r="AH566" s="63"/>
    </row>
    <row r="567" spans="1:36" s="103" customFormat="1" ht="16.5" thickTop="1" thickBot="1">
      <c r="A567" s="41"/>
      <c r="B567" s="42"/>
      <c r="C567" s="43"/>
      <c r="D567" s="44"/>
      <c r="E567" s="45"/>
      <c r="F567" s="46"/>
      <c r="G567" s="45"/>
      <c r="H567" s="45"/>
      <c r="I567" s="47"/>
      <c r="J567" s="48"/>
      <c r="K567" s="48"/>
      <c r="L567" s="49"/>
      <c r="M567" s="49"/>
      <c r="N567" s="50"/>
      <c r="O567" s="51"/>
      <c r="P567" s="52"/>
      <c r="Q567" s="53"/>
      <c r="R567" s="54"/>
      <c r="S567" s="55"/>
      <c r="T567" s="56"/>
      <c r="U567" s="57"/>
      <c r="V567" s="56"/>
      <c r="W567" s="56"/>
      <c r="X567" s="57"/>
      <c r="Y567" s="57"/>
      <c r="Z567" s="58"/>
      <c r="AA567" s="59"/>
      <c r="AB567" s="60"/>
      <c r="AC567" s="60"/>
      <c r="AD567" s="54"/>
      <c r="AE567" s="61"/>
      <c r="AF567" s="61"/>
      <c r="AG567" s="62"/>
      <c r="AH567" s="63"/>
    </row>
    <row r="568" spans="1:36" ht="16.5" thickTop="1" thickBot="1">
      <c r="A568" s="41"/>
      <c r="B568" s="42"/>
      <c r="C568" s="43"/>
      <c r="D568" s="44"/>
      <c r="E568" s="45"/>
      <c r="F568" s="46"/>
      <c r="G568" s="45"/>
      <c r="H568" s="45"/>
      <c r="I568" s="47"/>
      <c r="J568" s="48"/>
      <c r="K568" s="48"/>
      <c r="L568" s="49"/>
      <c r="M568" s="49"/>
      <c r="N568" s="50"/>
      <c r="O568" s="51"/>
      <c r="P568" s="52"/>
      <c r="Q568" s="53"/>
      <c r="R568" s="54"/>
      <c r="S568" s="55"/>
      <c r="T568" s="56"/>
      <c r="U568" s="57"/>
      <c r="V568" s="56"/>
      <c r="W568" s="56"/>
      <c r="X568" s="57"/>
      <c r="Y568" s="57"/>
      <c r="Z568" s="58"/>
      <c r="AA568" s="59"/>
      <c r="AB568" s="60"/>
      <c r="AC568" s="60"/>
      <c r="AD568" s="54"/>
      <c r="AE568" s="61"/>
      <c r="AF568" s="61"/>
      <c r="AG568" s="62"/>
      <c r="AH568" s="63"/>
    </row>
    <row r="569" spans="1:36" ht="16.5" thickTop="1" thickBot="1">
      <c r="A569" s="41"/>
      <c r="B569" s="42"/>
      <c r="C569" s="43"/>
      <c r="D569" s="44"/>
      <c r="E569" s="45"/>
      <c r="F569" s="46"/>
      <c r="G569" s="45"/>
      <c r="H569" s="45"/>
      <c r="I569" s="47"/>
      <c r="J569" s="48"/>
      <c r="K569" s="48"/>
      <c r="L569" s="49"/>
      <c r="M569" s="49"/>
      <c r="N569" s="50"/>
      <c r="O569" s="51"/>
      <c r="P569" s="52"/>
      <c r="Q569" s="53"/>
      <c r="R569" s="54"/>
      <c r="S569" s="55"/>
      <c r="T569" s="56"/>
      <c r="U569" s="57"/>
      <c r="V569" s="56"/>
      <c r="W569" s="56"/>
      <c r="X569" s="57"/>
      <c r="Y569" s="57"/>
      <c r="Z569" s="58"/>
      <c r="AA569" s="59"/>
      <c r="AB569" s="60"/>
      <c r="AC569" s="60"/>
      <c r="AD569" s="54"/>
      <c r="AE569" s="61"/>
      <c r="AF569" s="61"/>
      <c r="AG569" s="62"/>
      <c r="AH569" s="63"/>
    </row>
    <row r="570" spans="1:36" ht="16.5" thickTop="1" thickBot="1">
      <c r="A570" s="41"/>
      <c r="B570" s="42"/>
      <c r="C570" s="43"/>
      <c r="D570" s="44"/>
      <c r="E570" s="45"/>
      <c r="F570" s="46"/>
      <c r="G570" s="45"/>
      <c r="H570" s="45"/>
      <c r="I570" s="47"/>
      <c r="J570" s="48"/>
      <c r="K570" s="48"/>
      <c r="L570" s="49"/>
      <c r="M570" s="49"/>
      <c r="N570" s="50"/>
      <c r="O570" s="51"/>
      <c r="P570" s="52"/>
      <c r="Q570" s="53"/>
      <c r="R570" s="54"/>
      <c r="S570" s="55"/>
      <c r="T570" s="56"/>
      <c r="U570" s="57"/>
      <c r="V570" s="56"/>
      <c r="W570" s="56"/>
      <c r="X570" s="57"/>
      <c r="Y570" s="57"/>
      <c r="Z570" s="58"/>
      <c r="AA570" s="59"/>
      <c r="AB570" s="60"/>
      <c r="AC570" s="60"/>
      <c r="AD570" s="54"/>
      <c r="AE570" s="61"/>
      <c r="AF570" s="61"/>
      <c r="AG570" s="62"/>
      <c r="AH570" s="63"/>
      <c r="AI570" s="92"/>
      <c r="AJ570" s="92"/>
    </row>
    <row r="571" spans="1:36" ht="16.5" thickTop="1" thickBot="1">
      <c r="A571" s="41"/>
      <c r="B571" s="42"/>
      <c r="C571" s="43"/>
      <c r="D571" s="44"/>
      <c r="E571" s="45"/>
      <c r="F571" s="46"/>
      <c r="G571" s="45"/>
      <c r="H571" s="45"/>
      <c r="I571" s="47"/>
      <c r="J571" s="48"/>
      <c r="K571" s="48"/>
      <c r="L571" s="49"/>
      <c r="M571" s="49"/>
      <c r="N571" s="50"/>
      <c r="O571" s="51"/>
      <c r="P571" s="52"/>
      <c r="Q571" s="53"/>
      <c r="R571" s="54"/>
      <c r="S571" s="55"/>
      <c r="T571" s="56"/>
      <c r="U571" s="57"/>
      <c r="V571" s="56"/>
      <c r="W571" s="56"/>
      <c r="X571" s="93"/>
      <c r="Y571" s="57"/>
      <c r="Z571" s="58"/>
      <c r="AA571" s="59"/>
      <c r="AB571" s="60"/>
      <c r="AC571" s="60"/>
      <c r="AD571" s="54"/>
      <c r="AE571" s="61"/>
      <c r="AF571" s="61"/>
      <c r="AG571" s="62"/>
      <c r="AH571" s="63"/>
    </row>
    <row r="572" spans="1:36" ht="16.5" thickTop="1" thickBot="1">
      <c r="A572" s="41"/>
      <c r="B572" s="42"/>
      <c r="C572" s="43"/>
      <c r="D572" s="44"/>
      <c r="E572" s="45"/>
      <c r="F572" s="46"/>
      <c r="G572" s="45"/>
      <c r="H572" s="45"/>
      <c r="I572" s="47"/>
      <c r="J572" s="48"/>
      <c r="K572" s="48"/>
      <c r="L572" s="49"/>
      <c r="M572" s="49"/>
      <c r="N572" s="50"/>
      <c r="O572" s="51"/>
      <c r="P572" s="52"/>
      <c r="Q572" s="53"/>
      <c r="R572" s="54"/>
      <c r="S572" s="55"/>
      <c r="T572" s="56"/>
      <c r="U572" s="57"/>
      <c r="V572" s="56"/>
      <c r="W572" s="56"/>
      <c r="X572" s="57"/>
      <c r="Y572" s="57"/>
      <c r="Z572" s="58"/>
      <c r="AA572" s="59"/>
      <c r="AB572" s="60"/>
      <c r="AC572" s="60"/>
      <c r="AD572" s="54"/>
      <c r="AE572" s="61"/>
      <c r="AF572" s="61"/>
      <c r="AG572" s="62"/>
      <c r="AH572" s="63"/>
    </row>
    <row r="573" spans="1:36" ht="16.5" thickTop="1" thickBot="1">
      <c r="A573" s="41"/>
      <c r="B573" s="42"/>
      <c r="C573" s="43"/>
      <c r="D573" s="44"/>
      <c r="E573" s="45"/>
      <c r="F573" s="46"/>
      <c r="G573" s="45"/>
      <c r="H573" s="45"/>
      <c r="I573" s="47"/>
      <c r="J573" s="48"/>
      <c r="K573" s="48"/>
      <c r="L573" s="49"/>
      <c r="M573" s="49"/>
      <c r="N573" s="50"/>
      <c r="O573" s="51"/>
      <c r="P573" s="52"/>
      <c r="Q573" s="53"/>
      <c r="R573" s="54"/>
      <c r="S573" s="55"/>
      <c r="T573" s="56"/>
      <c r="U573" s="57"/>
      <c r="V573" s="56"/>
      <c r="W573" s="56"/>
      <c r="X573" s="57"/>
      <c r="Y573" s="57"/>
      <c r="Z573" s="58"/>
      <c r="AA573" s="59"/>
      <c r="AB573" s="60"/>
      <c r="AC573" s="60"/>
      <c r="AD573" s="54"/>
      <c r="AE573" s="61"/>
      <c r="AF573" s="61"/>
      <c r="AG573" s="62"/>
      <c r="AH573" s="63"/>
    </row>
    <row r="574" spans="1:36" ht="16.5" thickTop="1" thickBot="1">
      <c r="A574" s="41"/>
      <c r="B574" s="42"/>
      <c r="C574" s="43"/>
      <c r="D574" s="44"/>
      <c r="E574" s="45"/>
      <c r="F574" s="46"/>
      <c r="G574" s="45"/>
      <c r="H574" s="45"/>
      <c r="I574" s="47"/>
      <c r="J574" s="48"/>
      <c r="K574" s="48"/>
      <c r="L574" s="49"/>
      <c r="M574" s="49"/>
      <c r="N574" s="50"/>
      <c r="O574" s="51"/>
      <c r="P574" s="52"/>
      <c r="Q574" s="53"/>
      <c r="R574" s="77"/>
      <c r="S574" s="78"/>
      <c r="T574" s="56"/>
      <c r="U574" s="57"/>
      <c r="V574" s="56"/>
      <c r="W574" s="56"/>
      <c r="X574" s="57"/>
      <c r="Y574" s="57"/>
      <c r="Z574" s="58"/>
      <c r="AA574" s="82"/>
      <c r="AB574" s="60"/>
      <c r="AC574" s="60"/>
      <c r="AD574" s="54"/>
      <c r="AE574" s="61"/>
      <c r="AF574" s="61"/>
      <c r="AG574" s="62"/>
      <c r="AH574" s="63"/>
    </row>
    <row r="575" spans="1:36" ht="16.5" thickTop="1" thickBot="1">
      <c r="A575" s="41"/>
      <c r="B575" s="42"/>
      <c r="C575" s="43"/>
      <c r="D575" s="44"/>
      <c r="E575" s="45"/>
      <c r="F575" s="46"/>
      <c r="G575" s="45"/>
      <c r="H575" s="45"/>
      <c r="I575" s="47"/>
      <c r="J575" s="48"/>
      <c r="K575" s="48"/>
      <c r="L575" s="49"/>
      <c r="M575" s="49"/>
      <c r="N575" s="50"/>
      <c r="O575" s="51"/>
      <c r="P575" s="52"/>
      <c r="Q575" s="53"/>
      <c r="R575" s="77"/>
      <c r="S575" s="78"/>
      <c r="T575" s="56"/>
      <c r="U575" s="57"/>
      <c r="V575" s="56"/>
      <c r="W575" s="56"/>
      <c r="X575" s="57"/>
      <c r="Y575" s="57"/>
      <c r="Z575" s="58"/>
      <c r="AA575" s="82"/>
      <c r="AB575" s="60"/>
      <c r="AC575" s="60"/>
      <c r="AD575" s="54"/>
      <c r="AE575" s="61"/>
      <c r="AF575" s="61"/>
      <c r="AG575" s="62"/>
      <c r="AH575" s="63"/>
    </row>
    <row r="576" spans="1:36" ht="16.5" thickTop="1" thickBot="1">
      <c r="A576" s="41"/>
      <c r="B576" s="42"/>
      <c r="C576" s="43"/>
      <c r="D576" s="44"/>
      <c r="E576" s="45"/>
      <c r="F576" s="46"/>
      <c r="G576" s="45"/>
      <c r="H576" s="45"/>
      <c r="I576" s="47"/>
      <c r="J576" s="48"/>
      <c r="K576" s="48"/>
      <c r="L576" s="49"/>
      <c r="M576" s="49"/>
      <c r="N576" s="50"/>
      <c r="O576" s="51"/>
      <c r="P576" s="52"/>
      <c r="Q576" s="53"/>
      <c r="R576" s="77"/>
      <c r="S576" s="78"/>
      <c r="T576" s="56"/>
      <c r="U576" s="57"/>
      <c r="V576" s="56"/>
      <c r="W576" s="56"/>
      <c r="X576" s="57"/>
      <c r="Y576" s="57"/>
      <c r="Z576" s="58"/>
      <c r="AA576" s="82"/>
      <c r="AB576" s="60"/>
      <c r="AC576" s="60"/>
      <c r="AD576" s="54"/>
      <c r="AE576" s="61"/>
      <c r="AF576" s="61"/>
      <c r="AG576" s="62"/>
      <c r="AH576" s="63"/>
      <c r="AI576" s="92"/>
      <c r="AJ576" s="92"/>
    </row>
    <row r="577" spans="1:36" ht="16.5" thickTop="1" thickBot="1">
      <c r="A577" s="41"/>
      <c r="B577" s="42"/>
      <c r="C577" s="43"/>
      <c r="D577" s="44"/>
      <c r="E577" s="45"/>
      <c r="F577" s="46"/>
      <c r="G577" s="45"/>
      <c r="H577" s="45"/>
      <c r="I577" s="47"/>
      <c r="J577" s="48"/>
      <c r="K577" s="48"/>
      <c r="L577" s="49"/>
      <c r="M577" s="49"/>
      <c r="N577" s="50"/>
      <c r="O577" s="51"/>
      <c r="P577" s="52"/>
      <c r="Q577" s="53"/>
      <c r="R577" s="77"/>
      <c r="S577" s="78"/>
      <c r="T577" s="56"/>
      <c r="U577" s="57"/>
      <c r="V577" s="56"/>
      <c r="W577" s="56"/>
      <c r="X577" s="57"/>
      <c r="Y577" s="57"/>
      <c r="Z577" s="58"/>
      <c r="AA577" s="82"/>
      <c r="AB577" s="60"/>
      <c r="AC577" s="60"/>
      <c r="AD577" s="54"/>
      <c r="AE577" s="61"/>
      <c r="AF577" s="61"/>
      <c r="AG577" s="62"/>
      <c r="AH577" s="63"/>
    </row>
    <row r="578" spans="1:36" ht="16.5" thickTop="1" thickBot="1">
      <c r="A578" s="41"/>
      <c r="B578" s="42"/>
      <c r="C578" s="43"/>
      <c r="D578" s="44"/>
      <c r="E578" s="45"/>
      <c r="F578" s="46"/>
      <c r="G578" s="45"/>
      <c r="H578" s="45"/>
      <c r="I578" s="47"/>
      <c r="J578" s="48"/>
      <c r="K578" s="48"/>
      <c r="L578" s="49"/>
      <c r="M578" s="49"/>
      <c r="N578" s="50"/>
      <c r="O578" s="51"/>
      <c r="P578" s="52"/>
      <c r="Q578" s="53"/>
      <c r="R578" s="77"/>
      <c r="S578" s="78"/>
      <c r="T578" s="56"/>
      <c r="U578" s="57"/>
      <c r="V578" s="56"/>
      <c r="W578" s="56"/>
      <c r="X578" s="57"/>
      <c r="Y578" s="57"/>
      <c r="Z578" s="58"/>
      <c r="AA578" s="82"/>
      <c r="AB578" s="60"/>
      <c r="AC578" s="60"/>
      <c r="AD578" s="54"/>
      <c r="AE578" s="61"/>
      <c r="AF578" s="61"/>
      <c r="AG578" s="62"/>
      <c r="AH578" s="63"/>
    </row>
    <row r="579" spans="1:36" ht="16.5" thickTop="1" thickBot="1">
      <c r="A579" s="41"/>
      <c r="B579" s="42"/>
      <c r="C579" s="43"/>
      <c r="D579" s="44"/>
      <c r="E579" s="45"/>
      <c r="F579" s="46"/>
      <c r="G579" s="45"/>
      <c r="H579" s="45"/>
      <c r="I579" s="47"/>
      <c r="J579" s="48"/>
      <c r="K579" s="48"/>
      <c r="L579" s="49"/>
      <c r="M579" s="49"/>
      <c r="N579" s="50"/>
      <c r="O579" s="51"/>
      <c r="P579" s="52"/>
      <c r="Q579" s="53"/>
      <c r="R579" s="77"/>
      <c r="S579" s="78"/>
      <c r="T579" s="56"/>
      <c r="U579" s="57"/>
      <c r="V579" s="56"/>
      <c r="W579" s="56"/>
      <c r="X579" s="57"/>
      <c r="Y579" s="57"/>
      <c r="Z579" s="58"/>
      <c r="AA579" s="82"/>
      <c r="AB579" s="60"/>
      <c r="AC579" s="60"/>
      <c r="AD579" s="54"/>
      <c r="AE579" s="61"/>
      <c r="AF579" s="61"/>
      <c r="AG579" s="62"/>
      <c r="AH579" s="63"/>
    </row>
    <row r="580" spans="1:36" ht="16.5" thickTop="1" thickBot="1">
      <c r="A580" s="41"/>
      <c r="B580" s="42"/>
      <c r="C580" s="43"/>
      <c r="D580" s="44"/>
      <c r="E580" s="45"/>
      <c r="F580" s="46"/>
      <c r="G580" s="45"/>
      <c r="H580" s="45"/>
      <c r="I580" s="47"/>
      <c r="J580" s="48"/>
      <c r="K580" s="48"/>
      <c r="L580" s="49"/>
      <c r="M580" s="49"/>
      <c r="N580" s="50"/>
      <c r="O580" s="51"/>
      <c r="P580" s="52"/>
      <c r="Q580" s="53"/>
      <c r="R580" s="77"/>
      <c r="S580" s="78"/>
      <c r="T580" s="56"/>
      <c r="U580" s="57"/>
      <c r="V580" s="56"/>
      <c r="W580" s="56"/>
      <c r="X580" s="57"/>
      <c r="Y580" s="57"/>
      <c r="Z580" s="58"/>
      <c r="AA580" s="82"/>
      <c r="AB580" s="60"/>
      <c r="AC580" s="60"/>
      <c r="AD580" s="54"/>
      <c r="AE580" s="61"/>
      <c r="AF580" s="61"/>
      <c r="AG580" s="62"/>
      <c r="AH580" s="63"/>
    </row>
    <row r="581" spans="1:36" ht="16.5" thickTop="1" thickBot="1">
      <c r="A581" s="41"/>
      <c r="B581" s="42"/>
      <c r="C581" s="43"/>
      <c r="D581" s="44"/>
      <c r="E581" s="45"/>
      <c r="F581" s="46"/>
      <c r="G581" s="45"/>
      <c r="H581" s="45"/>
      <c r="I581" s="47"/>
      <c r="J581" s="48"/>
      <c r="K581" s="48"/>
      <c r="L581" s="49"/>
      <c r="M581" s="49"/>
      <c r="N581" s="50"/>
      <c r="O581" s="51"/>
      <c r="P581" s="52"/>
      <c r="Q581" s="53"/>
      <c r="R581" s="77"/>
      <c r="S581" s="78"/>
      <c r="T581" s="56"/>
      <c r="U581" s="57"/>
      <c r="V581" s="56"/>
      <c r="W581" s="56"/>
      <c r="X581" s="57"/>
      <c r="Y581" s="57"/>
      <c r="Z581" s="58"/>
      <c r="AA581" s="82"/>
      <c r="AB581" s="60"/>
      <c r="AC581" s="60"/>
      <c r="AD581" s="54"/>
      <c r="AE581" s="61"/>
      <c r="AF581" s="61"/>
      <c r="AG581" s="62"/>
      <c r="AH581" s="63"/>
    </row>
    <row r="582" spans="1:36" ht="16.5" thickTop="1" thickBot="1">
      <c r="A582" s="41"/>
      <c r="B582" s="42"/>
      <c r="C582" s="43"/>
      <c r="D582" s="44"/>
      <c r="E582" s="45"/>
      <c r="F582" s="46"/>
      <c r="G582" s="45"/>
      <c r="H582" s="45"/>
      <c r="I582" s="47"/>
      <c r="J582" s="48"/>
      <c r="K582" s="48"/>
      <c r="L582" s="49"/>
      <c r="M582" s="49"/>
      <c r="N582" s="50"/>
      <c r="O582" s="51"/>
      <c r="P582" s="52"/>
      <c r="Q582" s="53"/>
      <c r="R582" s="77"/>
      <c r="S582" s="78"/>
      <c r="T582" s="56"/>
      <c r="U582" s="57"/>
      <c r="V582" s="56"/>
      <c r="W582" s="56"/>
      <c r="X582" s="57"/>
      <c r="Y582" s="57"/>
      <c r="Z582" s="58"/>
      <c r="AA582" s="82"/>
      <c r="AB582" s="60"/>
      <c r="AC582" s="60"/>
      <c r="AD582" s="54"/>
      <c r="AE582" s="61"/>
      <c r="AF582" s="61"/>
      <c r="AG582" s="62"/>
      <c r="AH582" s="63"/>
      <c r="AI582" s="92"/>
      <c r="AJ582" s="92"/>
    </row>
    <row r="583" spans="1:36" ht="16.5" thickTop="1" thickBot="1">
      <c r="A583" s="41"/>
      <c r="B583" s="42"/>
      <c r="C583" s="43"/>
      <c r="D583" s="44"/>
      <c r="E583" s="45"/>
      <c r="F583" s="46"/>
      <c r="G583" s="45"/>
      <c r="H583" s="45"/>
      <c r="I583" s="47"/>
      <c r="J583" s="48"/>
      <c r="K583" s="48"/>
      <c r="L583" s="49"/>
      <c r="M583" s="49"/>
      <c r="N583" s="50"/>
      <c r="O583" s="51"/>
      <c r="P583" s="52"/>
      <c r="Q583" s="53"/>
      <c r="R583" s="77"/>
      <c r="S583" s="78"/>
      <c r="T583" s="56"/>
      <c r="U583" s="57"/>
      <c r="V583" s="56"/>
      <c r="W583" s="56"/>
      <c r="X583" s="57"/>
      <c r="Y583" s="57"/>
      <c r="Z583" s="58"/>
      <c r="AA583" s="82"/>
      <c r="AB583" s="60"/>
      <c r="AC583" s="60"/>
      <c r="AD583" s="54"/>
      <c r="AE583" s="61"/>
      <c r="AF583" s="61"/>
      <c r="AG583" s="62"/>
      <c r="AH583" s="63"/>
    </row>
    <row r="584" spans="1:36" ht="16.5" thickTop="1" thickBot="1">
      <c r="A584" s="41"/>
      <c r="B584" s="42"/>
      <c r="C584" s="43"/>
      <c r="D584" s="44"/>
      <c r="E584" s="45"/>
      <c r="F584" s="46"/>
      <c r="G584" s="45"/>
      <c r="H584" s="45"/>
      <c r="I584" s="47"/>
      <c r="J584" s="48"/>
      <c r="K584" s="48"/>
      <c r="L584" s="49"/>
      <c r="M584" s="49"/>
      <c r="N584" s="50"/>
      <c r="O584" s="51"/>
      <c r="P584" s="52"/>
      <c r="Q584" s="53"/>
      <c r="R584" s="77"/>
      <c r="S584" s="78"/>
      <c r="T584" s="56"/>
      <c r="U584" s="57"/>
      <c r="V584" s="56"/>
      <c r="W584" s="56"/>
      <c r="X584" s="57"/>
      <c r="Y584" s="57"/>
      <c r="Z584" s="58"/>
      <c r="AA584" s="82"/>
      <c r="AB584" s="60"/>
      <c r="AC584" s="60"/>
      <c r="AD584" s="54"/>
      <c r="AE584" s="61"/>
      <c r="AF584" s="61"/>
      <c r="AG584" s="62"/>
      <c r="AH584" s="63"/>
    </row>
    <row r="585" spans="1:36" ht="33" customHeight="1" thickTop="1" thickBot="1">
      <c r="A585" s="41"/>
      <c r="B585" s="42"/>
      <c r="C585" s="43"/>
      <c r="D585" s="44"/>
      <c r="E585" s="45"/>
      <c r="F585" s="46"/>
      <c r="G585" s="45"/>
      <c r="H585" s="45"/>
      <c r="I585" s="47"/>
      <c r="J585" s="48"/>
      <c r="K585" s="48"/>
      <c r="L585" s="49"/>
      <c r="M585" s="49"/>
      <c r="N585" s="50"/>
      <c r="O585" s="51"/>
      <c r="P585" s="52"/>
      <c r="Q585" s="53"/>
      <c r="R585" s="77"/>
      <c r="S585" s="78"/>
      <c r="T585" s="56"/>
      <c r="U585" s="57"/>
      <c r="V585" s="56"/>
      <c r="W585" s="56"/>
      <c r="X585" s="57"/>
      <c r="Y585" s="57"/>
      <c r="Z585" s="58"/>
      <c r="AA585" s="82"/>
      <c r="AB585" s="60"/>
      <c r="AC585" s="60"/>
      <c r="AD585" s="54"/>
      <c r="AE585" s="61"/>
      <c r="AF585" s="61"/>
      <c r="AG585" s="62"/>
      <c r="AH585" s="63"/>
      <c r="AI585" s="92"/>
      <c r="AJ585" s="92"/>
    </row>
    <row r="586" spans="1:36" ht="16.5" thickTop="1" thickBot="1">
      <c r="A586" s="41"/>
      <c r="B586" s="42"/>
      <c r="C586" s="43"/>
      <c r="D586" s="44"/>
      <c r="E586" s="45"/>
      <c r="F586" s="46"/>
      <c r="G586" s="45"/>
      <c r="H586" s="45"/>
      <c r="I586" s="47"/>
      <c r="J586" s="48"/>
      <c r="K586" s="48"/>
      <c r="L586" s="49"/>
      <c r="M586" s="49"/>
      <c r="N586" s="50"/>
      <c r="O586" s="51"/>
      <c r="P586" s="52"/>
      <c r="Q586" s="53"/>
      <c r="R586" s="54"/>
      <c r="S586" s="55"/>
      <c r="T586" s="56"/>
      <c r="U586" s="57"/>
      <c r="V586" s="56"/>
      <c r="W586" s="56"/>
      <c r="X586" s="57"/>
      <c r="Y586" s="57"/>
      <c r="Z586" s="58"/>
      <c r="AA586" s="59"/>
      <c r="AB586" s="60"/>
      <c r="AC586" s="60"/>
      <c r="AD586" s="54"/>
      <c r="AE586" s="61"/>
      <c r="AF586" s="61"/>
      <c r="AG586" s="62"/>
      <c r="AH586" s="63"/>
    </row>
    <row r="587" spans="1:36" ht="16.5" thickTop="1" thickBot="1">
      <c r="A587" s="41"/>
      <c r="B587" s="42"/>
      <c r="C587" s="43"/>
      <c r="D587" s="44"/>
      <c r="E587" s="45"/>
      <c r="F587" s="46"/>
      <c r="G587" s="45"/>
      <c r="H587" s="45"/>
      <c r="I587" s="47"/>
      <c r="J587" s="48"/>
      <c r="K587" s="48"/>
      <c r="L587" s="49"/>
      <c r="M587" s="49"/>
      <c r="N587" s="50"/>
      <c r="O587" s="51"/>
      <c r="P587" s="52"/>
      <c r="Q587" s="53"/>
      <c r="R587" s="54"/>
      <c r="S587" s="55"/>
      <c r="T587" s="56"/>
      <c r="U587" s="57"/>
      <c r="V587" s="56"/>
      <c r="W587" s="56"/>
      <c r="X587" s="57"/>
      <c r="Y587" s="57"/>
      <c r="Z587" s="58"/>
      <c r="AA587" s="59"/>
      <c r="AB587" s="60"/>
      <c r="AC587" s="60"/>
      <c r="AD587" s="54"/>
      <c r="AE587" s="61"/>
      <c r="AF587" s="61"/>
      <c r="AG587" s="62"/>
      <c r="AH587" s="63"/>
    </row>
    <row r="588" spans="1:36" ht="16.5" thickTop="1" thickBot="1">
      <c r="A588" s="41"/>
      <c r="B588" s="42"/>
      <c r="C588" s="43"/>
      <c r="D588" s="44"/>
      <c r="E588" s="45"/>
      <c r="F588" s="46"/>
      <c r="G588" s="45"/>
      <c r="H588" s="45"/>
      <c r="I588" s="47"/>
      <c r="J588" s="48"/>
      <c r="K588" s="48"/>
      <c r="L588" s="49"/>
      <c r="M588" s="49"/>
      <c r="N588" s="50"/>
      <c r="O588" s="51"/>
      <c r="P588" s="52"/>
      <c r="Q588" s="53"/>
      <c r="R588" s="77"/>
      <c r="S588" s="78"/>
      <c r="T588" s="56"/>
      <c r="U588" s="57"/>
      <c r="V588" s="56"/>
      <c r="W588" s="56"/>
      <c r="X588" s="57"/>
      <c r="Y588" s="57"/>
      <c r="Z588" s="58"/>
      <c r="AA588" s="82"/>
      <c r="AB588" s="60"/>
      <c r="AC588" s="60"/>
      <c r="AD588" s="54"/>
      <c r="AE588" s="61"/>
      <c r="AF588" s="61"/>
      <c r="AG588" s="62"/>
      <c r="AH588" s="63"/>
      <c r="AI588" s="92"/>
      <c r="AJ588" s="92"/>
    </row>
    <row r="589" spans="1:36" ht="16.5" thickTop="1" thickBot="1">
      <c r="A589" s="41"/>
      <c r="B589" s="42"/>
      <c r="C589" s="43"/>
      <c r="D589" s="44"/>
      <c r="E589" s="45"/>
      <c r="F589" s="46"/>
      <c r="G589" s="45"/>
      <c r="H589" s="45"/>
      <c r="I589" s="47"/>
      <c r="J589" s="48"/>
      <c r="K589" s="48"/>
      <c r="L589" s="49"/>
      <c r="M589" s="49"/>
      <c r="N589" s="50"/>
      <c r="O589" s="51"/>
      <c r="P589" s="52"/>
      <c r="Q589" s="53"/>
      <c r="R589" s="77"/>
      <c r="S589" s="78"/>
      <c r="T589" s="56"/>
      <c r="U589" s="57"/>
      <c r="V589" s="56"/>
      <c r="W589" s="56"/>
      <c r="X589" s="57"/>
      <c r="Y589" s="57"/>
      <c r="Z589" s="58"/>
      <c r="AA589" s="82"/>
      <c r="AB589" s="60"/>
      <c r="AC589" s="60"/>
      <c r="AD589" s="54"/>
      <c r="AE589" s="61"/>
      <c r="AF589" s="61"/>
      <c r="AG589" s="62"/>
      <c r="AH589" s="63"/>
    </row>
    <row r="590" spans="1:36" ht="16.5" thickTop="1" thickBot="1">
      <c r="A590" s="41"/>
      <c r="B590" s="42"/>
      <c r="C590" s="43"/>
      <c r="D590" s="44"/>
      <c r="E590" s="45"/>
      <c r="F590" s="46"/>
      <c r="G590" s="45"/>
      <c r="H590" s="45"/>
      <c r="I590" s="47"/>
      <c r="J590" s="48"/>
      <c r="K590" s="48"/>
      <c r="L590" s="49"/>
      <c r="M590" s="49"/>
      <c r="N590" s="50"/>
      <c r="O590" s="51"/>
      <c r="P590" s="52"/>
      <c r="Q590" s="53"/>
      <c r="R590" s="77"/>
      <c r="S590" s="78"/>
      <c r="T590" s="56"/>
      <c r="U590" s="57"/>
      <c r="V590" s="56"/>
      <c r="W590" s="56"/>
      <c r="X590" s="57"/>
      <c r="Y590" s="57"/>
      <c r="Z590" s="58"/>
      <c r="AA590" s="82"/>
      <c r="AB590" s="60"/>
      <c r="AC590" s="60"/>
      <c r="AD590" s="54"/>
      <c r="AE590" s="61"/>
      <c r="AF590" s="61"/>
      <c r="AG590" s="62"/>
      <c r="AH590" s="63"/>
    </row>
    <row r="591" spans="1:36" ht="16.5" thickTop="1" thickBot="1">
      <c r="A591" s="41"/>
      <c r="B591" s="42"/>
      <c r="C591" s="43"/>
      <c r="D591" s="44"/>
      <c r="E591" s="45"/>
      <c r="F591" s="46"/>
      <c r="G591" s="45"/>
      <c r="H591" s="45"/>
      <c r="I591" s="47"/>
      <c r="J591" s="48"/>
      <c r="K591" s="48"/>
      <c r="L591" s="49"/>
      <c r="M591" s="49"/>
      <c r="N591" s="50"/>
      <c r="O591" s="51"/>
      <c r="P591" s="52"/>
      <c r="Q591" s="53"/>
      <c r="R591" s="77"/>
      <c r="S591" s="78"/>
      <c r="T591" s="56"/>
      <c r="U591" s="57"/>
      <c r="V591" s="56"/>
      <c r="W591" s="56"/>
      <c r="X591" s="57"/>
      <c r="Y591" s="57"/>
      <c r="Z591" s="58"/>
      <c r="AA591" s="82"/>
      <c r="AB591" s="60"/>
      <c r="AC591" s="60"/>
      <c r="AD591" s="54"/>
      <c r="AE591" s="61"/>
      <c r="AF591" s="61"/>
      <c r="AG591" s="62"/>
      <c r="AH591" s="63"/>
      <c r="AI591" s="92"/>
      <c r="AJ591" s="92"/>
    </row>
    <row r="592" spans="1:36" ht="16.5" thickTop="1" thickBot="1">
      <c r="A592" s="41"/>
      <c r="B592" s="42"/>
      <c r="C592" s="43"/>
      <c r="D592" s="44"/>
      <c r="E592" s="45"/>
      <c r="F592" s="46"/>
      <c r="G592" s="45"/>
      <c r="H592" s="45"/>
      <c r="I592" s="47"/>
      <c r="J592" s="48"/>
      <c r="K592" s="48"/>
      <c r="L592" s="49"/>
      <c r="M592" s="49"/>
      <c r="N592" s="50"/>
      <c r="O592" s="51"/>
      <c r="P592" s="52"/>
      <c r="Q592" s="53"/>
      <c r="R592" s="77"/>
      <c r="S592" s="78"/>
      <c r="T592" s="56"/>
      <c r="U592" s="57"/>
      <c r="V592" s="56"/>
      <c r="W592" s="56"/>
      <c r="X592" s="57"/>
      <c r="Y592" s="57"/>
      <c r="Z592" s="58"/>
      <c r="AA592" s="82"/>
      <c r="AB592" s="60"/>
      <c r="AC592" s="60"/>
      <c r="AD592" s="54"/>
      <c r="AE592" s="61"/>
      <c r="AF592" s="61"/>
      <c r="AG592" s="62"/>
      <c r="AH592" s="63"/>
    </row>
    <row r="593" spans="1:36" ht="16.5" thickTop="1" thickBot="1">
      <c r="A593" s="41"/>
      <c r="B593" s="42"/>
      <c r="C593" s="43"/>
      <c r="D593" s="44"/>
      <c r="E593" s="45"/>
      <c r="F593" s="46"/>
      <c r="G593" s="45"/>
      <c r="H593" s="45"/>
      <c r="I593" s="47"/>
      <c r="J593" s="48"/>
      <c r="K593" s="48"/>
      <c r="L593" s="49"/>
      <c r="M593" s="49"/>
      <c r="N593" s="50"/>
      <c r="O593" s="51"/>
      <c r="P593" s="52"/>
      <c r="Q593" s="53"/>
      <c r="R593" s="54"/>
      <c r="S593" s="55"/>
      <c r="T593" s="56"/>
      <c r="U593" s="57"/>
      <c r="V593" s="56"/>
      <c r="W593" s="56"/>
      <c r="X593" s="57"/>
      <c r="Y593" s="57"/>
      <c r="Z593" s="58"/>
      <c r="AA593" s="59"/>
      <c r="AB593" s="60"/>
      <c r="AC593" s="60"/>
      <c r="AD593" s="54"/>
      <c r="AE593" s="61"/>
      <c r="AF593" s="61"/>
      <c r="AG593" s="62"/>
      <c r="AH593" s="63"/>
    </row>
    <row r="594" spans="1:36" ht="16.5" thickTop="1" thickBot="1">
      <c r="A594" s="41"/>
      <c r="B594" s="42"/>
      <c r="C594" s="43"/>
      <c r="D594" s="44"/>
      <c r="E594" s="45"/>
      <c r="F594" s="46"/>
      <c r="G594" s="45"/>
      <c r="H594" s="45"/>
      <c r="I594" s="47"/>
      <c r="J594" s="48"/>
      <c r="K594" s="48"/>
      <c r="L594" s="49"/>
      <c r="M594" s="49"/>
      <c r="N594" s="50"/>
      <c r="O594" s="51"/>
      <c r="P594" s="52"/>
      <c r="Q594" s="53"/>
      <c r="R594" s="54"/>
      <c r="S594" s="55"/>
      <c r="T594" s="56"/>
      <c r="U594" s="57"/>
      <c r="V594" s="56"/>
      <c r="W594" s="56"/>
      <c r="X594" s="57"/>
      <c r="Y594" s="57"/>
      <c r="Z594" s="58"/>
      <c r="AA594" s="59"/>
      <c r="AB594" s="60"/>
      <c r="AC594" s="60"/>
      <c r="AD594" s="54"/>
      <c r="AE594" s="61"/>
      <c r="AF594" s="61"/>
      <c r="AG594" s="62"/>
      <c r="AH594" s="63"/>
    </row>
    <row r="595" spans="1:36" ht="16.5" thickTop="1" thickBot="1">
      <c r="A595" s="41"/>
      <c r="B595" s="42"/>
      <c r="C595" s="43"/>
      <c r="D595" s="44"/>
      <c r="E595" s="45"/>
      <c r="F595" s="46"/>
      <c r="G595" s="45"/>
      <c r="H595" s="45"/>
      <c r="I595" s="47"/>
      <c r="J595" s="48"/>
      <c r="K595" s="48"/>
      <c r="L595" s="49"/>
      <c r="M595" s="49"/>
      <c r="N595" s="50"/>
      <c r="O595" s="51"/>
      <c r="P595" s="52"/>
      <c r="Q595" s="53"/>
      <c r="R595" s="54"/>
      <c r="S595" s="55"/>
      <c r="T595" s="56"/>
      <c r="U595" s="57"/>
      <c r="V595" s="56"/>
      <c r="W595" s="56"/>
      <c r="X595" s="57"/>
      <c r="Y595" s="57"/>
      <c r="Z595" s="58"/>
      <c r="AA595" s="59"/>
      <c r="AB595" s="60"/>
      <c r="AC595" s="60"/>
      <c r="AD595" s="54"/>
      <c r="AE595" s="61"/>
      <c r="AF595" s="61"/>
      <c r="AG595" s="62"/>
      <c r="AH595" s="63"/>
      <c r="AI595" s="92"/>
      <c r="AJ595" s="92"/>
    </row>
    <row r="596" spans="1:36" ht="16.5" thickTop="1" thickBot="1">
      <c r="A596" s="41"/>
      <c r="B596" s="42"/>
      <c r="C596" s="43"/>
      <c r="D596" s="44"/>
      <c r="E596" s="45"/>
      <c r="F596" s="46"/>
      <c r="G596" s="45"/>
      <c r="H596" s="45"/>
      <c r="I596" s="47"/>
      <c r="J596" s="48"/>
      <c r="K596" s="48"/>
      <c r="L596" s="49"/>
      <c r="M596" s="49"/>
      <c r="N596" s="50"/>
      <c r="O596" s="51"/>
      <c r="P596" s="52"/>
      <c r="Q596" s="53"/>
      <c r="R596" s="54"/>
      <c r="S596" s="55"/>
      <c r="T596" s="56"/>
      <c r="U596" s="57"/>
      <c r="V596" s="56"/>
      <c r="W596" s="56"/>
      <c r="X596" s="57"/>
      <c r="Y596" s="57"/>
      <c r="Z596" s="58"/>
      <c r="AA596" s="59"/>
      <c r="AB596" s="60"/>
      <c r="AC596" s="60"/>
      <c r="AD596" s="54"/>
      <c r="AE596" s="61"/>
      <c r="AF596" s="61"/>
      <c r="AG596" s="62"/>
      <c r="AH596" s="63"/>
    </row>
    <row r="597" spans="1:36" ht="16.5" thickTop="1" thickBot="1">
      <c r="A597" s="41"/>
      <c r="B597" s="42"/>
      <c r="C597" s="43"/>
      <c r="D597" s="44"/>
      <c r="E597" s="45"/>
      <c r="F597" s="46"/>
      <c r="G597" s="45"/>
      <c r="H597" s="45"/>
      <c r="I597" s="47"/>
      <c r="J597" s="48"/>
      <c r="K597" s="48"/>
      <c r="L597" s="49"/>
      <c r="M597" s="49"/>
      <c r="N597" s="50"/>
      <c r="O597" s="51"/>
      <c r="P597" s="52"/>
      <c r="Q597" s="53"/>
      <c r="R597" s="54"/>
      <c r="S597" s="55"/>
      <c r="T597" s="56"/>
      <c r="U597" s="57"/>
      <c r="V597" s="56"/>
      <c r="W597" s="56"/>
      <c r="X597" s="57"/>
      <c r="Y597" s="57"/>
      <c r="Z597" s="58"/>
      <c r="AA597" s="59"/>
      <c r="AB597" s="60"/>
      <c r="AC597" s="60"/>
      <c r="AD597" s="54"/>
      <c r="AE597" s="61"/>
      <c r="AF597" s="61"/>
      <c r="AG597" s="62"/>
      <c r="AH597" s="63"/>
    </row>
    <row r="598" spans="1:36" s="111" customFormat="1" ht="16.5" thickTop="1" thickBot="1">
      <c r="A598" s="41"/>
      <c r="B598" s="42"/>
      <c r="C598" s="43"/>
      <c r="D598" s="44"/>
      <c r="E598" s="45"/>
      <c r="F598" s="46"/>
      <c r="G598" s="45"/>
      <c r="H598" s="45"/>
      <c r="I598" s="47"/>
      <c r="J598" s="48"/>
      <c r="K598" s="48"/>
      <c r="L598" s="49"/>
      <c r="M598" s="49"/>
      <c r="N598" s="50"/>
      <c r="O598" s="51"/>
      <c r="P598" s="52"/>
      <c r="Q598" s="53"/>
      <c r="R598" s="105"/>
      <c r="S598" s="106"/>
      <c r="T598" s="56"/>
      <c r="U598" s="107"/>
      <c r="V598" s="56"/>
      <c r="W598" s="56"/>
      <c r="X598" s="107"/>
      <c r="Y598" s="57"/>
      <c r="Z598" s="58"/>
      <c r="AA598" s="108"/>
      <c r="AB598" s="109"/>
      <c r="AC598" s="109"/>
      <c r="AD598" s="105"/>
      <c r="AE598" s="110"/>
      <c r="AF598" s="110"/>
      <c r="AG598" s="62"/>
      <c r="AH598" s="63"/>
    </row>
    <row r="599" spans="1:36" s="111" customFormat="1" ht="16.5" thickTop="1" thickBot="1">
      <c r="A599" s="41"/>
      <c r="B599" s="42"/>
      <c r="C599" s="43"/>
      <c r="D599" s="44"/>
      <c r="E599" s="45"/>
      <c r="F599" s="46"/>
      <c r="G599" s="45"/>
      <c r="H599" s="45"/>
      <c r="I599" s="47"/>
      <c r="J599" s="48"/>
      <c r="K599" s="48"/>
      <c r="L599" s="49"/>
      <c r="M599" s="49"/>
      <c r="N599" s="50"/>
      <c r="O599" s="51"/>
      <c r="P599" s="52"/>
      <c r="Q599" s="53"/>
      <c r="R599" s="105"/>
      <c r="S599" s="106"/>
      <c r="T599" s="56"/>
      <c r="U599" s="107"/>
      <c r="V599" s="56"/>
      <c r="W599" s="56"/>
      <c r="X599" s="107"/>
      <c r="Y599" s="57"/>
      <c r="Z599" s="58"/>
      <c r="AA599" s="108"/>
      <c r="AB599" s="109"/>
      <c r="AC599" s="109"/>
      <c r="AD599" s="105"/>
      <c r="AE599" s="110"/>
      <c r="AF599" s="110"/>
      <c r="AG599" s="62"/>
      <c r="AH599" s="63"/>
    </row>
    <row r="600" spans="1:36" s="111" customFormat="1" ht="16.5" thickTop="1" thickBot="1">
      <c r="A600" s="41"/>
      <c r="B600" s="42"/>
      <c r="C600" s="43"/>
      <c r="D600" s="44"/>
      <c r="E600" s="45"/>
      <c r="F600" s="46"/>
      <c r="G600" s="45"/>
      <c r="H600" s="45"/>
      <c r="I600" s="47"/>
      <c r="J600" s="48"/>
      <c r="K600" s="48"/>
      <c r="L600" s="49"/>
      <c r="M600" s="49"/>
      <c r="N600" s="50"/>
      <c r="O600" s="51"/>
      <c r="P600" s="52"/>
      <c r="Q600" s="53"/>
      <c r="R600" s="105"/>
      <c r="S600" s="106"/>
      <c r="T600" s="56"/>
      <c r="U600" s="107"/>
      <c r="V600" s="56"/>
      <c r="W600" s="56"/>
      <c r="X600" s="107"/>
      <c r="Y600" s="57"/>
      <c r="Z600" s="58"/>
      <c r="AA600" s="108"/>
      <c r="AB600" s="109"/>
      <c r="AC600" s="109"/>
      <c r="AD600" s="105"/>
      <c r="AE600" s="110"/>
      <c r="AF600" s="110"/>
      <c r="AG600" s="62"/>
      <c r="AH600" s="63"/>
    </row>
    <row r="601" spans="1:36" s="111" customFormat="1" ht="16.5" thickTop="1" thickBot="1">
      <c r="A601" s="41"/>
      <c r="B601" s="42"/>
      <c r="C601" s="43"/>
      <c r="D601" s="44"/>
      <c r="E601" s="45"/>
      <c r="F601" s="46"/>
      <c r="G601" s="45"/>
      <c r="H601" s="45"/>
      <c r="I601" s="47"/>
      <c r="J601" s="48"/>
      <c r="K601" s="48"/>
      <c r="L601" s="49"/>
      <c r="M601" s="49"/>
      <c r="N601" s="50"/>
      <c r="O601" s="51"/>
      <c r="P601" s="52"/>
      <c r="Q601" s="53"/>
      <c r="R601" s="105"/>
      <c r="S601" s="106"/>
      <c r="T601" s="56"/>
      <c r="U601" s="107"/>
      <c r="V601" s="56"/>
      <c r="W601" s="56"/>
      <c r="X601" s="107"/>
      <c r="Y601" s="57"/>
      <c r="Z601" s="58"/>
      <c r="AA601" s="108"/>
      <c r="AB601" s="109"/>
      <c r="AC601" s="109"/>
      <c r="AD601" s="105"/>
      <c r="AE601" s="110"/>
      <c r="AF601" s="110"/>
      <c r="AG601" s="62"/>
      <c r="AH601" s="63"/>
    </row>
    <row r="602" spans="1:36" s="111" customFormat="1" ht="16.5" thickTop="1" thickBot="1">
      <c r="A602" s="41"/>
      <c r="B602" s="42"/>
      <c r="C602" s="43"/>
      <c r="D602" s="44"/>
      <c r="E602" s="45"/>
      <c r="F602" s="46"/>
      <c r="G602" s="45"/>
      <c r="H602" s="45"/>
      <c r="I602" s="47"/>
      <c r="J602" s="48"/>
      <c r="K602" s="48"/>
      <c r="L602" s="49"/>
      <c r="M602" s="49"/>
      <c r="N602" s="50"/>
      <c r="O602" s="51"/>
      <c r="P602" s="52"/>
      <c r="Q602" s="53"/>
      <c r="R602" s="105"/>
      <c r="S602" s="106"/>
      <c r="T602" s="56"/>
      <c r="U602" s="107"/>
      <c r="V602" s="56"/>
      <c r="W602" s="56"/>
      <c r="X602" s="107"/>
      <c r="Y602" s="57"/>
      <c r="Z602" s="58"/>
      <c r="AA602" s="108"/>
      <c r="AB602" s="109"/>
      <c r="AC602" s="109"/>
      <c r="AD602" s="105"/>
      <c r="AE602" s="110"/>
      <c r="AF602" s="110"/>
      <c r="AG602" s="62"/>
      <c r="AH602" s="63"/>
    </row>
    <row r="603" spans="1:36" s="111" customFormat="1" ht="16.5" thickTop="1" thickBot="1">
      <c r="A603" s="41"/>
      <c r="B603" s="42"/>
      <c r="C603" s="43"/>
      <c r="D603" s="44"/>
      <c r="E603" s="45"/>
      <c r="F603" s="46"/>
      <c r="G603" s="45"/>
      <c r="H603" s="45"/>
      <c r="I603" s="47"/>
      <c r="J603" s="48"/>
      <c r="K603" s="48"/>
      <c r="L603" s="49"/>
      <c r="M603" s="49"/>
      <c r="N603" s="50"/>
      <c r="O603" s="51"/>
      <c r="P603" s="52"/>
      <c r="Q603" s="53"/>
      <c r="R603" s="105"/>
      <c r="S603" s="106"/>
      <c r="T603" s="56"/>
      <c r="U603" s="107"/>
      <c r="V603" s="56"/>
      <c r="W603" s="56"/>
      <c r="X603" s="107"/>
      <c r="Y603" s="57"/>
      <c r="Z603" s="58"/>
      <c r="AA603" s="108"/>
      <c r="AB603" s="109"/>
      <c r="AC603" s="109"/>
      <c r="AD603" s="105"/>
      <c r="AE603" s="110"/>
      <c r="AF603" s="110"/>
      <c r="AG603" s="62"/>
      <c r="AH603" s="63"/>
    </row>
    <row r="604" spans="1:36" ht="16.5" thickTop="1" thickBot="1">
      <c r="A604" s="41"/>
      <c r="B604" s="42"/>
      <c r="C604" s="43"/>
      <c r="D604" s="44"/>
      <c r="E604" s="45"/>
      <c r="F604" s="46"/>
      <c r="G604" s="45"/>
      <c r="H604" s="45"/>
      <c r="I604" s="47"/>
      <c r="J604" s="48"/>
      <c r="K604" s="48"/>
      <c r="L604" s="49"/>
      <c r="M604" s="49"/>
      <c r="N604" s="50"/>
      <c r="O604" s="51"/>
      <c r="P604" s="52"/>
      <c r="Q604" s="53"/>
      <c r="R604" s="54"/>
      <c r="S604" s="55"/>
      <c r="T604" s="56"/>
      <c r="U604" s="57"/>
      <c r="V604" s="56"/>
      <c r="W604" s="56"/>
      <c r="X604" s="57"/>
      <c r="Y604" s="57"/>
      <c r="Z604" s="58"/>
      <c r="AA604" s="59"/>
      <c r="AB604" s="60"/>
      <c r="AC604" s="60"/>
      <c r="AD604" s="54"/>
      <c r="AE604" s="61"/>
      <c r="AF604" s="61"/>
      <c r="AG604" s="62"/>
      <c r="AH604" s="63"/>
    </row>
    <row r="605" spans="1:36" ht="16.5" thickTop="1" thickBot="1">
      <c r="A605" s="41"/>
      <c r="B605" s="42"/>
      <c r="C605" s="43"/>
      <c r="D605" s="44"/>
      <c r="E605" s="45"/>
      <c r="F605" s="46"/>
      <c r="G605" s="45"/>
      <c r="H605" s="45"/>
      <c r="I605" s="47"/>
      <c r="J605" s="48"/>
      <c r="K605" s="48"/>
      <c r="L605" s="49"/>
      <c r="M605" s="49"/>
      <c r="N605" s="50"/>
      <c r="O605" s="51"/>
      <c r="P605" s="52"/>
      <c r="Q605" s="53"/>
      <c r="R605" s="77"/>
      <c r="S605" s="78"/>
      <c r="T605" s="56"/>
      <c r="U605" s="80"/>
      <c r="V605" s="56"/>
      <c r="W605" s="56"/>
      <c r="X605" s="80"/>
      <c r="Y605" s="57"/>
      <c r="Z605" s="58"/>
      <c r="AA605" s="82"/>
      <c r="AB605" s="60"/>
      <c r="AC605" s="60"/>
      <c r="AD605" s="54"/>
      <c r="AE605" s="61"/>
      <c r="AF605" s="61"/>
      <c r="AG605" s="62"/>
      <c r="AH605" s="63"/>
    </row>
    <row r="606" spans="1:36" s="88" customFormat="1" ht="16.5" thickTop="1" thickBot="1">
      <c r="A606" s="41"/>
      <c r="B606" s="42"/>
      <c r="C606" s="43"/>
      <c r="D606" s="44"/>
      <c r="E606" s="45"/>
      <c r="F606" s="46"/>
      <c r="G606" s="45"/>
      <c r="H606" s="45"/>
      <c r="I606" s="47"/>
      <c r="J606" s="48"/>
      <c r="K606" s="48"/>
      <c r="L606" s="49"/>
      <c r="M606" s="49"/>
      <c r="N606" s="50"/>
      <c r="O606" s="51"/>
      <c r="P606" s="52"/>
      <c r="Q606" s="53"/>
      <c r="R606" s="77"/>
      <c r="S606" s="78"/>
      <c r="T606" s="56"/>
      <c r="U606" s="80"/>
      <c r="V606" s="56"/>
      <c r="W606" s="56"/>
      <c r="X606" s="80"/>
      <c r="Y606" s="57"/>
      <c r="Z606" s="58"/>
      <c r="AA606" s="82"/>
      <c r="AB606" s="83"/>
      <c r="AC606" s="83"/>
      <c r="AD606" s="77"/>
      <c r="AE606" s="84"/>
      <c r="AF606" s="84"/>
      <c r="AG606" s="62"/>
      <c r="AH606" s="63"/>
    </row>
    <row r="607" spans="1:36" ht="16.5" thickTop="1" thickBot="1">
      <c r="A607" s="41"/>
      <c r="B607" s="42"/>
      <c r="C607" s="43"/>
      <c r="D607" s="44"/>
      <c r="E607" s="45"/>
      <c r="F607" s="46"/>
      <c r="G607" s="45"/>
      <c r="H607" s="45"/>
      <c r="I607" s="47"/>
      <c r="J607" s="48"/>
      <c r="K607" s="48"/>
      <c r="L607" s="49"/>
      <c r="M607" s="49"/>
      <c r="N607" s="50"/>
      <c r="O607" s="51"/>
      <c r="P607" s="52"/>
      <c r="Q607" s="53"/>
      <c r="R607" s="77"/>
      <c r="S607" s="78"/>
      <c r="T607" s="56"/>
      <c r="U607" s="80"/>
      <c r="V607" s="56"/>
      <c r="W607" s="56"/>
      <c r="X607" s="80"/>
      <c r="Y607" s="57"/>
      <c r="Z607" s="58"/>
      <c r="AA607" s="82"/>
      <c r="AB607" s="60"/>
      <c r="AC607" s="60"/>
      <c r="AD607" s="54"/>
      <c r="AE607" s="61"/>
      <c r="AF607" s="61"/>
      <c r="AG607" s="62"/>
      <c r="AH607" s="63"/>
    </row>
    <row r="608" spans="1:36" ht="16.5" thickTop="1" thickBot="1">
      <c r="A608" s="41"/>
      <c r="B608" s="42"/>
      <c r="C608" s="43"/>
      <c r="D608" s="44"/>
      <c r="E608" s="45"/>
      <c r="F608" s="46"/>
      <c r="G608" s="45"/>
      <c r="H608" s="45"/>
      <c r="I608" s="47"/>
      <c r="J608" s="48"/>
      <c r="K608" s="48"/>
      <c r="L608" s="49"/>
      <c r="M608" s="49"/>
      <c r="N608" s="50"/>
      <c r="O608" s="51"/>
      <c r="P608" s="52"/>
      <c r="Q608" s="53"/>
      <c r="R608" s="77"/>
      <c r="S608" s="78"/>
      <c r="T608" s="56"/>
      <c r="U608" s="80"/>
      <c r="V608" s="56"/>
      <c r="W608" s="56"/>
      <c r="X608" s="80"/>
      <c r="Y608" s="57"/>
      <c r="Z608" s="58"/>
      <c r="AA608" s="82"/>
      <c r="AB608" s="60"/>
      <c r="AC608" s="60"/>
      <c r="AD608" s="54"/>
      <c r="AE608" s="61"/>
      <c r="AF608" s="61"/>
      <c r="AG608" s="62"/>
      <c r="AH608" s="63"/>
    </row>
    <row r="609" spans="1:34" s="88" customFormat="1" ht="16.5" thickTop="1" thickBot="1">
      <c r="A609" s="41"/>
      <c r="B609" s="42"/>
      <c r="C609" s="43"/>
      <c r="D609" s="44"/>
      <c r="E609" s="45"/>
      <c r="F609" s="46"/>
      <c r="G609" s="45"/>
      <c r="H609" s="45"/>
      <c r="I609" s="47"/>
      <c r="J609" s="48"/>
      <c r="K609" s="48"/>
      <c r="L609" s="49"/>
      <c r="M609" s="49"/>
      <c r="N609" s="50"/>
      <c r="O609" s="51"/>
      <c r="P609" s="52"/>
      <c r="Q609" s="53"/>
      <c r="R609" s="77"/>
      <c r="S609" s="78"/>
      <c r="T609" s="56"/>
      <c r="U609" s="80"/>
      <c r="V609" s="56"/>
      <c r="W609" s="56"/>
      <c r="X609" s="80"/>
      <c r="Y609" s="57"/>
      <c r="Z609" s="58"/>
      <c r="AA609" s="82"/>
      <c r="AB609" s="83"/>
      <c r="AC609" s="83"/>
      <c r="AD609" s="77"/>
      <c r="AE609" s="84"/>
      <c r="AF609" s="84"/>
      <c r="AG609" s="62"/>
      <c r="AH609" s="63"/>
    </row>
    <row r="610" spans="1:34" s="88" customFormat="1" ht="16.5" thickTop="1" thickBot="1">
      <c r="A610" s="41"/>
      <c r="B610" s="42"/>
      <c r="C610" s="43"/>
      <c r="D610" s="44"/>
      <c r="E610" s="45"/>
      <c r="F610" s="46"/>
      <c r="G610" s="45"/>
      <c r="H610" s="45"/>
      <c r="I610" s="47"/>
      <c r="J610" s="48"/>
      <c r="K610" s="48"/>
      <c r="L610" s="49"/>
      <c r="M610" s="49"/>
      <c r="N610" s="50"/>
      <c r="O610" s="51"/>
      <c r="P610" s="52"/>
      <c r="Q610" s="53"/>
      <c r="R610" s="77"/>
      <c r="S610" s="78"/>
      <c r="T610" s="56"/>
      <c r="U610" s="80"/>
      <c r="V610" s="56"/>
      <c r="W610" s="56"/>
      <c r="X610" s="80"/>
      <c r="Y610" s="57"/>
      <c r="Z610" s="58"/>
      <c r="AA610" s="82"/>
      <c r="AB610" s="83"/>
      <c r="AC610" s="83"/>
      <c r="AD610" s="77"/>
      <c r="AE610" s="84"/>
      <c r="AF610" s="84"/>
      <c r="AG610" s="62"/>
      <c r="AH610" s="63"/>
    </row>
    <row r="611" spans="1:34" s="88" customFormat="1" ht="16.5" thickTop="1" thickBot="1">
      <c r="A611" s="41"/>
      <c r="B611" s="42"/>
      <c r="C611" s="43"/>
      <c r="D611" s="44"/>
      <c r="E611" s="45"/>
      <c r="F611" s="46"/>
      <c r="G611" s="45"/>
      <c r="H611" s="45"/>
      <c r="I611" s="47"/>
      <c r="J611" s="48"/>
      <c r="K611" s="48"/>
      <c r="L611" s="49"/>
      <c r="M611" s="49"/>
      <c r="N611" s="50"/>
      <c r="O611" s="51"/>
      <c r="P611" s="52"/>
      <c r="Q611" s="53"/>
      <c r="R611" s="77"/>
      <c r="S611" s="78"/>
      <c r="T611" s="56"/>
      <c r="U611" s="80"/>
      <c r="V611" s="56"/>
      <c r="W611" s="56"/>
      <c r="X611" s="80"/>
      <c r="Y611" s="57"/>
      <c r="Z611" s="58"/>
      <c r="AA611" s="82"/>
      <c r="AB611" s="83"/>
      <c r="AC611" s="83"/>
      <c r="AD611" s="77"/>
      <c r="AE611" s="84"/>
      <c r="AF611" s="84"/>
      <c r="AG611" s="62"/>
      <c r="AH611" s="63"/>
    </row>
    <row r="612" spans="1:34" s="88" customFormat="1" ht="16.5" thickTop="1" thickBot="1">
      <c r="A612" s="41"/>
      <c r="B612" s="42"/>
      <c r="C612" s="43"/>
      <c r="D612" s="44"/>
      <c r="E612" s="45"/>
      <c r="F612" s="46"/>
      <c r="G612" s="45"/>
      <c r="H612" s="45"/>
      <c r="I612" s="47"/>
      <c r="J612" s="48"/>
      <c r="K612" s="48"/>
      <c r="L612" s="49"/>
      <c r="M612" s="49"/>
      <c r="N612" s="50"/>
      <c r="O612" s="51"/>
      <c r="P612" s="52"/>
      <c r="Q612" s="53"/>
      <c r="R612" s="77"/>
      <c r="S612" s="78"/>
      <c r="T612" s="56"/>
      <c r="U612" s="80"/>
      <c r="V612" s="56"/>
      <c r="W612" s="56"/>
      <c r="X612" s="80"/>
      <c r="Y612" s="57"/>
      <c r="Z612" s="58"/>
      <c r="AA612" s="82"/>
      <c r="AB612" s="83"/>
      <c r="AC612" s="83"/>
      <c r="AD612" s="77"/>
      <c r="AE612" s="84"/>
      <c r="AF612" s="84"/>
      <c r="AG612" s="62"/>
      <c r="AH612" s="63"/>
    </row>
    <row r="613" spans="1:34" s="88" customFormat="1" ht="16.5" thickTop="1" thickBot="1">
      <c r="A613" s="41"/>
      <c r="B613" s="42"/>
      <c r="C613" s="43"/>
      <c r="D613" s="44"/>
      <c r="E613" s="45"/>
      <c r="F613" s="46"/>
      <c r="G613" s="45"/>
      <c r="H613" s="45"/>
      <c r="I613" s="47"/>
      <c r="J613" s="48"/>
      <c r="K613" s="48"/>
      <c r="L613" s="49"/>
      <c r="M613" s="49"/>
      <c r="N613" s="50"/>
      <c r="O613" s="51"/>
      <c r="P613" s="52"/>
      <c r="Q613" s="53"/>
      <c r="R613" s="77"/>
      <c r="S613" s="78"/>
      <c r="T613" s="56"/>
      <c r="U613" s="80"/>
      <c r="V613" s="56"/>
      <c r="W613" s="56"/>
      <c r="X613" s="80"/>
      <c r="Y613" s="57"/>
      <c r="Z613" s="58"/>
      <c r="AA613" s="82"/>
      <c r="AB613" s="83"/>
      <c r="AC613" s="83"/>
      <c r="AD613" s="77"/>
      <c r="AE613" s="84"/>
      <c r="AF613" s="84"/>
      <c r="AG613" s="62"/>
      <c r="AH613" s="63"/>
    </row>
    <row r="614" spans="1:34" s="88" customFormat="1" ht="16.5" thickTop="1" thickBot="1">
      <c r="A614" s="41"/>
      <c r="B614" s="42"/>
      <c r="C614" s="43"/>
      <c r="D614" s="44"/>
      <c r="E614" s="45"/>
      <c r="F614" s="46"/>
      <c r="G614" s="45"/>
      <c r="H614" s="45"/>
      <c r="I614" s="47"/>
      <c r="J614" s="48"/>
      <c r="K614" s="48"/>
      <c r="L614" s="49"/>
      <c r="M614" s="49"/>
      <c r="N614" s="50"/>
      <c r="O614" s="51"/>
      <c r="P614" s="52"/>
      <c r="Q614" s="53"/>
      <c r="R614" s="77"/>
      <c r="S614" s="78"/>
      <c r="T614" s="56"/>
      <c r="U614" s="80"/>
      <c r="V614" s="56"/>
      <c r="W614" s="56"/>
      <c r="X614" s="80"/>
      <c r="Y614" s="57"/>
      <c r="Z614" s="58"/>
      <c r="AA614" s="82"/>
      <c r="AB614" s="83"/>
      <c r="AC614" s="83"/>
      <c r="AD614" s="77"/>
      <c r="AE614" s="84"/>
      <c r="AF614" s="84"/>
      <c r="AG614" s="62"/>
      <c r="AH614" s="63"/>
    </row>
    <row r="615" spans="1:34" s="88" customFormat="1" ht="16.5" thickTop="1" thickBot="1">
      <c r="A615" s="41"/>
      <c r="B615" s="42"/>
      <c r="C615" s="43"/>
      <c r="D615" s="44"/>
      <c r="E615" s="45"/>
      <c r="F615" s="46"/>
      <c r="G615" s="45"/>
      <c r="H615" s="45"/>
      <c r="I615" s="47"/>
      <c r="J615" s="48"/>
      <c r="K615" s="48"/>
      <c r="L615" s="49"/>
      <c r="M615" s="49"/>
      <c r="N615" s="50"/>
      <c r="O615" s="51"/>
      <c r="P615" s="52"/>
      <c r="Q615" s="53"/>
      <c r="R615" s="77"/>
      <c r="S615" s="78"/>
      <c r="T615" s="56"/>
      <c r="U615" s="80"/>
      <c r="V615" s="56"/>
      <c r="W615" s="56"/>
      <c r="X615" s="80"/>
      <c r="Y615" s="57"/>
      <c r="Z615" s="58"/>
      <c r="AA615" s="82"/>
      <c r="AB615" s="83"/>
      <c r="AC615" s="83"/>
      <c r="AD615" s="77"/>
      <c r="AE615" s="84"/>
      <c r="AF615" s="84"/>
      <c r="AG615" s="62"/>
      <c r="AH615" s="63"/>
    </row>
    <row r="616" spans="1:34" s="88" customFormat="1" ht="16.5" thickTop="1" thickBot="1">
      <c r="A616" s="41"/>
      <c r="B616" s="42"/>
      <c r="C616" s="43"/>
      <c r="D616" s="44"/>
      <c r="E616" s="45"/>
      <c r="F616" s="46"/>
      <c r="G616" s="45"/>
      <c r="H616" s="45"/>
      <c r="I616" s="47"/>
      <c r="J616" s="48"/>
      <c r="K616" s="48"/>
      <c r="L616" s="49"/>
      <c r="M616" s="49"/>
      <c r="N616" s="50"/>
      <c r="O616" s="51"/>
      <c r="P616" s="52"/>
      <c r="Q616" s="53"/>
      <c r="R616" s="77"/>
      <c r="S616" s="78"/>
      <c r="T616" s="56"/>
      <c r="U616" s="80"/>
      <c r="V616" s="56"/>
      <c r="W616" s="56"/>
      <c r="X616" s="80"/>
      <c r="Y616" s="57"/>
      <c r="Z616" s="58"/>
      <c r="AA616" s="82"/>
      <c r="AB616" s="83"/>
      <c r="AC616" s="83"/>
      <c r="AD616" s="77"/>
      <c r="AE616" s="84"/>
      <c r="AF616" s="84"/>
      <c r="AG616" s="62"/>
      <c r="AH616" s="63"/>
    </row>
    <row r="617" spans="1:34" s="88" customFormat="1" ht="16.5" thickTop="1" thickBot="1">
      <c r="A617" s="41"/>
      <c r="B617" s="42"/>
      <c r="C617" s="43"/>
      <c r="D617" s="44"/>
      <c r="E617" s="45"/>
      <c r="F617" s="46"/>
      <c r="G617" s="45"/>
      <c r="H617" s="45"/>
      <c r="I617" s="47"/>
      <c r="J617" s="48"/>
      <c r="K617" s="48"/>
      <c r="L617" s="49"/>
      <c r="M617" s="49"/>
      <c r="N617" s="50"/>
      <c r="O617" s="51"/>
      <c r="P617" s="52"/>
      <c r="Q617" s="53"/>
      <c r="R617" s="77"/>
      <c r="S617" s="78"/>
      <c r="T617" s="56"/>
      <c r="U617" s="80"/>
      <c r="V617" s="56"/>
      <c r="W617" s="56"/>
      <c r="X617" s="80"/>
      <c r="Y617" s="57"/>
      <c r="Z617" s="58"/>
      <c r="AA617" s="82"/>
      <c r="AB617" s="83"/>
      <c r="AC617" s="83"/>
      <c r="AD617" s="77"/>
      <c r="AE617" s="84"/>
      <c r="AF617" s="84"/>
      <c r="AG617" s="62"/>
      <c r="AH617" s="63"/>
    </row>
    <row r="618" spans="1:34" s="88" customFormat="1" ht="16.5" thickTop="1" thickBot="1">
      <c r="A618" s="41"/>
      <c r="B618" s="42"/>
      <c r="C618" s="43"/>
      <c r="D618" s="44"/>
      <c r="E618" s="45"/>
      <c r="F618" s="46"/>
      <c r="G618" s="45"/>
      <c r="H618" s="45"/>
      <c r="I618" s="47"/>
      <c r="J618" s="48"/>
      <c r="K618" s="48"/>
      <c r="L618" s="49"/>
      <c r="M618" s="49"/>
      <c r="N618" s="50"/>
      <c r="O618" s="51"/>
      <c r="P618" s="52"/>
      <c r="Q618" s="53"/>
      <c r="R618" s="77"/>
      <c r="S618" s="78"/>
      <c r="T618" s="56"/>
      <c r="U618" s="80"/>
      <c r="V618" s="56"/>
      <c r="W618" s="56"/>
      <c r="X618" s="80"/>
      <c r="Y618" s="57"/>
      <c r="Z618" s="58"/>
      <c r="AA618" s="82"/>
      <c r="AB618" s="83"/>
      <c r="AC618" s="83"/>
      <c r="AD618" s="77"/>
      <c r="AE618" s="84"/>
      <c r="AF618" s="84"/>
      <c r="AG618" s="62"/>
      <c r="AH618" s="63"/>
    </row>
    <row r="619" spans="1:34" s="88" customFormat="1" ht="16.5" thickTop="1" thickBot="1">
      <c r="A619" s="41"/>
      <c r="B619" s="42"/>
      <c r="C619" s="43"/>
      <c r="D619" s="44"/>
      <c r="E619" s="45"/>
      <c r="F619" s="46"/>
      <c r="G619" s="45"/>
      <c r="H619" s="45"/>
      <c r="I619" s="47"/>
      <c r="J619" s="48"/>
      <c r="K619" s="48"/>
      <c r="L619" s="49"/>
      <c r="M619" s="49"/>
      <c r="N619" s="50"/>
      <c r="O619" s="51"/>
      <c r="P619" s="52"/>
      <c r="Q619" s="53"/>
      <c r="R619" s="77"/>
      <c r="S619" s="78"/>
      <c r="T619" s="56"/>
      <c r="U619" s="80"/>
      <c r="V619" s="56"/>
      <c r="W619" s="56"/>
      <c r="X619" s="80"/>
      <c r="Y619" s="57"/>
      <c r="Z619" s="58"/>
      <c r="AA619" s="82"/>
      <c r="AB619" s="83"/>
      <c r="AC619" s="83"/>
      <c r="AD619" s="77"/>
      <c r="AE619" s="84"/>
      <c r="AF619" s="84"/>
      <c r="AG619" s="62"/>
      <c r="AH619" s="63"/>
    </row>
    <row r="620" spans="1:34" s="88" customFormat="1" ht="16.5" thickTop="1" thickBot="1">
      <c r="A620" s="41"/>
      <c r="B620" s="42"/>
      <c r="C620" s="43"/>
      <c r="D620" s="44"/>
      <c r="E620" s="45"/>
      <c r="F620" s="46"/>
      <c r="G620" s="45"/>
      <c r="H620" s="45"/>
      <c r="I620" s="47"/>
      <c r="J620" s="48"/>
      <c r="K620" s="48"/>
      <c r="L620" s="49"/>
      <c r="M620" s="49"/>
      <c r="N620" s="50"/>
      <c r="O620" s="51"/>
      <c r="P620" s="52"/>
      <c r="Q620" s="53"/>
      <c r="R620" s="77"/>
      <c r="S620" s="78"/>
      <c r="T620" s="56"/>
      <c r="U620" s="80"/>
      <c r="V620" s="56"/>
      <c r="W620" s="56"/>
      <c r="X620" s="80"/>
      <c r="Y620" s="57"/>
      <c r="Z620" s="58"/>
      <c r="AA620" s="82"/>
      <c r="AB620" s="83"/>
      <c r="AC620" s="83"/>
      <c r="AD620" s="77"/>
      <c r="AE620" s="84"/>
      <c r="AF620" s="84"/>
      <c r="AG620" s="62"/>
      <c r="AH620" s="63"/>
    </row>
    <row r="621" spans="1:34" s="88" customFormat="1" ht="16.5" thickTop="1" thickBot="1">
      <c r="A621" s="41"/>
      <c r="B621" s="42"/>
      <c r="C621" s="43"/>
      <c r="D621" s="44"/>
      <c r="E621" s="45"/>
      <c r="F621" s="46"/>
      <c r="G621" s="45"/>
      <c r="H621" s="45"/>
      <c r="I621" s="47"/>
      <c r="J621" s="48"/>
      <c r="K621" s="48"/>
      <c r="L621" s="49"/>
      <c r="M621" s="49"/>
      <c r="N621" s="50"/>
      <c r="O621" s="51"/>
      <c r="P621" s="52"/>
      <c r="Q621" s="53"/>
      <c r="R621" s="77"/>
      <c r="S621" s="78"/>
      <c r="T621" s="56"/>
      <c r="U621" s="80"/>
      <c r="V621" s="56"/>
      <c r="W621" s="56"/>
      <c r="X621" s="80"/>
      <c r="Y621" s="57"/>
      <c r="Z621" s="58"/>
      <c r="AA621" s="82"/>
      <c r="AB621" s="83"/>
      <c r="AC621" s="83"/>
      <c r="AD621" s="77"/>
      <c r="AE621" s="84"/>
      <c r="AF621" s="84"/>
      <c r="AG621" s="62"/>
      <c r="AH621" s="63"/>
    </row>
    <row r="622" spans="1:34" s="88" customFormat="1" ht="16.5" thickTop="1" thickBot="1">
      <c r="A622" s="41"/>
      <c r="B622" s="42"/>
      <c r="C622" s="43"/>
      <c r="D622" s="44"/>
      <c r="E622" s="45"/>
      <c r="F622" s="46"/>
      <c r="G622" s="45"/>
      <c r="H622" s="45"/>
      <c r="I622" s="47"/>
      <c r="J622" s="48"/>
      <c r="K622" s="48"/>
      <c r="L622" s="49"/>
      <c r="M622" s="49"/>
      <c r="N622" s="50"/>
      <c r="O622" s="51"/>
      <c r="P622" s="52"/>
      <c r="Q622" s="53"/>
      <c r="R622" s="77"/>
      <c r="S622" s="78"/>
      <c r="T622" s="56"/>
      <c r="U622" s="80"/>
      <c r="V622" s="56"/>
      <c r="W622" s="56"/>
      <c r="X622" s="80"/>
      <c r="Y622" s="57"/>
      <c r="Z622" s="58"/>
      <c r="AA622" s="82"/>
      <c r="AB622" s="83"/>
      <c r="AC622" s="83"/>
      <c r="AD622" s="77"/>
      <c r="AE622" s="84"/>
      <c r="AF622" s="84"/>
      <c r="AG622" s="62"/>
      <c r="AH622" s="63"/>
    </row>
    <row r="623" spans="1:34" s="88" customFormat="1" ht="16.5" thickTop="1" thickBot="1">
      <c r="A623" s="41"/>
      <c r="B623" s="42"/>
      <c r="C623" s="43"/>
      <c r="D623" s="44"/>
      <c r="E623" s="45"/>
      <c r="F623" s="46"/>
      <c r="G623" s="45"/>
      <c r="H623" s="45"/>
      <c r="I623" s="47"/>
      <c r="J623" s="48"/>
      <c r="K623" s="48"/>
      <c r="L623" s="49"/>
      <c r="M623" s="49"/>
      <c r="N623" s="50"/>
      <c r="O623" s="51"/>
      <c r="P623" s="52"/>
      <c r="Q623" s="53"/>
      <c r="R623" s="77"/>
      <c r="S623" s="78"/>
      <c r="T623" s="56"/>
      <c r="U623" s="80"/>
      <c r="V623" s="56"/>
      <c r="W623" s="56"/>
      <c r="X623" s="80"/>
      <c r="Y623" s="57"/>
      <c r="Z623" s="58"/>
      <c r="AA623" s="82"/>
      <c r="AB623" s="83"/>
      <c r="AC623" s="83"/>
      <c r="AD623" s="77"/>
      <c r="AE623" s="84"/>
      <c r="AF623" s="84"/>
      <c r="AG623" s="62"/>
      <c r="AH623" s="63"/>
    </row>
    <row r="624" spans="1:34" s="88" customFormat="1" ht="16.5" thickTop="1" thickBot="1">
      <c r="A624" s="41"/>
      <c r="B624" s="42"/>
      <c r="C624" s="43"/>
      <c r="D624" s="44"/>
      <c r="E624" s="45"/>
      <c r="F624" s="46"/>
      <c r="G624" s="45"/>
      <c r="H624" s="45"/>
      <c r="I624" s="47"/>
      <c r="J624" s="48"/>
      <c r="K624" s="48"/>
      <c r="L624" s="49"/>
      <c r="M624" s="49"/>
      <c r="N624" s="50"/>
      <c r="O624" s="51"/>
      <c r="P624" s="52"/>
      <c r="Q624" s="53"/>
      <c r="R624" s="77"/>
      <c r="S624" s="78"/>
      <c r="T624" s="56"/>
      <c r="U624" s="80"/>
      <c r="V624" s="56"/>
      <c r="W624" s="56"/>
      <c r="X624" s="80"/>
      <c r="Y624" s="57"/>
      <c r="Z624" s="58"/>
      <c r="AA624" s="82"/>
      <c r="AB624" s="83"/>
      <c r="AC624" s="83"/>
      <c r="AD624" s="77"/>
      <c r="AE624" s="84"/>
      <c r="AF624" s="84"/>
      <c r="AG624" s="62"/>
      <c r="AH624" s="63"/>
    </row>
    <row r="625" spans="1:36" s="88" customFormat="1" ht="16.5" thickTop="1" thickBot="1">
      <c r="A625" s="41"/>
      <c r="B625" s="42"/>
      <c r="C625" s="43"/>
      <c r="D625" s="44"/>
      <c r="E625" s="45"/>
      <c r="F625" s="46"/>
      <c r="G625" s="45"/>
      <c r="H625" s="45"/>
      <c r="I625" s="47"/>
      <c r="J625" s="48"/>
      <c r="K625" s="48"/>
      <c r="L625" s="49"/>
      <c r="M625" s="49"/>
      <c r="N625" s="50"/>
      <c r="O625" s="51"/>
      <c r="P625" s="52"/>
      <c r="Q625" s="53"/>
      <c r="R625" s="77"/>
      <c r="S625" s="78"/>
      <c r="T625" s="56"/>
      <c r="U625" s="80"/>
      <c r="V625" s="56"/>
      <c r="W625" s="56"/>
      <c r="X625" s="80"/>
      <c r="Y625" s="57"/>
      <c r="Z625" s="58"/>
      <c r="AA625" s="82"/>
      <c r="AB625" s="83"/>
      <c r="AC625" s="83"/>
      <c r="AD625" s="77"/>
      <c r="AE625" s="84"/>
      <c r="AF625" s="84"/>
      <c r="AG625" s="62"/>
      <c r="AH625" s="63"/>
    </row>
    <row r="626" spans="1:36" s="88" customFormat="1" ht="16.5" thickTop="1" thickBot="1">
      <c r="A626" s="41"/>
      <c r="B626" s="42"/>
      <c r="C626" s="43"/>
      <c r="D626" s="44"/>
      <c r="E626" s="45"/>
      <c r="F626" s="46"/>
      <c r="G626" s="45"/>
      <c r="H626" s="45"/>
      <c r="I626" s="47"/>
      <c r="J626" s="48"/>
      <c r="K626" s="48"/>
      <c r="L626" s="49"/>
      <c r="M626" s="49"/>
      <c r="N626" s="50"/>
      <c r="O626" s="51"/>
      <c r="P626" s="52"/>
      <c r="Q626" s="53"/>
      <c r="R626" s="77"/>
      <c r="S626" s="78"/>
      <c r="T626" s="56"/>
      <c r="U626" s="80"/>
      <c r="V626" s="56"/>
      <c r="W626" s="56"/>
      <c r="X626" s="80"/>
      <c r="Y626" s="57"/>
      <c r="Z626" s="58"/>
      <c r="AA626" s="82"/>
      <c r="AB626" s="83"/>
      <c r="AC626" s="83"/>
      <c r="AD626" s="77"/>
      <c r="AE626" s="84"/>
      <c r="AF626" s="84"/>
      <c r="AG626" s="62"/>
      <c r="AH626" s="63"/>
    </row>
    <row r="627" spans="1:36" s="88" customFormat="1" ht="16.5" thickTop="1" thickBot="1">
      <c r="A627" s="41"/>
      <c r="B627" s="42"/>
      <c r="C627" s="43"/>
      <c r="D627" s="44"/>
      <c r="E627" s="45"/>
      <c r="F627" s="46"/>
      <c r="G627" s="45"/>
      <c r="H627" s="45"/>
      <c r="I627" s="47"/>
      <c r="J627" s="48"/>
      <c r="K627" s="48"/>
      <c r="L627" s="49"/>
      <c r="M627" s="49"/>
      <c r="N627" s="50"/>
      <c r="O627" s="51"/>
      <c r="P627" s="52"/>
      <c r="Q627" s="53"/>
      <c r="R627" s="77"/>
      <c r="S627" s="78"/>
      <c r="T627" s="56"/>
      <c r="U627" s="80"/>
      <c r="V627" s="56"/>
      <c r="W627" s="56"/>
      <c r="X627" s="80"/>
      <c r="Y627" s="57"/>
      <c r="Z627" s="58"/>
      <c r="AA627" s="82"/>
      <c r="AB627" s="83"/>
      <c r="AC627" s="83"/>
      <c r="AD627" s="77"/>
      <c r="AE627" s="84"/>
      <c r="AF627" s="84"/>
      <c r="AG627" s="62"/>
      <c r="AH627" s="63"/>
    </row>
    <row r="628" spans="1:36" s="88" customFormat="1" ht="16.5" thickTop="1" thickBot="1">
      <c r="A628" s="41"/>
      <c r="B628" s="42"/>
      <c r="C628" s="43"/>
      <c r="D628" s="44"/>
      <c r="E628" s="45"/>
      <c r="F628" s="46"/>
      <c r="G628" s="45"/>
      <c r="H628" s="45"/>
      <c r="I628" s="47"/>
      <c r="J628" s="48"/>
      <c r="K628" s="48"/>
      <c r="L628" s="49"/>
      <c r="M628" s="49"/>
      <c r="N628" s="50"/>
      <c r="O628" s="51"/>
      <c r="P628" s="52"/>
      <c r="Q628" s="53"/>
      <c r="R628" s="77"/>
      <c r="S628" s="78"/>
      <c r="T628" s="56"/>
      <c r="U628" s="80"/>
      <c r="V628" s="56"/>
      <c r="W628" s="56"/>
      <c r="X628" s="80"/>
      <c r="Y628" s="57"/>
      <c r="Z628" s="58"/>
      <c r="AA628" s="82"/>
      <c r="AB628" s="83"/>
      <c r="AC628" s="83"/>
      <c r="AD628" s="77"/>
      <c r="AE628" s="84"/>
      <c r="AF628" s="84"/>
      <c r="AG628" s="62"/>
      <c r="AH628" s="63"/>
    </row>
    <row r="629" spans="1:36" s="88" customFormat="1" ht="16.5" thickTop="1" thickBot="1">
      <c r="A629" s="41"/>
      <c r="B629" s="42"/>
      <c r="C629" s="43"/>
      <c r="D629" s="44"/>
      <c r="E629" s="45"/>
      <c r="F629" s="46"/>
      <c r="G629" s="45"/>
      <c r="H629" s="45"/>
      <c r="I629" s="47"/>
      <c r="J629" s="48"/>
      <c r="K629" s="48"/>
      <c r="L629" s="49"/>
      <c r="M629" s="49"/>
      <c r="N629" s="50"/>
      <c r="O629" s="51"/>
      <c r="P629" s="52"/>
      <c r="Q629" s="53"/>
      <c r="R629" s="77"/>
      <c r="S629" s="78"/>
      <c r="T629" s="56"/>
      <c r="U629" s="80"/>
      <c r="V629" s="56"/>
      <c r="W629" s="56"/>
      <c r="X629" s="80"/>
      <c r="Y629" s="57"/>
      <c r="Z629" s="58"/>
      <c r="AA629" s="82"/>
      <c r="AB629" s="83"/>
      <c r="AC629" s="83"/>
      <c r="AD629" s="77"/>
      <c r="AE629" s="84"/>
      <c r="AF629" s="84"/>
      <c r="AG629" s="62"/>
      <c r="AH629" s="63"/>
    </row>
    <row r="630" spans="1:36" s="88" customFormat="1" ht="16.5" thickTop="1" thickBot="1">
      <c r="A630" s="41"/>
      <c r="B630" s="42"/>
      <c r="C630" s="43"/>
      <c r="D630" s="44"/>
      <c r="E630" s="45"/>
      <c r="F630" s="46"/>
      <c r="G630" s="45"/>
      <c r="H630" s="45"/>
      <c r="I630" s="47"/>
      <c r="J630" s="48"/>
      <c r="K630" s="48"/>
      <c r="L630" s="49"/>
      <c r="M630" s="49"/>
      <c r="N630" s="50"/>
      <c r="O630" s="51"/>
      <c r="P630" s="52"/>
      <c r="Q630" s="53"/>
      <c r="R630" s="77"/>
      <c r="S630" s="78"/>
      <c r="T630" s="56"/>
      <c r="U630" s="80"/>
      <c r="V630" s="56"/>
      <c r="W630" s="56"/>
      <c r="X630" s="80"/>
      <c r="Y630" s="57"/>
      <c r="Z630" s="58"/>
      <c r="AA630" s="82"/>
      <c r="AB630" s="83"/>
      <c r="AC630" s="83"/>
      <c r="AD630" s="77"/>
      <c r="AE630" s="84"/>
      <c r="AF630" s="84"/>
      <c r="AG630" s="62"/>
      <c r="AH630" s="63"/>
    </row>
    <row r="631" spans="1:36" s="88" customFormat="1" ht="16.5" thickTop="1" thickBot="1">
      <c r="A631" s="41"/>
      <c r="B631" s="42"/>
      <c r="C631" s="43"/>
      <c r="D631" s="44"/>
      <c r="E631" s="45"/>
      <c r="F631" s="46"/>
      <c r="G631" s="45"/>
      <c r="H631" s="45"/>
      <c r="I631" s="47"/>
      <c r="J631" s="48"/>
      <c r="K631" s="48"/>
      <c r="L631" s="49"/>
      <c r="M631" s="49"/>
      <c r="N631" s="50"/>
      <c r="O631" s="51"/>
      <c r="P631" s="52"/>
      <c r="Q631" s="53"/>
      <c r="R631" s="77"/>
      <c r="S631" s="78"/>
      <c r="T631" s="56"/>
      <c r="U631" s="80"/>
      <c r="V631" s="56"/>
      <c r="W631" s="56"/>
      <c r="X631" s="80"/>
      <c r="Y631" s="57"/>
      <c r="Z631" s="58"/>
      <c r="AA631" s="82"/>
      <c r="AB631" s="83"/>
      <c r="AC631" s="83"/>
      <c r="AD631" s="77"/>
      <c r="AE631" s="84"/>
      <c r="AF631" s="84"/>
      <c r="AG631" s="62"/>
      <c r="AH631" s="63"/>
    </row>
    <row r="632" spans="1:36" s="88" customFormat="1" ht="16.5" thickTop="1" thickBot="1">
      <c r="A632" s="41"/>
      <c r="B632" s="42"/>
      <c r="C632" s="43"/>
      <c r="D632" s="44"/>
      <c r="E632" s="45"/>
      <c r="F632" s="46"/>
      <c r="G632" s="45"/>
      <c r="H632" s="45"/>
      <c r="I632" s="47"/>
      <c r="J632" s="48"/>
      <c r="K632" s="48"/>
      <c r="L632" s="49"/>
      <c r="M632" s="49"/>
      <c r="N632" s="50"/>
      <c r="O632" s="51"/>
      <c r="P632" s="52"/>
      <c r="Q632" s="53"/>
      <c r="R632" s="77"/>
      <c r="S632" s="78"/>
      <c r="T632" s="56"/>
      <c r="U632" s="80"/>
      <c r="V632" s="56"/>
      <c r="W632" s="56"/>
      <c r="X632" s="80"/>
      <c r="Y632" s="57"/>
      <c r="Z632" s="58"/>
      <c r="AA632" s="82"/>
      <c r="AB632" s="83"/>
      <c r="AC632" s="83"/>
      <c r="AD632" s="77"/>
      <c r="AE632" s="84"/>
      <c r="AF632" s="84"/>
      <c r="AG632" s="62"/>
      <c r="AH632" s="63"/>
    </row>
    <row r="633" spans="1:36" s="88" customFormat="1" ht="16.5" thickTop="1" thickBot="1">
      <c r="A633" s="41"/>
      <c r="B633" s="42"/>
      <c r="C633" s="43"/>
      <c r="D633" s="44"/>
      <c r="E633" s="45"/>
      <c r="F633" s="46"/>
      <c r="G633" s="45"/>
      <c r="H633" s="45"/>
      <c r="I633" s="47"/>
      <c r="J633" s="48"/>
      <c r="K633" s="48"/>
      <c r="L633" s="49"/>
      <c r="M633" s="49"/>
      <c r="N633" s="50"/>
      <c r="O633" s="51"/>
      <c r="P633" s="52"/>
      <c r="Q633" s="53"/>
      <c r="R633" s="77"/>
      <c r="S633" s="78"/>
      <c r="T633" s="56"/>
      <c r="U633" s="80"/>
      <c r="V633" s="56"/>
      <c r="W633" s="56"/>
      <c r="X633" s="80"/>
      <c r="Y633" s="57"/>
      <c r="Z633" s="58"/>
      <c r="AA633" s="82"/>
      <c r="AB633" s="83"/>
      <c r="AC633" s="83"/>
      <c r="AD633" s="77"/>
      <c r="AE633" s="84"/>
      <c r="AF633" s="84"/>
      <c r="AG633" s="62"/>
      <c r="AH633" s="63"/>
    </row>
    <row r="634" spans="1:36" s="88" customFormat="1" ht="16.5" thickTop="1" thickBot="1">
      <c r="A634" s="41"/>
      <c r="B634" s="42"/>
      <c r="C634" s="43"/>
      <c r="D634" s="44"/>
      <c r="E634" s="45"/>
      <c r="F634" s="46"/>
      <c r="G634" s="45"/>
      <c r="H634" s="45"/>
      <c r="I634" s="47"/>
      <c r="J634" s="48"/>
      <c r="K634" s="48"/>
      <c r="L634" s="49"/>
      <c r="M634" s="49"/>
      <c r="N634" s="50"/>
      <c r="O634" s="51"/>
      <c r="P634" s="52"/>
      <c r="Q634" s="53"/>
      <c r="R634" s="77"/>
      <c r="S634" s="78"/>
      <c r="T634" s="56"/>
      <c r="U634" s="80"/>
      <c r="V634" s="56"/>
      <c r="W634" s="56"/>
      <c r="X634" s="80"/>
      <c r="Y634" s="57"/>
      <c r="Z634" s="58"/>
      <c r="AA634" s="82"/>
      <c r="AB634" s="83"/>
      <c r="AC634" s="83"/>
      <c r="AD634" s="77"/>
      <c r="AE634" s="84"/>
      <c r="AF634" s="84"/>
      <c r="AG634" s="62"/>
      <c r="AH634" s="63"/>
      <c r="AI634" s="87"/>
      <c r="AJ634" s="87"/>
    </row>
    <row r="635" spans="1:36" s="88" customFormat="1" ht="16.5" thickTop="1" thickBot="1">
      <c r="A635" s="41"/>
      <c r="B635" s="42"/>
      <c r="C635" s="43"/>
      <c r="D635" s="44"/>
      <c r="E635" s="45"/>
      <c r="F635" s="46"/>
      <c r="G635" s="45"/>
      <c r="H635" s="45"/>
      <c r="I635" s="47"/>
      <c r="J635" s="48"/>
      <c r="K635" s="48"/>
      <c r="L635" s="49"/>
      <c r="M635" s="49"/>
      <c r="N635" s="50"/>
      <c r="O635" s="51"/>
      <c r="P635" s="52"/>
      <c r="Q635" s="53"/>
      <c r="R635" s="77"/>
      <c r="S635" s="78"/>
      <c r="T635" s="56"/>
      <c r="U635" s="80"/>
      <c r="V635" s="56"/>
      <c r="W635" s="56"/>
      <c r="X635" s="80"/>
      <c r="Y635" s="57"/>
      <c r="Z635" s="58"/>
      <c r="AA635" s="82"/>
      <c r="AB635" s="83"/>
      <c r="AC635" s="83"/>
      <c r="AD635" s="77"/>
      <c r="AE635" s="84"/>
      <c r="AF635" s="84"/>
      <c r="AG635" s="62"/>
      <c r="AH635" s="63"/>
    </row>
    <row r="636" spans="1:36" s="88" customFormat="1" ht="16.5" thickTop="1" thickBot="1">
      <c r="A636" s="41"/>
      <c r="B636" s="42"/>
      <c r="C636" s="43"/>
      <c r="D636" s="44"/>
      <c r="E636" s="45"/>
      <c r="F636" s="46"/>
      <c r="G636" s="45"/>
      <c r="H636" s="45"/>
      <c r="I636" s="47"/>
      <c r="J636" s="48"/>
      <c r="K636" s="48"/>
      <c r="L636" s="49"/>
      <c r="M636" s="49"/>
      <c r="N636" s="50"/>
      <c r="O636" s="51"/>
      <c r="P636" s="52"/>
      <c r="Q636" s="53"/>
      <c r="R636" s="77"/>
      <c r="S636" s="78"/>
      <c r="T636" s="56"/>
      <c r="U636" s="80"/>
      <c r="V636" s="56"/>
      <c r="W636" s="56"/>
      <c r="X636" s="80"/>
      <c r="Y636" s="57"/>
      <c r="Z636" s="58"/>
      <c r="AA636" s="82"/>
      <c r="AB636" s="83"/>
      <c r="AC636" s="83"/>
      <c r="AD636" s="77"/>
      <c r="AE636" s="84"/>
      <c r="AF636" s="84"/>
      <c r="AG636" s="62"/>
      <c r="AH636" s="63"/>
    </row>
    <row r="637" spans="1:36" s="88" customFormat="1" ht="16.5" thickTop="1" thickBot="1">
      <c r="A637" s="41"/>
      <c r="B637" s="42"/>
      <c r="C637" s="43"/>
      <c r="D637" s="44"/>
      <c r="E637" s="45"/>
      <c r="F637" s="46"/>
      <c r="G637" s="45"/>
      <c r="H637" s="45"/>
      <c r="I637" s="47"/>
      <c r="J637" s="48"/>
      <c r="K637" s="48"/>
      <c r="L637" s="49"/>
      <c r="M637" s="49"/>
      <c r="N637" s="50"/>
      <c r="O637" s="51"/>
      <c r="P637" s="52"/>
      <c r="Q637" s="53"/>
      <c r="R637" s="77"/>
      <c r="S637" s="78"/>
      <c r="T637" s="56"/>
      <c r="U637" s="80"/>
      <c r="V637" s="56"/>
      <c r="W637" s="56"/>
      <c r="X637" s="80"/>
      <c r="Y637" s="57"/>
      <c r="Z637" s="58"/>
      <c r="AA637" s="82"/>
      <c r="AB637" s="83"/>
      <c r="AC637" s="83"/>
      <c r="AD637" s="77"/>
      <c r="AE637" s="84"/>
      <c r="AF637" s="84"/>
      <c r="AG637" s="62"/>
      <c r="AH637" s="63"/>
    </row>
    <row r="638" spans="1:36" s="88" customFormat="1" ht="16.5" thickTop="1" thickBot="1">
      <c r="A638" s="41"/>
      <c r="B638" s="42"/>
      <c r="C638" s="43"/>
      <c r="D638" s="44"/>
      <c r="E638" s="45"/>
      <c r="F638" s="46"/>
      <c r="G638" s="45"/>
      <c r="H638" s="45"/>
      <c r="I638" s="47"/>
      <c r="J638" s="48"/>
      <c r="K638" s="48"/>
      <c r="L638" s="49"/>
      <c r="M638" s="49"/>
      <c r="N638" s="50"/>
      <c r="O638" s="51"/>
      <c r="P638" s="52"/>
      <c r="Q638" s="53"/>
      <c r="R638" s="77"/>
      <c r="S638" s="78"/>
      <c r="T638" s="56"/>
      <c r="U638" s="80"/>
      <c r="V638" s="56"/>
      <c r="W638" s="56"/>
      <c r="X638" s="80"/>
      <c r="Y638" s="57"/>
      <c r="Z638" s="58"/>
      <c r="AA638" s="82"/>
      <c r="AB638" s="83"/>
      <c r="AC638" s="83"/>
      <c r="AD638" s="77"/>
      <c r="AE638" s="84"/>
      <c r="AF638" s="84"/>
      <c r="AG638" s="62"/>
      <c r="AH638" s="63"/>
    </row>
    <row r="639" spans="1:36" s="88" customFormat="1" ht="16.5" thickTop="1" thickBot="1">
      <c r="A639" s="41"/>
      <c r="B639" s="42"/>
      <c r="C639" s="43"/>
      <c r="D639" s="44"/>
      <c r="E639" s="45"/>
      <c r="F639" s="46"/>
      <c r="G639" s="45"/>
      <c r="H639" s="45"/>
      <c r="I639" s="47"/>
      <c r="J639" s="48"/>
      <c r="K639" s="48"/>
      <c r="L639" s="49"/>
      <c r="M639" s="49"/>
      <c r="N639" s="50"/>
      <c r="O639" s="51"/>
      <c r="P639" s="52"/>
      <c r="Q639" s="53"/>
      <c r="R639" s="77"/>
      <c r="S639" s="78"/>
      <c r="T639" s="56"/>
      <c r="U639" s="80"/>
      <c r="V639" s="56"/>
      <c r="W639" s="56"/>
      <c r="X639" s="80"/>
      <c r="Y639" s="57"/>
      <c r="Z639" s="58"/>
      <c r="AA639" s="82"/>
      <c r="AB639" s="83"/>
      <c r="AC639" s="83"/>
      <c r="AD639" s="77"/>
      <c r="AE639" s="84"/>
      <c r="AF639" s="84"/>
      <c r="AG639" s="62"/>
      <c r="AH639" s="63"/>
    </row>
    <row r="640" spans="1:36" s="88" customFormat="1" ht="16.5" thickTop="1" thickBot="1">
      <c r="A640" s="41"/>
      <c r="B640" s="42"/>
      <c r="C640" s="43"/>
      <c r="D640" s="44"/>
      <c r="E640" s="45"/>
      <c r="F640" s="46"/>
      <c r="G640" s="45"/>
      <c r="H640" s="45"/>
      <c r="I640" s="47"/>
      <c r="J640" s="48"/>
      <c r="K640" s="48"/>
      <c r="L640" s="49"/>
      <c r="M640" s="49"/>
      <c r="N640" s="50"/>
      <c r="O640" s="51"/>
      <c r="P640" s="52"/>
      <c r="Q640" s="53"/>
      <c r="R640" s="77"/>
      <c r="S640" s="78"/>
      <c r="T640" s="56"/>
      <c r="U640" s="80"/>
      <c r="V640" s="56"/>
      <c r="W640" s="56"/>
      <c r="X640" s="80"/>
      <c r="Y640" s="57"/>
      <c r="Z640" s="58"/>
      <c r="AA640" s="82"/>
      <c r="AB640" s="83"/>
      <c r="AC640" s="83"/>
      <c r="AD640" s="77"/>
      <c r="AE640" s="84"/>
      <c r="AF640" s="84"/>
      <c r="AG640" s="62"/>
      <c r="AH640" s="63"/>
    </row>
    <row r="641" spans="1:36" s="88" customFormat="1" ht="16.5" thickTop="1" thickBot="1">
      <c r="A641" s="41"/>
      <c r="B641" s="42"/>
      <c r="C641" s="43"/>
      <c r="D641" s="44"/>
      <c r="E641" s="45"/>
      <c r="F641" s="46"/>
      <c r="G641" s="45"/>
      <c r="H641" s="45"/>
      <c r="I641" s="47"/>
      <c r="J641" s="48"/>
      <c r="K641" s="48"/>
      <c r="L641" s="49"/>
      <c r="M641" s="49"/>
      <c r="N641" s="50"/>
      <c r="O641" s="51"/>
      <c r="P641" s="52"/>
      <c r="Q641" s="53"/>
      <c r="R641" s="77"/>
      <c r="S641" s="78"/>
      <c r="T641" s="56"/>
      <c r="U641" s="80"/>
      <c r="V641" s="56"/>
      <c r="W641" s="56"/>
      <c r="X641" s="80"/>
      <c r="Y641" s="57"/>
      <c r="Z641" s="58"/>
      <c r="AA641" s="82"/>
      <c r="AB641" s="83"/>
      <c r="AC641" s="83"/>
      <c r="AD641" s="77"/>
      <c r="AE641" s="84"/>
      <c r="AF641" s="84"/>
      <c r="AG641" s="62"/>
      <c r="AH641" s="63"/>
      <c r="AI641" s="87"/>
      <c r="AJ641" s="87"/>
    </row>
    <row r="642" spans="1:36" s="88" customFormat="1" ht="16.5" thickTop="1" thickBot="1">
      <c r="A642" s="41"/>
      <c r="B642" s="42"/>
      <c r="C642" s="43"/>
      <c r="D642" s="44"/>
      <c r="E642" s="45"/>
      <c r="F642" s="46"/>
      <c r="G642" s="45"/>
      <c r="H642" s="45"/>
      <c r="I642" s="47"/>
      <c r="J642" s="48"/>
      <c r="K642" s="48"/>
      <c r="L642" s="49"/>
      <c r="M642" s="49"/>
      <c r="N642" s="50"/>
      <c r="O642" s="51"/>
      <c r="P642" s="52"/>
      <c r="Q642" s="53"/>
      <c r="R642" s="77"/>
      <c r="S642" s="78"/>
      <c r="T642" s="56"/>
      <c r="U642" s="80"/>
      <c r="V642" s="56"/>
      <c r="W642" s="56"/>
      <c r="X642" s="80"/>
      <c r="Y642" s="57"/>
      <c r="Z642" s="58"/>
      <c r="AA642" s="82"/>
      <c r="AB642" s="83"/>
      <c r="AC642" s="83"/>
      <c r="AD642" s="77"/>
      <c r="AE642" s="84"/>
      <c r="AF642" s="84"/>
      <c r="AG642" s="62"/>
      <c r="AH642" s="63"/>
    </row>
    <row r="643" spans="1:36" s="88" customFormat="1" ht="16.5" thickTop="1" thickBot="1">
      <c r="A643" s="41"/>
      <c r="B643" s="42"/>
      <c r="C643" s="43"/>
      <c r="D643" s="44"/>
      <c r="E643" s="45"/>
      <c r="F643" s="46"/>
      <c r="G643" s="45"/>
      <c r="H643" s="45"/>
      <c r="I643" s="47"/>
      <c r="J643" s="48"/>
      <c r="K643" s="48"/>
      <c r="L643" s="49"/>
      <c r="M643" s="49"/>
      <c r="N643" s="50"/>
      <c r="O643" s="51"/>
      <c r="P643" s="52"/>
      <c r="Q643" s="53"/>
      <c r="R643" s="77"/>
      <c r="S643" s="78"/>
      <c r="T643" s="56"/>
      <c r="U643" s="80"/>
      <c r="V643" s="56"/>
      <c r="W643" s="56"/>
      <c r="X643" s="80"/>
      <c r="Y643" s="57"/>
      <c r="Z643" s="58"/>
      <c r="AA643" s="82"/>
      <c r="AB643" s="83"/>
      <c r="AC643" s="83"/>
      <c r="AD643" s="77"/>
      <c r="AE643" s="84"/>
      <c r="AF643" s="84"/>
      <c r="AG643" s="62"/>
      <c r="AH643" s="63"/>
    </row>
    <row r="644" spans="1:36" s="88" customFormat="1" ht="16.5" thickTop="1" thickBot="1">
      <c r="A644" s="41"/>
      <c r="B644" s="42"/>
      <c r="C644" s="43"/>
      <c r="D644" s="44"/>
      <c r="E644" s="45"/>
      <c r="F644" s="46"/>
      <c r="G644" s="45"/>
      <c r="H644" s="45"/>
      <c r="I644" s="47"/>
      <c r="J644" s="48"/>
      <c r="K644" s="48"/>
      <c r="L644" s="49"/>
      <c r="M644" s="49"/>
      <c r="N644" s="50"/>
      <c r="O644" s="51"/>
      <c r="P644" s="52"/>
      <c r="Q644" s="53"/>
      <c r="R644" s="77"/>
      <c r="S644" s="78"/>
      <c r="T644" s="56"/>
      <c r="U644" s="80"/>
      <c r="V644" s="56"/>
      <c r="W644" s="56"/>
      <c r="X644" s="80"/>
      <c r="Y644" s="57"/>
      <c r="Z644" s="58"/>
      <c r="AA644" s="82"/>
      <c r="AB644" s="83"/>
      <c r="AC644" s="83"/>
      <c r="AD644" s="77"/>
      <c r="AE644" s="84"/>
      <c r="AF644" s="84"/>
      <c r="AG644" s="62"/>
      <c r="AH644" s="63"/>
    </row>
    <row r="645" spans="1:36" s="88" customFormat="1" ht="16.5" thickTop="1" thickBot="1">
      <c r="A645" s="41"/>
      <c r="B645" s="42"/>
      <c r="C645" s="43"/>
      <c r="D645" s="44"/>
      <c r="E645" s="45"/>
      <c r="F645" s="46"/>
      <c r="G645" s="45"/>
      <c r="H645" s="45"/>
      <c r="I645" s="47"/>
      <c r="J645" s="48"/>
      <c r="K645" s="48"/>
      <c r="L645" s="49"/>
      <c r="M645" s="49"/>
      <c r="N645" s="50"/>
      <c r="O645" s="51"/>
      <c r="P645" s="52"/>
      <c r="Q645" s="53"/>
      <c r="R645" s="77"/>
      <c r="S645" s="78"/>
      <c r="T645" s="56"/>
      <c r="U645" s="80"/>
      <c r="V645" s="56"/>
      <c r="W645" s="56"/>
      <c r="X645" s="80"/>
      <c r="Y645" s="57"/>
      <c r="Z645" s="58"/>
      <c r="AA645" s="82"/>
      <c r="AB645" s="83"/>
      <c r="AC645" s="83"/>
      <c r="AD645" s="77"/>
      <c r="AE645" s="84"/>
      <c r="AF645" s="84"/>
      <c r="AG645" s="62"/>
      <c r="AH645" s="63"/>
    </row>
    <row r="646" spans="1:36" s="88" customFormat="1" ht="16.5" thickTop="1" thickBot="1">
      <c r="A646" s="41"/>
      <c r="B646" s="42"/>
      <c r="C646" s="43"/>
      <c r="D646" s="44"/>
      <c r="E646" s="45"/>
      <c r="F646" s="46"/>
      <c r="G646" s="45"/>
      <c r="H646" s="45"/>
      <c r="I646" s="47"/>
      <c r="J646" s="48"/>
      <c r="K646" s="48"/>
      <c r="L646" s="49"/>
      <c r="M646" s="49"/>
      <c r="N646" s="50"/>
      <c r="O646" s="51"/>
      <c r="P646" s="52"/>
      <c r="Q646" s="53"/>
      <c r="R646" s="77"/>
      <c r="S646" s="78"/>
      <c r="T646" s="56"/>
      <c r="U646" s="80"/>
      <c r="V646" s="56"/>
      <c r="W646" s="56"/>
      <c r="X646" s="80"/>
      <c r="Y646" s="57"/>
      <c r="Z646" s="58"/>
      <c r="AA646" s="82"/>
      <c r="AB646" s="83"/>
      <c r="AC646" s="83"/>
      <c r="AD646" s="77"/>
      <c r="AE646" s="84"/>
      <c r="AF646" s="84"/>
      <c r="AG646" s="62"/>
      <c r="AH646" s="63"/>
    </row>
    <row r="647" spans="1:36" s="88" customFormat="1" ht="16.5" thickTop="1" thickBot="1">
      <c r="A647" s="41"/>
      <c r="B647" s="42"/>
      <c r="C647" s="43"/>
      <c r="D647" s="44"/>
      <c r="E647" s="45"/>
      <c r="F647" s="46"/>
      <c r="G647" s="45"/>
      <c r="H647" s="45"/>
      <c r="I647" s="47"/>
      <c r="J647" s="48"/>
      <c r="K647" s="48"/>
      <c r="L647" s="49"/>
      <c r="M647" s="49"/>
      <c r="N647" s="50"/>
      <c r="O647" s="51"/>
      <c r="P647" s="52"/>
      <c r="Q647" s="53"/>
      <c r="R647" s="77"/>
      <c r="S647" s="78"/>
      <c r="T647" s="56"/>
      <c r="U647" s="80"/>
      <c r="V647" s="56"/>
      <c r="W647" s="56"/>
      <c r="X647" s="80"/>
      <c r="Y647" s="57"/>
      <c r="Z647" s="58"/>
      <c r="AA647" s="82"/>
      <c r="AB647" s="83"/>
      <c r="AC647" s="83"/>
      <c r="AD647" s="77"/>
      <c r="AE647" s="84"/>
      <c r="AF647" s="84"/>
      <c r="AG647" s="62"/>
      <c r="AH647" s="63"/>
    </row>
    <row r="648" spans="1:36" s="88" customFormat="1" ht="16.5" thickTop="1" thickBot="1">
      <c r="A648" s="41"/>
      <c r="B648" s="42"/>
      <c r="C648" s="43"/>
      <c r="D648" s="44"/>
      <c r="E648" s="45"/>
      <c r="F648" s="46"/>
      <c r="G648" s="45"/>
      <c r="H648" s="45"/>
      <c r="I648" s="47"/>
      <c r="J648" s="48"/>
      <c r="K648" s="48"/>
      <c r="L648" s="49"/>
      <c r="M648" s="49"/>
      <c r="N648" s="50"/>
      <c r="O648" s="51"/>
      <c r="P648" s="52"/>
      <c r="Q648" s="53"/>
      <c r="R648" s="77"/>
      <c r="S648" s="78"/>
      <c r="T648" s="56"/>
      <c r="U648" s="80"/>
      <c r="V648" s="56"/>
      <c r="W648" s="56"/>
      <c r="X648" s="80"/>
      <c r="Y648" s="57"/>
      <c r="Z648" s="58"/>
      <c r="AA648" s="82"/>
      <c r="AB648" s="83"/>
      <c r="AC648" s="83"/>
      <c r="AD648" s="77"/>
      <c r="AE648" s="84"/>
      <c r="AF648" s="84"/>
      <c r="AG648" s="62"/>
      <c r="AH648" s="63"/>
    </row>
    <row r="649" spans="1:36" s="88" customFormat="1" ht="16.5" thickTop="1" thickBot="1">
      <c r="A649" s="41"/>
      <c r="B649" s="42"/>
      <c r="C649" s="43"/>
      <c r="D649" s="44"/>
      <c r="E649" s="45"/>
      <c r="F649" s="46"/>
      <c r="G649" s="45"/>
      <c r="H649" s="45"/>
      <c r="I649" s="47"/>
      <c r="J649" s="48"/>
      <c r="K649" s="48"/>
      <c r="L649" s="49"/>
      <c r="M649" s="49"/>
      <c r="N649" s="50"/>
      <c r="O649" s="51"/>
      <c r="P649" s="52"/>
      <c r="Q649" s="53"/>
      <c r="R649" s="77"/>
      <c r="S649" s="78"/>
      <c r="T649" s="56"/>
      <c r="U649" s="80"/>
      <c r="V649" s="56"/>
      <c r="W649" s="56"/>
      <c r="X649" s="80"/>
      <c r="Y649" s="57"/>
      <c r="Z649" s="58"/>
      <c r="AA649" s="82"/>
      <c r="AB649" s="83"/>
      <c r="AC649" s="83"/>
      <c r="AD649" s="77"/>
      <c r="AE649" s="84"/>
      <c r="AF649" s="84"/>
      <c r="AG649" s="62"/>
      <c r="AH649" s="63"/>
    </row>
    <row r="650" spans="1:36" ht="16.5" thickTop="1" thickBot="1">
      <c r="A650" s="41"/>
      <c r="B650" s="42"/>
      <c r="C650" s="43"/>
      <c r="D650" s="44"/>
      <c r="E650" s="45"/>
      <c r="F650" s="46"/>
      <c r="G650" s="45"/>
      <c r="H650" s="45"/>
      <c r="I650" s="47"/>
      <c r="J650" s="48"/>
      <c r="K650" s="48"/>
      <c r="L650" s="49"/>
      <c r="M650" s="49"/>
      <c r="N650" s="50"/>
      <c r="O650" s="51"/>
      <c r="P650" s="52"/>
      <c r="Q650" s="53"/>
      <c r="R650" s="54"/>
      <c r="S650" s="55"/>
      <c r="T650" s="56"/>
      <c r="U650" s="57"/>
      <c r="V650" s="56"/>
      <c r="W650" s="56"/>
      <c r="X650" s="57"/>
      <c r="Y650" s="57"/>
      <c r="Z650" s="58"/>
      <c r="AA650" s="59"/>
      <c r="AB650" s="60"/>
      <c r="AC650" s="60"/>
      <c r="AD650" s="54"/>
      <c r="AE650" s="61"/>
      <c r="AF650" s="61"/>
      <c r="AG650" s="62"/>
      <c r="AH650" s="63"/>
    </row>
    <row r="651" spans="1:36" ht="16.5" thickTop="1" thickBot="1">
      <c r="A651" s="41"/>
      <c r="B651" s="42"/>
      <c r="C651" s="43"/>
      <c r="D651" s="44"/>
      <c r="E651" s="45"/>
      <c r="F651" s="46"/>
      <c r="G651" s="45"/>
      <c r="H651" s="45"/>
      <c r="I651" s="47"/>
      <c r="J651" s="48"/>
      <c r="K651" s="48"/>
      <c r="L651" s="49"/>
      <c r="M651" s="49"/>
      <c r="N651" s="50"/>
      <c r="O651" s="51"/>
      <c r="P651" s="52"/>
      <c r="Q651" s="53"/>
      <c r="R651" s="54"/>
      <c r="S651" s="55"/>
      <c r="T651" s="56"/>
      <c r="U651" s="57"/>
      <c r="V651" s="56"/>
      <c r="W651" s="56"/>
      <c r="X651" s="57"/>
      <c r="Y651" s="57"/>
      <c r="Z651" s="58"/>
      <c r="AA651" s="59"/>
      <c r="AB651" s="60"/>
      <c r="AC651" s="60"/>
      <c r="AD651" s="54"/>
      <c r="AE651" s="61"/>
      <c r="AF651" s="61"/>
      <c r="AG651" s="62"/>
      <c r="AH651" s="63"/>
    </row>
    <row r="652" spans="1:36" s="88" customFormat="1" ht="16.5" thickTop="1" thickBot="1">
      <c r="A652" s="41"/>
      <c r="B652" s="42"/>
      <c r="C652" s="43"/>
      <c r="D652" s="44"/>
      <c r="E652" s="45"/>
      <c r="F652" s="46"/>
      <c r="G652" s="45"/>
      <c r="H652" s="45"/>
      <c r="I652" s="47"/>
      <c r="J652" s="48"/>
      <c r="K652" s="48"/>
      <c r="L652" s="49"/>
      <c r="M652" s="49"/>
      <c r="N652" s="50"/>
      <c r="O652" s="51"/>
      <c r="P652" s="52"/>
      <c r="Q652" s="53"/>
      <c r="R652" s="77"/>
      <c r="S652" s="78"/>
      <c r="T652" s="56"/>
      <c r="U652" s="80"/>
      <c r="V652" s="56"/>
      <c r="W652" s="56"/>
      <c r="X652" s="80"/>
      <c r="Y652" s="57"/>
      <c r="Z652" s="58"/>
      <c r="AA652" s="82"/>
      <c r="AB652" s="83"/>
      <c r="AC652" s="83"/>
      <c r="AD652" s="77"/>
      <c r="AE652" s="84"/>
      <c r="AF652" s="84"/>
      <c r="AG652" s="62"/>
      <c r="AH652" s="63"/>
      <c r="AI652" s="87"/>
      <c r="AJ652" s="87"/>
    </row>
    <row r="653" spans="1:36" s="88" customFormat="1" ht="16.5" thickTop="1" thickBot="1">
      <c r="A653" s="41"/>
      <c r="B653" s="42"/>
      <c r="C653" s="43"/>
      <c r="D653" s="44"/>
      <c r="E653" s="45"/>
      <c r="F653" s="46"/>
      <c r="G653" s="45"/>
      <c r="H653" s="45"/>
      <c r="I653" s="47"/>
      <c r="J653" s="48"/>
      <c r="K653" s="48"/>
      <c r="L653" s="49"/>
      <c r="M653" s="49"/>
      <c r="N653" s="50"/>
      <c r="O653" s="51"/>
      <c r="P653" s="52"/>
      <c r="Q653" s="53"/>
      <c r="R653" s="77"/>
      <c r="S653" s="78"/>
      <c r="T653" s="56"/>
      <c r="U653" s="80"/>
      <c r="V653" s="56"/>
      <c r="W653" s="56"/>
      <c r="X653" s="80"/>
      <c r="Y653" s="57"/>
      <c r="Z653" s="58"/>
      <c r="AA653" s="82"/>
      <c r="AB653" s="83"/>
      <c r="AC653" s="83"/>
      <c r="AD653" s="77"/>
      <c r="AE653" s="84"/>
      <c r="AF653" s="84"/>
      <c r="AG653" s="62"/>
      <c r="AH653" s="63"/>
    </row>
    <row r="654" spans="1:36" s="88" customFormat="1" ht="16.5" thickTop="1" thickBot="1">
      <c r="A654" s="41"/>
      <c r="B654" s="42"/>
      <c r="C654" s="43"/>
      <c r="D654" s="44"/>
      <c r="E654" s="45"/>
      <c r="F654" s="46"/>
      <c r="G654" s="45"/>
      <c r="H654" s="45"/>
      <c r="I654" s="47"/>
      <c r="J654" s="48"/>
      <c r="K654" s="48"/>
      <c r="L654" s="49"/>
      <c r="M654" s="49"/>
      <c r="N654" s="50"/>
      <c r="O654" s="51"/>
      <c r="P654" s="52"/>
      <c r="Q654" s="53"/>
      <c r="R654" s="77"/>
      <c r="S654" s="78"/>
      <c r="T654" s="56"/>
      <c r="U654" s="80"/>
      <c r="V654" s="56"/>
      <c r="W654" s="56"/>
      <c r="X654" s="80"/>
      <c r="Y654" s="57"/>
      <c r="Z654" s="58"/>
      <c r="AA654" s="82"/>
      <c r="AB654" s="83"/>
      <c r="AC654" s="83"/>
      <c r="AD654" s="77"/>
      <c r="AE654" s="84"/>
      <c r="AF654" s="84"/>
      <c r="AG654" s="62"/>
      <c r="AH654" s="63"/>
      <c r="AI654" s="87"/>
      <c r="AJ654" s="87"/>
    </row>
    <row r="655" spans="1:36" s="88" customFormat="1" ht="16.5" thickTop="1" thickBot="1">
      <c r="A655" s="41"/>
      <c r="B655" s="42"/>
      <c r="C655" s="43"/>
      <c r="D655" s="44"/>
      <c r="E655" s="45"/>
      <c r="F655" s="46"/>
      <c r="G655" s="45"/>
      <c r="H655" s="45"/>
      <c r="I655" s="47"/>
      <c r="J655" s="48"/>
      <c r="K655" s="48"/>
      <c r="L655" s="49"/>
      <c r="M655" s="49"/>
      <c r="N655" s="50"/>
      <c r="O655" s="51"/>
      <c r="P655" s="52"/>
      <c r="Q655" s="53"/>
      <c r="R655" s="77"/>
      <c r="S655" s="78"/>
      <c r="T655" s="56"/>
      <c r="U655" s="80"/>
      <c r="V655" s="56"/>
      <c r="W655" s="56"/>
      <c r="X655" s="80"/>
      <c r="Y655" s="57"/>
      <c r="Z655" s="58"/>
      <c r="AA655" s="82"/>
      <c r="AB655" s="83"/>
      <c r="AC655" s="83"/>
      <c r="AD655" s="77"/>
      <c r="AE655" s="84"/>
      <c r="AF655" s="84"/>
      <c r="AG655" s="62"/>
      <c r="AH655" s="63"/>
    </row>
    <row r="656" spans="1:36" s="88" customFormat="1" ht="16.5" thickTop="1" thickBot="1">
      <c r="A656" s="41"/>
      <c r="B656" s="42"/>
      <c r="C656" s="43"/>
      <c r="D656" s="44"/>
      <c r="E656" s="45"/>
      <c r="F656" s="46"/>
      <c r="G656" s="45"/>
      <c r="H656" s="45"/>
      <c r="I656" s="47"/>
      <c r="J656" s="48"/>
      <c r="K656" s="48"/>
      <c r="L656" s="49"/>
      <c r="M656" s="49"/>
      <c r="N656" s="50"/>
      <c r="O656" s="51"/>
      <c r="P656" s="52"/>
      <c r="Q656" s="53"/>
      <c r="R656" s="77"/>
      <c r="S656" s="78"/>
      <c r="T656" s="56"/>
      <c r="U656" s="80"/>
      <c r="V656" s="56"/>
      <c r="W656" s="56"/>
      <c r="X656" s="80"/>
      <c r="Y656" s="57"/>
      <c r="Z656" s="58"/>
      <c r="AA656" s="82"/>
      <c r="AB656" s="83"/>
      <c r="AC656" s="83"/>
      <c r="AD656" s="77"/>
      <c r="AE656" s="84"/>
      <c r="AF656" s="84"/>
      <c r="AG656" s="62"/>
      <c r="AH656" s="63"/>
    </row>
    <row r="657" spans="1:34" s="111" customFormat="1" ht="16.5" thickTop="1" thickBot="1">
      <c r="A657" s="41"/>
      <c r="B657" s="42"/>
      <c r="C657" s="43"/>
      <c r="D657" s="44"/>
      <c r="E657" s="45"/>
      <c r="F657" s="46"/>
      <c r="G657" s="45"/>
      <c r="H657" s="45"/>
      <c r="I657" s="47"/>
      <c r="J657" s="48"/>
      <c r="K657" s="48"/>
      <c r="L657" s="49"/>
      <c r="M657" s="49"/>
      <c r="N657" s="50"/>
      <c r="O657" s="51"/>
      <c r="P657" s="52"/>
      <c r="Q657" s="53"/>
      <c r="R657" s="105"/>
      <c r="S657" s="106"/>
      <c r="T657" s="56"/>
      <c r="U657" s="107"/>
      <c r="V657" s="56"/>
      <c r="W657" s="56"/>
      <c r="X657" s="107"/>
      <c r="Y657" s="57"/>
      <c r="Z657" s="58"/>
      <c r="AA657" s="108"/>
      <c r="AB657" s="109"/>
      <c r="AC657" s="109"/>
      <c r="AD657" s="105"/>
      <c r="AE657" s="110"/>
      <c r="AF657" s="110"/>
      <c r="AG657" s="62"/>
      <c r="AH657" s="63"/>
    </row>
    <row r="658" spans="1:34" ht="16.5" thickTop="1" thickBot="1">
      <c r="A658" s="41"/>
      <c r="B658" s="42"/>
      <c r="C658" s="43"/>
      <c r="D658" s="44"/>
      <c r="E658" s="45"/>
      <c r="F658" s="46"/>
      <c r="G658" s="45"/>
      <c r="H658" s="45"/>
      <c r="I658" s="47"/>
      <c r="J658" s="48"/>
      <c r="K658" s="48"/>
      <c r="L658" s="49"/>
      <c r="M658" s="49"/>
      <c r="N658" s="50"/>
      <c r="O658" s="51"/>
      <c r="P658" s="52"/>
      <c r="Q658" s="53"/>
      <c r="R658" s="54"/>
      <c r="S658" s="55"/>
      <c r="T658" s="56"/>
      <c r="U658" s="57"/>
      <c r="V658" s="56"/>
      <c r="W658" s="56"/>
      <c r="X658" s="57"/>
      <c r="Y658" s="57"/>
      <c r="Z658" s="58"/>
      <c r="AA658" s="59"/>
      <c r="AB658" s="60"/>
      <c r="AC658" s="60"/>
      <c r="AD658" s="54"/>
      <c r="AE658" s="61"/>
      <c r="AF658" s="61"/>
      <c r="AG658" s="62"/>
      <c r="AH658" s="63"/>
    </row>
    <row r="659" spans="1:34" s="88" customFormat="1" ht="16.5" thickTop="1" thickBot="1">
      <c r="A659" s="41"/>
      <c r="B659" s="42"/>
      <c r="C659" s="43"/>
      <c r="D659" s="44"/>
      <c r="E659" s="45"/>
      <c r="F659" s="46"/>
      <c r="G659" s="45"/>
      <c r="H659" s="45"/>
      <c r="I659" s="47"/>
      <c r="J659" s="48"/>
      <c r="K659" s="48"/>
      <c r="L659" s="49"/>
      <c r="M659" s="49"/>
      <c r="N659" s="50"/>
      <c r="O659" s="51"/>
      <c r="P659" s="52"/>
      <c r="Q659" s="53"/>
      <c r="R659" s="77"/>
      <c r="S659" s="78"/>
      <c r="T659" s="56"/>
      <c r="U659" s="80"/>
      <c r="V659" s="56"/>
      <c r="W659" s="56"/>
      <c r="X659" s="80"/>
      <c r="Y659" s="57"/>
      <c r="Z659" s="58"/>
      <c r="AA659" s="82"/>
      <c r="AB659" s="83"/>
      <c r="AC659" s="83"/>
      <c r="AD659" s="77"/>
      <c r="AE659" s="84"/>
      <c r="AF659" s="84"/>
      <c r="AG659" s="62"/>
      <c r="AH659" s="63"/>
    </row>
    <row r="660" spans="1:34" s="88" customFormat="1" ht="16.5" thickTop="1" thickBot="1">
      <c r="A660" s="41"/>
      <c r="B660" s="42"/>
      <c r="C660" s="43"/>
      <c r="D660" s="44"/>
      <c r="E660" s="45"/>
      <c r="F660" s="46"/>
      <c r="G660" s="45"/>
      <c r="H660" s="45"/>
      <c r="I660" s="47"/>
      <c r="J660" s="48"/>
      <c r="K660" s="48"/>
      <c r="L660" s="49"/>
      <c r="M660" s="49"/>
      <c r="N660" s="50"/>
      <c r="O660" s="51"/>
      <c r="P660" s="52"/>
      <c r="Q660" s="53"/>
      <c r="R660" s="77"/>
      <c r="S660" s="78"/>
      <c r="T660" s="56"/>
      <c r="U660" s="80"/>
      <c r="V660" s="56"/>
      <c r="W660" s="56"/>
      <c r="X660" s="80"/>
      <c r="Y660" s="57"/>
      <c r="Z660" s="58"/>
      <c r="AA660" s="82"/>
      <c r="AB660" s="83"/>
      <c r="AC660" s="83"/>
      <c r="AD660" s="77"/>
      <c r="AE660" s="84"/>
      <c r="AF660" s="84"/>
      <c r="AG660" s="62"/>
      <c r="AH660" s="63"/>
    </row>
    <row r="661" spans="1:34" ht="16.5" thickTop="1" thickBot="1">
      <c r="A661" s="41"/>
      <c r="B661" s="42"/>
      <c r="C661" s="43"/>
      <c r="D661" s="44"/>
      <c r="E661" s="45"/>
      <c r="F661" s="46"/>
      <c r="G661" s="45"/>
      <c r="H661" s="45"/>
      <c r="I661" s="47"/>
      <c r="J661" s="48"/>
      <c r="K661" s="48"/>
      <c r="L661" s="49"/>
      <c r="M661" s="49"/>
      <c r="N661" s="50"/>
      <c r="O661" s="51"/>
      <c r="P661" s="52"/>
      <c r="Q661" s="53"/>
      <c r="R661" s="77"/>
      <c r="S661" s="78"/>
      <c r="T661" s="56"/>
      <c r="U661" s="80"/>
      <c r="V661" s="56"/>
      <c r="W661" s="56"/>
      <c r="X661" s="80"/>
      <c r="Y661" s="57"/>
      <c r="Z661" s="58"/>
      <c r="AA661" s="82"/>
      <c r="AB661" s="60"/>
      <c r="AC661" s="60"/>
      <c r="AD661" s="54"/>
      <c r="AE661" s="61"/>
      <c r="AF661" s="61"/>
      <c r="AG661" s="62"/>
      <c r="AH661" s="63"/>
    </row>
    <row r="662" spans="1:34" ht="16.5" thickTop="1" thickBot="1">
      <c r="A662" s="41"/>
      <c r="B662" s="42"/>
      <c r="C662" s="43"/>
      <c r="D662" s="44"/>
      <c r="E662" s="45"/>
      <c r="F662" s="46"/>
      <c r="G662" s="45"/>
      <c r="H662" s="45"/>
      <c r="I662" s="47"/>
      <c r="J662" s="48"/>
      <c r="K662" s="48"/>
      <c r="L662" s="49"/>
      <c r="M662" s="49"/>
      <c r="N662" s="50"/>
      <c r="O662" s="51"/>
      <c r="P662" s="52"/>
      <c r="Q662" s="53"/>
      <c r="R662" s="77"/>
      <c r="S662" s="78"/>
      <c r="T662" s="56"/>
      <c r="U662" s="80"/>
      <c r="V662" s="56"/>
      <c r="W662" s="56"/>
      <c r="X662" s="80"/>
      <c r="Y662" s="57"/>
      <c r="Z662" s="58"/>
      <c r="AA662" s="82"/>
      <c r="AB662" s="60"/>
      <c r="AC662" s="60"/>
      <c r="AD662" s="54"/>
      <c r="AE662" s="61"/>
      <c r="AF662" s="61"/>
      <c r="AG662" s="62"/>
      <c r="AH662" s="63"/>
    </row>
    <row r="663" spans="1:34" ht="16.5" thickTop="1" thickBot="1">
      <c r="A663" s="41"/>
      <c r="B663" s="42"/>
      <c r="C663" s="43"/>
      <c r="D663" s="44"/>
      <c r="E663" s="45"/>
      <c r="F663" s="46"/>
      <c r="G663" s="45"/>
      <c r="H663" s="45"/>
      <c r="I663" s="47"/>
      <c r="J663" s="48"/>
      <c r="K663" s="48"/>
      <c r="L663" s="49"/>
      <c r="M663" s="49"/>
      <c r="N663" s="50"/>
      <c r="O663" s="51"/>
      <c r="P663" s="52"/>
      <c r="Q663" s="53"/>
      <c r="R663" s="77"/>
      <c r="S663" s="78"/>
      <c r="T663" s="56"/>
      <c r="U663" s="80"/>
      <c r="V663" s="56"/>
      <c r="W663" s="56"/>
      <c r="X663" s="80"/>
      <c r="Y663" s="57"/>
      <c r="Z663" s="58"/>
      <c r="AA663" s="82"/>
      <c r="AB663" s="60"/>
      <c r="AC663" s="60"/>
      <c r="AD663" s="54"/>
      <c r="AE663" s="61"/>
      <c r="AF663" s="61"/>
      <c r="AG663" s="62"/>
      <c r="AH663" s="63"/>
    </row>
    <row r="664" spans="1:34" ht="16.5" thickTop="1" thickBot="1">
      <c r="A664" s="41"/>
      <c r="B664" s="42"/>
      <c r="C664" s="43"/>
      <c r="D664" s="44"/>
      <c r="E664" s="45"/>
      <c r="F664" s="46"/>
      <c r="G664" s="45"/>
      <c r="H664" s="45"/>
      <c r="I664" s="47"/>
      <c r="J664" s="48"/>
      <c r="K664" s="48"/>
      <c r="L664" s="49"/>
      <c r="M664" s="49"/>
      <c r="N664" s="50"/>
      <c r="O664" s="51"/>
      <c r="P664" s="52"/>
      <c r="Q664" s="53"/>
      <c r="R664" s="77"/>
      <c r="S664" s="78"/>
      <c r="T664" s="56"/>
      <c r="U664" s="80"/>
      <c r="V664" s="56"/>
      <c r="W664" s="56"/>
      <c r="X664" s="80"/>
      <c r="Y664" s="57"/>
      <c r="Z664" s="58"/>
      <c r="AA664" s="82"/>
      <c r="AB664" s="60"/>
      <c r="AC664" s="60"/>
      <c r="AD664" s="54"/>
      <c r="AE664" s="61"/>
      <c r="AF664" s="61"/>
      <c r="AG664" s="62"/>
      <c r="AH664" s="63"/>
    </row>
    <row r="665" spans="1:34" ht="16.5" thickTop="1" thickBot="1">
      <c r="A665" s="41"/>
      <c r="B665" s="42"/>
      <c r="C665" s="43"/>
      <c r="D665" s="44"/>
      <c r="E665" s="45"/>
      <c r="F665" s="46"/>
      <c r="G665" s="45"/>
      <c r="H665" s="45"/>
      <c r="I665" s="47"/>
      <c r="J665" s="48"/>
      <c r="K665" s="48"/>
      <c r="L665" s="49"/>
      <c r="M665" s="49"/>
      <c r="N665" s="50"/>
      <c r="O665" s="51"/>
      <c r="P665" s="52"/>
      <c r="Q665" s="53"/>
      <c r="R665" s="77"/>
      <c r="S665" s="78"/>
      <c r="T665" s="56"/>
      <c r="U665" s="80"/>
      <c r="V665" s="56"/>
      <c r="W665" s="56"/>
      <c r="X665" s="80"/>
      <c r="Y665" s="57"/>
      <c r="Z665" s="58"/>
      <c r="AA665" s="82"/>
      <c r="AB665" s="60"/>
      <c r="AC665" s="60"/>
      <c r="AD665" s="54"/>
      <c r="AE665" s="61"/>
      <c r="AF665" s="61"/>
      <c r="AG665" s="62"/>
      <c r="AH665" s="63"/>
    </row>
    <row r="666" spans="1:34" ht="16.5" thickTop="1" thickBot="1">
      <c r="A666" s="41"/>
      <c r="B666" s="42"/>
      <c r="C666" s="43"/>
      <c r="D666" s="44"/>
      <c r="E666" s="45"/>
      <c r="F666" s="46"/>
      <c r="G666" s="45"/>
      <c r="H666" s="45"/>
      <c r="I666" s="47"/>
      <c r="J666" s="48"/>
      <c r="K666" s="48"/>
      <c r="L666" s="49"/>
      <c r="M666" s="49"/>
      <c r="N666" s="50"/>
      <c r="O666" s="51"/>
      <c r="P666" s="52"/>
      <c r="Q666" s="53"/>
      <c r="R666" s="77"/>
      <c r="S666" s="78"/>
      <c r="T666" s="56"/>
      <c r="U666" s="80"/>
      <c r="V666" s="56"/>
      <c r="W666" s="56"/>
      <c r="X666" s="80"/>
      <c r="Y666" s="57"/>
      <c r="Z666" s="58"/>
      <c r="AA666" s="82"/>
      <c r="AB666" s="60"/>
      <c r="AC666" s="60"/>
      <c r="AD666" s="54"/>
      <c r="AE666" s="61"/>
      <c r="AF666" s="61"/>
      <c r="AG666" s="62"/>
      <c r="AH666" s="63"/>
    </row>
    <row r="667" spans="1:34" ht="16.5" thickTop="1" thickBot="1">
      <c r="A667" s="41"/>
      <c r="B667" s="42"/>
      <c r="C667" s="43"/>
      <c r="D667" s="44"/>
      <c r="E667" s="45"/>
      <c r="F667" s="46"/>
      <c r="G667" s="45"/>
      <c r="H667" s="45"/>
      <c r="I667" s="47"/>
      <c r="J667" s="48"/>
      <c r="K667" s="48"/>
      <c r="L667" s="49"/>
      <c r="M667" s="49"/>
      <c r="N667" s="50"/>
      <c r="O667" s="51"/>
      <c r="P667" s="52"/>
      <c r="Q667" s="53"/>
      <c r="R667" s="77"/>
      <c r="S667" s="78"/>
      <c r="T667" s="56"/>
      <c r="U667" s="80"/>
      <c r="V667" s="56"/>
      <c r="W667" s="56"/>
      <c r="X667" s="80"/>
      <c r="Y667" s="57"/>
      <c r="Z667" s="58"/>
      <c r="AA667" s="82"/>
      <c r="AB667" s="60"/>
      <c r="AC667" s="60"/>
      <c r="AD667" s="54"/>
      <c r="AE667" s="61"/>
      <c r="AF667" s="61"/>
      <c r="AG667" s="62"/>
      <c r="AH667" s="63"/>
    </row>
    <row r="668" spans="1:34" ht="16.5" thickTop="1" thickBot="1">
      <c r="A668" s="41"/>
      <c r="B668" s="42"/>
      <c r="C668" s="43"/>
      <c r="D668" s="44"/>
      <c r="E668" s="45"/>
      <c r="F668" s="46"/>
      <c r="G668" s="45"/>
      <c r="H668" s="45"/>
      <c r="I668" s="47"/>
      <c r="J668" s="48"/>
      <c r="K668" s="48"/>
      <c r="L668" s="49"/>
      <c r="M668" s="49"/>
      <c r="N668" s="50"/>
      <c r="O668" s="51"/>
      <c r="P668" s="52"/>
      <c r="Q668" s="53"/>
      <c r="R668" s="77"/>
      <c r="S668" s="78"/>
      <c r="T668" s="56"/>
      <c r="U668" s="80"/>
      <c r="V668" s="56"/>
      <c r="W668" s="56"/>
      <c r="X668" s="80"/>
      <c r="Y668" s="57"/>
      <c r="Z668" s="58"/>
      <c r="AA668" s="82"/>
      <c r="AB668" s="60"/>
      <c r="AC668" s="60"/>
      <c r="AD668" s="54"/>
      <c r="AE668" s="61"/>
      <c r="AF668" s="61"/>
      <c r="AG668" s="62"/>
      <c r="AH668" s="63"/>
    </row>
    <row r="669" spans="1:34" ht="16.5" thickTop="1" thickBot="1">
      <c r="A669" s="41"/>
      <c r="B669" s="42"/>
      <c r="C669" s="43"/>
      <c r="D669" s="44"/>
      <c r="E669" s="45"/>
      <c r="F669" s="46"/>
      <c r="G669" s="45"/>
      <c r="H669" s="45"/>
      <c r="I669" s="47"/>
      <c r="J669" s="48"/>
      <c r="K669" s="48"/>
      <c r="L669" s="49"/>
      <c r="M669" s="49"/>
      <c r="N669" s="50"/>
      <c r="O669" s="51"/>
      <c r="P669" s="52"/>
      <c r="Q669" s="53"/>
      <c r="R669" s="77"/>
      <c r="S669" s="78"/>
      <c r="T669" s="56"/>
      <c r="U669" s="80"/>
      <c r="V669" s="56"/>
      <c r="W669" s="56"/>
      <c r="X669" s="80"/>
      <c r="Y669" s="57"/>
      <c r="Z669" s="58"/>
      <c r="AA669" s="82"/>
      <c r="AB669" s="60"/>
      <c r="AC669" s="60"/>
      <c r="AD669" s="54"/>
      <c r="AE669" s="61"/>
      <c r="AF669" s="61"/>
      <c r="AG669" s="62"/>
      <c r="AH669" s="63"/>
    </row>
    <row r="670" spans="1:34" ht="16.5" thickTop="1" thickBot="1">
      <c r="A670" s="41"/>
      <c r="B670" s="42"/>
      <c r="C670" s="43"/>
      <c r="D670" s="44"/>
      <c r="E670" s="45"/>
      <c r="F670" s="46"/>
      <c r="G670" s="45"/>
      <c r="H670" s="45"/>
      <c r="I670" s="47"/>
      <c r="J670" s="48"/>
      <c r="K670" s="48"/>
      <c r="L670" s="49"/>
      <c r="M670" s="49"/>
      <c r="N670" s="50"/>
      <c r="O670" s="51"/>
      <c r="P670" s="52"/>
      <c r="Q670" s="53"/>
      <c r="R670" s="77"/>
      <c r="S670" s="78"/>
      <c r="T670" s="56"/>
      <c r="U670" s="80"/>
      <c r="V670" s="56"/>
      <c r="W670" s="56"/>
      <c r="X670" s="80"/>
      <c r="Y670" s="57"/>
      <c r="Z670" s="58"/>
      <c r="AA670" s="82"/>
      <c r="AB670" s="60"/>
      <c r="AC670" s="60"/>
      <c r="AD670" s="54"/>
      <c r="AE670" s="61"/>
      <c r="AF670" s="61"/>
      <c r="AG670" s="62"/>
      <c r="AH670" s="63"/>
    </row>
    <row r="671" spans="1:34" ht="16.5" thickTop="1" thickBot="1">
      <c r="A671" s="41"/>
      <c r="B671" s="42"/>
      <c r="C671" s="43"/>
      <c r="D671" s="44"/>
      <c r="E671" s="45"/>
      <c r="F671" s="46"/>
      <c r="G671" s="45"/>
      <c r="H671" s="45"/>
      <c r="I671" s="47"/>
      <c r="J671" s="48"/>
      <c r="K671" s="48"/>
      <c r="L671" s="49"/>
      <c r="M671" s="49"/>
      <c r="N671" s="50"/>
      <c r="O671" s="51"/>
      <c r="P671" s="52"/>
      <c r="Q671" s="53"/>
      <c r="R671" s="77"/>
      <c r="S671" s="78"/>
      <c r="T671" s="56"/>
      <c r="U671" s="80"/>
      <c r="V671" s="56"/>
      <c r="W671" s="56"/>
      <c r="X671" s="80"/>
      <c r="Y671" s="57"/>
      <c r="Z671" s="58"/>
      <c r="AA671" s="82"/>
      <c r="AB671" s="60"/>
      <c r="AC671" s="60"/>
      <c r="AD671" s="54"/>
      <c r="AE671" s="61"/>
      <c r="AF671" s="61"/>
      <c r="AG671" s="62"/>
      <c r="AH671" s="63"/>
    </row>
    <row r="672" spans="1:34" s="88" customFormat="1" ht="16.5" thickTop="1" thickBot="1">
      <c r="A672" s="41"/>
      <c r="B672" s="42"/>
      <c r="C672" s="43"/>
      <c r="D672" s="44"/>
      <c r="E672" s="45"/>
      <c r="F672" s="46"/>
      <c r="G672" s="45"/>
      <c r="H672" s="45"/>
      <c r="I672" s="47"/>
      <c r="J672" s="48"/>
      <c r="K672" s="48"/>
      <c r="L672" s="49"/>
      <c r="M672" s="49"/>
      <c r="N672" s="50"/>
      <c r="O672" s="51"/>
      <c r="P672" s="52"/>
      <c r="Q672" s="53"/>
      <c r="R672" s="77"/>
      <c r="S672" s="78"/>
      <c r="T672" s="56"/>
      <c r="U672" s="80"/>
      <c r="V672" s="56"/>
      <c r="W672" s="56"/>
      <c r="X672" s="80"/>
      <c r="Y672" s="57"/>
      <c r="Z672" s="58"/>
      <c r="AA672" s="82"/>
      <c r="AB672" s="83"/>
      <c r="AC672" s="83"/>
      <c r="AD672" s="77"/>
      <c r="AE672" s="84"/>
      <c r="AF672" s="84"/>
      <c r="AG672" s="62"/>
      <c r="AH672" s="63"/>
    </row>
    <row r="673" spans="1:34" s="88" customFormat="1" ht="16.5" thickTop="1" thickBot="1">
      <c r="A673" s="41"/>
      <c r="B673" s="42"/>
      <c r="C673" s="43"/>
      <c r="D673" s="44"/>
      <c r="E673" s="45"/>
      <c r="F673" s="46"/>
      <c r="G673" s="45"/>
      <c r="H673" s="45"/>
      <c r="I673" s="47"/>
      <c r="J673" s="48"/>
      <c r="K673" s="48"/>
      <c r="L673" s="49"/>
      <c r="M673" s="49"/>
      <c r="N673" s="50"/>
      <c r="O673" s="51"/>
      <c r="P673" s="52"/>
      <c r="Q673" s="53"/>
      <c r="R673" s="77"/>
      <c r="S673" s="78"/>
      <c r="T673" s="56"/>
      <c r="U673" s="80"/>
      <c r="V673" s="56"/>
      <c r="W673" s="56"/>
      <c r="X673" s="80"/>
      <c r="Y673" s="57"/>
      <c r="Z673" s="58"/>
      <c r="AA673" s="82"/>
      <c r="AB673" s="83"/>
      <c r="AC673" s="83"/>
      <c r="AD673" s="77"/>
      <c r="AE673" s="84"/>
      <c r="AF673" s="84"/>
      <c r="AG673" s="62"/>
      <c r="AH673" s="63"/>
    </row>
    <row r="674" spans="1:34" s="88" customFormat="1" ht="16.5" thickTop="1" thickBot="1">
      <c r="A674" s="41"/>
      <c r="B674" s="42"/>
      <c r="C674" s="43"/>
      <c r="D674" s="44"/>
      <c r="E674" s="45"/>
      <c r="F674" s="46"/>
      <c r="G674" s="45"/>
      <c r="H674" s="45"/>
      <c r="I674" s="47"/>
      <c r="J674" s="48"/>
      <c r="K674" s="48"/>
      <c r="L674" s="49"/>
      <c r="M674" s="49"/>
      <c r="N674" s="50"/>
      <c r="O674" s="51"/>
      <c r="P674" s="52"/>
      <c r="Q674" s="53"/>
      <c r="R674" s="77"/>
      <c r="S674" s="78"/>
      <c r="T674" s="56"/>
      <c r="U674" s="80"/>
      <c r="V674" s="56"/>
      <c r="W674" s="56"/>
      <c r="X674" s="80"/>
      <c r="Y674" s="57"/>
      <c r="Z674" s="58"/>
      <c r="AA674" s="82"/>
      <c r="AB674" s="83"/>
      <c r="AC674" s="83"/>
      <c r="AD674" s="77"/>
      <c r="AE674" s="84"/>
      <c r="AF674" s="84"/>
      <c r="AG674" s="62"/>
      <c r="AH674" s="63"/>
    </row>
    <row r="675" spans="1:34" s="88" customFormat="1" ht="16.5" thickTop="1" thickBot="1">
      <c r="A675" s="41"/>
      <c r="B675" s="42"/>
      <c r="C675" s="43"/>
      <c r="D675" s="44"/>
      <c r="E675" s="45"/>
      <c r="F675" s="46"/>
      <c r="G675" s="45"/>
      <c r="H675" s="45"/>
      <c r="I675" s="47"/>
      <c r="J675" s="48"/>
      <c r="K675" s="48"/>
      <c r="L675" s="49"/>
      <c r="M675" s="49"/>
      <c r="N675" s="50"/>
      <c r="O675" s="51"/>
      <c r="P675" s="52"/>
      <c r="Q675" s="53"/>
      <c r="R675" s="77"/>
      <c r="S675" s="78"/>
      <c r="T675" s="56"/>
      <c r="U675" s="80"/>
      <c r="V675" s="56"/>
      <c r="W675" s="56"/>
      <c r="X675" s="80"/>
      <c r="Y675" s="57"/>
      <c r="Z675" s="58"/>
      <c r="AA675" s="82"/>
      <c r="AB675" s="83"/>
      <c r="AC675" s="83"/>
      <c r="AD675" s="77"/>
      <c r="AE675" s="84"/>
      <c r="AF675" s="84"/>
      <c r="AG675" s="62"/>
      <c r="AH675" s="63"/>
    </row>
    <row r="676" spans="1:34" ht="16.5" thickTop="1" thickBot="1">
      <c r="A676" s="41"/>
      <c r="B676" s="42"/>
      <c r="C676" s="43"/>
      <c r="D676" s="44"/>
      <c r="E676" s="45"/>
      <c r="F676" s="46"/>
      <c r="G676" s="45"/>
      <c r="H676" s="45"/>
      <c r="I676" s="47"/>
      <c r="J676" s="48"/>
      <c r="K676" s="48"/>
      <c r="L676" s="49"/>
      <c r="M676" s="49"/>
      <c r="N676" s="50"/>
      <c r="O676" s="51"/>
      <c r="P676" s="52"/>
      <c r="Q676" s="53"/>
      <c r="R676" s="77"/>
      <c r="S676" s="78"/>
      <c r="T676" s="56"/>
      <c r="U676" s="80"/>
      <c r="V676" s="56"/>
      <c r="W676" s="56"/>
      <c r="X676" s="80"/>
      <c r="Y676" s="57"/>
      <c r="Z676" s="58"/>
      <c r="AA676" s="82"/>
      <c r="AB676" s="60"/>
      <c r="AC676" s="60"/>
      <c r="AD676" s="54"/>
      <c r="AE676" s="61"/>
      <c r="AF676" s="61"/>
      <c r="AG676" s="62"/>
      <c r="AH676" s="63"/>
    </row>
    <row r="677" spans="1:34" s="88" customFormat="1" ht="16.5" thickTop="1" thickBot="1">
      <c r="A677" s="41"/>
      <c r="B677" s="42"/>
      <c r="C677" s="43"/>
      <c r="D677" s="44"/>
      <c r="E677" s="45"/>
      <c r="F677" s="46"/>
      <c r="G677" s="45"/>
      <c r="H677" s="45"/>
      <c r="I677" s="47"/>
      <c r="J677" s="48"/>
      <c r="K677" s="48"/>
      <c r="L677" s="49"/>
      <c r="M677" s="49"/>
      <c r="N677" s="50"/>
      <c r="O677" s="51"/>
      <c r="P677" s="52"/>
      <c r="Q677" s="53"/>
      <c r="R677" s="77"/>
      <c r="S677" s="78"/>
      <c r="T677" s="56"/>
      <c r="U677" s="80"/>
      <c r="V677" s="56"/>
      <c r="W677" s="56"/>
      <c r="X677" s="80"/>
      <c r="Y677" s="57"/>
      <c r="Z677" s="58"/>
      <c r="AA677" s="82"/>
      <c r="AB677" s="83"/>
      <c r="AC677" s="83"/>
      <c r="AD677" s="77"/>
      <c r="AE677" s="84"/>
      <c r="AF677" s="84"/>
      <c r="AG677" s="62"/>
      <c r="AH677" s="63"/>
    </row>
    <row r="678" spans="1:34" s="88" customFormat="1" ht="16.5" thickTop="1" thickBot="1">
      <c r="A678" s="41"/>
      <c r="B678" s="42"/>
      <c r="C678" s="43"/>
      <c r="D678" s="44"/>
      <c r="E678" s="45"/>
      <c r="F678" s="46"/>
      <c r="G678" s="45"/>
      <c r="H678" s="45"/>
      <c r="I678" s="47"/>
      <c r="J678" s="48"/>
      <c r="K678" s="48"/>
      <c r="L678" s="49"/>
      <c r="M678" s="49"/>
      <c r="N678" s="50"/>
      <c r="O678" s="51"/>
      <c r="P678" s="52"/>
      <c r="Q678" s="53"/>
      <c r="R678" s="77"/>
      <c r="S678" s="78"/>
      <c r="T678" s="56"/>
      <c r="U678" s="80"/>
      <c r="V678" s="56"/>
      <c r="W678" s="56"/>
      <c r="X678" s="80"/>
      <c r="Y678" s="57"/>
      <c r="Z678" s="58"/>
      <c r="AA678" s="82"/>
      <c r="AB678" s="83"/>
      <c r="AC678" s="83"/>
      <c r="AD678" s="77"/>
      <c r="AE678" s="84"/>
      <c r="AF678" s="84"/>
      <c r="AG678" s="62"/>
      <c r="AH678" s="63"/>
    </row>
    <row r="679" spans="1:34" ht="16.5" thickTop="1" thickBot="1">
      <c r="A679" s="41"/>
      <c r="B679" s="42"/>
      <c r="C679" s="43"/>
      <c r="D679" s="44"/>
      <c r="E679" s="45"/>
      <c r="F679" s="46"/>
      <c r="G679" s="45"/>
      <c r="H679" s="45"/>
      <c r="I679" s="47"/>
      <c r="J679" s="48"/>
      <c r="K679" s="48"/>
      <c r="L679" s="49"/>
      <c r="M679" s="49"/>
      <c r="N679" s="50"/>
      <c r="O679" s="51"/>
      <c r="P679" s="52"/>
      <c r="Q679" s="53"/>
      <c r="R679" s="77"/>
      <c r="S679" s="78"/>
      <c r="T679" s="56"/>
      <c r="U679" s="80"/>
      <c r="V679" s="56"/>
      <c r="W679" s="56"/>
      <c r="X679" s="80"/>
      <c r="Y679" s="57"/>
      <c r="Z679" s="58"/>
      <c r="AA679" s="82"/>
      <c r="AB679" s="60"/>
      <c r="AC679" s="60"/>
      <c r="AD679" s="54"/>
      <c r="AE679" s="61"/>
      <c r="AF679" s="61"/>
      <c r="AG679" s="62"/>
      <c r="AH679" s="63"/>
    </row>
    <row r="680" spans="1:34" ht="16.5" thickTop="1" thickBot="1">
      <c r="A680" s="41"/>
      <c r="B680" s="42"/>
      <c r="C680" s="43"/>
      <c r="D680" s="44"/>
      <c r="E680" s="45"/>
      <c r="F680" s="46"/>
      <c r="G680" s="45"/>
      <c r="H680" s="45"/>
      <c r="I680" s="47"/>
      <c r="J680" s="48"/>
      <c r="K680" s="48"/>
      <c r="L680" s="49"/>
      <c r="M680" s="49"/>
      <c r="N680" s="50"/>
      <c r="O680" s="51"/>
      <c r="P680" s="52"/>
      <c r="Q680" s="53"/>
      <c r="R680" s="77"/>
      <c r="S680" s="78"/>
      <c r="T680" s="56"/>
      <c r="U680" s="80"/>
      <c r="V680" s="56"/>
      <c r="W680" s="56"/>
      <c r="X680" s="80"/>
      <c r="Y680" s="57"/>
      <c r="Z680" s="58"/>
      <c r="AA680" s="82"/>
      <c r="AB680" s="60"/>
      <c r="AC680" s="60"/>
      <c r="AD680" s="54"/>
      <c r="AE680" s="61"/>
      <c r="AF680" s="61"/>
      <c r="AG680" s="62"/>
      <c r="AH680" s="63"/>
    </row>
    <row r="681" spans="1:34" ht="16.5" thickTop="1" thickBot="1">
      <c r="A681" s="41"/>
      <c r="B681" s="42"/>
      <c r="C681" s="43"/>
      <c r="D681" s="44"/>
      <c r="E681" s="45"/>
      <c r="F681" s="46"/>
      <c r="G681" s="45"/>
      <c r="H681" s="45"/>
      <c r="I681" s="47"/>
      <c r="J681" s="48"/>
      <c r="K681" s="48"/>
      <c r="L681" s="49"/>
      <c r="M681" s="49"/>
      <c r="N681" s="50"/>
      <c r="O681" s="51"/>
      <c r="P681" s="52"/>
      <c r="Q681" s="53"/>
      <c r="R681" s="77"/>
      <c r="S681" s="78"/>
      <c r="T681" s="56"/>
      <c r="U681" s="80"/>
      <c r="V681" s="56"/>
      <c r="W681" s="56"/>
      <c r="X681" s="80"/>
      <c r="Y681" s="57"/>
      <c r="Z681" s="58"/>
      <c r="AA681" s="82"/>
      <c r="AB681" s="60"/>
      <c r="AC681" s="60"/>
      <c r="AD681" s="54"/>
      <c r="AE681" s="61"/>
      <c r="AF681" s="61"/>
      <c r="AG681" s="62"/>
      <c r="AH681" s="63"/>
    </row>
    <row r="682" spans="1:34" s="88" customFormat="1" ht="16.5" thickTop="1" thickBot="1">
      <c r="A682" s="41"/>
      <c r="B682" s="42"/>
      <c r="C682" s="43"/>
      <c r="D682" s="44"/>
      <c r="E682" s="45"/>
      <c r="F682" s="46"/>
      <c r="G682" s="45"/>
      <c r="H682" s="45"/>
      <c r="I682" s="47"/>
      <c r="J682" s="48"/>
      <c r="K682" s="48"/>
      <c r="L682" s="49"/>
      <c r="M682" s="49"/>
      <c r="N682" s="50"/>
      <c r="O682" s="51"/>
      <c r="P682" s="52"/>
      <c r="Q682" s="53"/>
      <c r="R682" s="77"/>
      <c r="S682" s="78"/>
      <c r="T682" s="56"/>
      <c r="U682" s="80"/>
      <c r="V682" s="56"/>
      <c r="W682" s="56"/>
      <c r="X682" s="80"/>
      <c r="Y682" s="57"/>
      <c r="Z682" s="58"/>
      <c r="AA682" s="82"/>
      <c r="AB682" s="83"/>
      <c r="AC682" s="83"/>
      <c r="AD682" s="77"/>
      <c r="AE682" s="84"/>
      <c r="AF682" s="84"/>
      <c r="AG682" s="62"/>
      <c r="AH682" s="63"/>
    </row>
    <row r="683" spans="1:34" ht="16.5" thickTop="1" thickBot="1">
      <c r="A683" s="41"/>
      <c r="B683" s="42"/>
      <c r="C683" s="43"/>
      <c r="D683" s="44"/>
      <c r="E683" s="45"/>
      <c r="F683" s="46"/>
      <c r="G683" s="45"/>
      <c r="H683" s="45"/>
      <c r="I683" s="47"/>
      <c r="J683" s="48"/>
      <c r="K683" s="48"/>
      <c r="L683" s="49"/>
      <c r="M683" s="49"/>
      <c r="N683" s="50"/>
      <c r="O683" s="51"/>
      <c r="P683" s="52"/>
      <c r="Q683" s="53"/>
      <c r="R683" s="77"/>
      <c r="S683" s="78"/>
      <c r="T683" s="56"/>
      <c r="U683" s="80"/>
      <c r="V683" s="56"/>
      <c r="W683" s="56"/>
      <c r="X683" s="80"/>
      <c r="Y683" s="57"/>
      <c r="Z683" s="58"/>
      <c r="AA683" s="82"/>
      <c r="AB683" s="60"/>
      <c r="AC683" s="60"/>
      <c r="AD683" s="54"/>
      <c r="AE683" s="61"/>
      <c r="AF683" s="61"/>
      <c r="AG683" s="62"/>
      <c r="AH683" s="63"/>
    </row>
    <row r="684" spans="1:34" s="88" customFormat="1" ht="16.5" thickTop="1" thickBot="1">
      <c r="A684" s="41"/>
      <c r="B684" s="42"/>
      <c r="C684" s="43"/>
      <c r="D684" s="44"/>
      <c r="E684" s="45"/>
      <c r="F684" s="46"/>
      <c r="G684" s="45"/>
      <c r="H684" s="45"/>
      <c r="I684" s="47"/>
      <c r="J684" s="48"/>
      <c r="K684" s="48"/>
      <c r="L684" s="49"/>
      <c r="M684" s="49"/>
      <c r="N684" s="50"/>
      <c r="O684" s="51"/>
      <c r="P684" s="52"/>
      <c r="Q684" s="53"/>
      <c r="R684" s="77"/>
      <c r="S684" s="78"/>
      <c r="T684" s="56"/>
      <c r="U684" s="80"/>
      <c r="V684" s="56"/>
      <c r="W684" s="56"/>
      <c r="X684" s="80"/>
      <c r="Y684" s="57"/>
      <c r="Z684" s="58"/>
      <c r="AA684" s="82"/>
      <c r="AB684" s="83"/>
      <c r="AC684" s="83"/>
      <c r="AD684" s="77"/>
      <c r="AE684" s="84"/>
      <c r="AF684" s="84"/>
      <c r="AG684" s="62"/>
      <c r="AH684" s="63"/>
    </row>
    <row r="685" spans="1:34" s="88" customFormat="1" ht="16.5" thickTop="1" thickBot="1">
      <c r="A685" s="41"/>
      <c r="B685" s="42"/>
      <c r="C685" s="43"/>
      <c r="D685" s="44"/>
      <c r="E685" s="45"/>
      <c r="F685" s="46"/>
      <c r="G685" s="45"/>
      <c r="H685" s="45"/>
      <c r="I685" s="47"/>
      <c r="J685" s="48"/>
      <c r="K685" s="48"/>
      <c r="L685" s="49"/>
      <c r="M685" s="49"/>
      <c r="N685" s="50"/>
      <c r="O685" s="51"/>
      <c r="P685" s="52"/>
      <c r="Q685" s="53"/>
      <c r="R685" s="77"/>
      <c r="S685" s="78"/>
      <c r="T685" s="56"/>
      <c r="U685" s="80"/>
      <c r="V685" s="56"/>
      <c r="W685" s="56"/>
      <c r="X685" s="80"/>
      <c r="Y685" s="57"/>
      <c r="Z685" s="58"/>
      <c r="AA685" s="82"/>
      <c r="AB685" s="83"/>
      <c r="AC685" s="83"/>
      <c r="AD685" s="77"/>
      <c r="AE685" s="84"/>
      <c r="AF685" s="84"/>
      <c r="AG685" s="62"/>
      <c r="AH685" s="63"/>
    </row>
    <row r="686" spans="1:34" s="88" customFormat="1" ht="16.5" thickTop="1" thickBot="1">
      <c r="A686" s="41"/>
      <c r="B686" s="42"/>
      <c r="C686" s="43"/>
      <c r="D686" s="44"/>
      <c r="E686" s="45"/>
      <c r="F686" s="46"/>
      <c r="G686" s="45"/>
      <c r="H686" s="45"/>
      <c r="I686" s="47"/>
      <c r="J686" s="48"/>
      <c r="K686" s="48"/>
      <c r="L686" s="49"/>
      <c r="M686" s="49"/>
      <c r="N686" s="50"/>
      <c r="O686" s="51"/>
      <c r="P686" s="52"/>
      <c r="Q686" s="53"/>
      <c r="R686" s="77"/>
      <c r="S686" s="78"/>
      <c r="T686" s="56"/>
      <c r="U686" s="80"/>
      <c r="V686" s="56"/>
      <c r="W686" s="56"/>
      <c r="X686" s="80"/>
      <c r="Y686" s="57"/>
      <c r="Z686" s="58"/>
      <c r="AA686" s="82"/>
      <c r="AB686" s="83"/>
      <c r="AC686" s="83"/>
      <c r="AD686" s="77"/>
      <c r="AE686" s="84"/>
      <c r="AF686" s="84"/>
      <c r="AG686" s="62"/>
      <c r="AH686" s="63"/>
    </row>
    <row r="687" spans="1:34" s="88" customFormat="1" ht="16.5" thickTop="1" thickBot="1">
      <c r="A687" s="41"/>
      <c r="B687" s="42"/>
      <c r="C687" s="43"/>
      <c r="D687" s="44"/>
      <c r="E687" s="45"/>
      <c r="F687" s="46"/>
      <c r="G687" s="45"/>
      <c r="H687" s="45"/>
      <c r="I687" s="47"/>
      <c r="J687" s="48"/>
      <c r="K687" s="48"/>
      <c r="L687" s="49"/>
      <c r="M687" s="49"/>
      <c r="N687" s="50"/>
      <c r="O687" s="51"/>
      <c r="P687" s="52"/>
      <c r="Q687" s="53"/>
      <c r="R687" s="77"/>
      <c r="S687" s="78"/>
      <c r="T687" s="56"/>
      <c r="U687" s="80"/>
      <c r="V687" s="56"/>
      <c r="W687" s="56"/>
      <c r="X687" s="80"/>
      <c r="Y687" s="57"/>
      <c r="Z687" s="58"/>
      <c r="AA687" s="82"/>
      <c r="AB687" s="83"/>
      <c r="AC687" s="83"/>
      <c r="AD687" s="77"/>
      <c r="AE687" s="84"/>
      <c r="AF687" s="84"/>
      <c r="AG687" s="62"/>
      <c r="AH687" s="63"/>
    </row>
    <row r="688" spans="1:34" ht="16.5" thickTop="1" thickBot="1">
      <c r="A688" s="41"/>
      <c r="B688" s="42"/>
      <c r="C688" s="43"/>
      <c r="D688" s="44"/>
      <c r="E688" s="45"/>
      <c r="F688" s="46"/>
      <c r="G688" s="45"/>
      <c r="H688" s="45"/>
      <c r="I688" s="47"/>
      <c r="J688" s="48"/>
      <c r="K688" s="48"/>
      <c r="L688" s="49"/>
      <c r="M688" s="49"/>
      <c r="N688" s="50"/>
      <c r="O688" s="51"/>
      <c r="P688" s="52"/>
      <c r="Q688" s="53"/>
      <c r="R688" s="54"/>
      <c r="S688" s="55"/>
      <c r="T688" s="56"/>
      <c r="U688" s="57"/>
      <c r="V688" s="56"/>
      <c r="W688" s="56"/>
      <c r="X688" s="57"/>
      <c r="Y688" s="57"/>
      <c r="Z688" s="58"/>
      <c r="AA688" s="59"/>
      <c r="AB688" s="60"/>
      <c r="AC688" s="60"/>
      <c r="AD688" s="54"/>
      <c r="AE688" s="61"/>
      <c r="AF688" s="61"/>
      <c r="AG688" s="62"/>
      <c r="AH688" s="63"/>
    </row>
    <row r="689" spans="1:36" ht="16.5" thickTop="1" thickBot="1">
      <c r="A689" s="41"/>
      <c r="B689" s="42"/>
      <c r="C689" s="43"/>
      <c r="D689" s="44"/>
      <c r="E689" s="45"/>
      <c r="F689" s="46"/>
      <c r="G689" s="45"/>
      <c r="H689" s="45"/>
      <c r="I689" s="47"/>
      <c r="J689" s="48"/>
      <c r="K689" s="48"/>
      <c r="L689" s="49"/>
      <c r="M689" s="49"/>
      <c r="N689" s="50"/>
      <c r="O689" s="51"/>
      <c r="P689" s="52"/>
      <c r="Q689" s="53"/>
      <c r="R689" s="54"/>
      <c r="S689" s="55"/>
      <c r="T689" s="56"/>
      <c r="U689" s="57"/>
      <c r="V689" s="56"/>
      <c r="W689" s="56"/>
      <c r="X689" s="57"/>
      <c r="Y689" s="57"/>
      <c r="Z689" s="58"/>
      <c r="AA689" s="59"/>
      <c r="AB689" s="60"/>
      <c r="AC689" s="60"/>
      <c r="AD689" s="54"/>
      <c r="AE689" s="61"/>
      <c r="AF689" s="61"/>
      <c r="AG689" s="62"/>
      <c r="AH689" s="63"/>
      <c r="AI689" s="92"/>
      <c r="AJ689" s="92"/>
    </row>
    <row r="690" spans="1:36" ht="16.5" thickTop="1" thickBot="1">
      <c r="A690" s="41"/>
      <c r="B690" s="42"/>
      <c r="C690" s="43"/>
      <c r="D690" s="44"/>
      <c r="E690" s="45"/>
      <c r="F690" s="46"/>
      <c r="G690" s="45"/>
      <c r="H690" s="45"/>
      <c r="I690" s="47"/>
      <c r="J690" s="48"/>
      <c r="K690" s="48"/>
      <c r="L690" s="49"/>
      <c r="M690" s="49"/>
      <c r="N690" s="50"/>
      <c r="O690" s="51"/>
      <c r="P690" s="52"/>
      <c r="Q690" s="53"/>
      <c r="R690" s="54"/>
      <c r="S690" s="55"/>
      <c r="T690" s="56"/>
      <c r="U690" s="57"/>
      <c r="V690" s="56"/>
      <c r="W690" s="56"/>
      <c r="X690" s="57"/>
      <c r="Y690" s="57"/>
      <c r="Z690" s="58"/>
      <c r="AA690" s="59"/>
      <c r="AB690" s="60"/>
      <c r="AC690" s="60"/>
      <c r="AD690" s="54"/>
      <c r="AE690" s="61"/>
      <c r="AF690" s="61"/>
      <c r="AG690" s="62"/>
      <c r="AH690" s="63"/>
    </row>
    <row r="691" spans="1:36" ht="16.5" thickTop="1" thickBot="1">
      <c r="A691" s="41"/>
      <c r="B691" s="42"/>
      <c r="C691" s="43"/>
      <c r="D691" s="44"/>
      <c r="E691" s="45"/>
      <c r="F691" s="46"/>
      <c r="G691" s="45"/>
      <c r="H691" s="45"/>
      <c r="I691" s="47"/>
      <c r="J691" s="48"/>
      <c r="K691" s="48"/>
      <c r="L691" s="49"/>
      <c r="M691" s="49"/>
      <c r="N691" s="50"/>
      <c r="O691" s="51"/>
      <c r="P691" s="52"/>
      <c r="Q691" s="53"/>
      <c r="R691" s="54"/>
      <c r="S691" s="55"/>
      <c r="T691" s="56"/>
      <c r="U691" s="57"/>
      <c r="V691" s="56"/>
      <c r="W691" s="56"/>
      <c r="X691" s="57"/>
      <c r="Y691" s="57"/>
      <c r="Z691" s="58"/>
      <c r="AA691" s="59"/>
      <c r="AB691" s="60"/>
      <c r="AC691" s="60"/>
      <c r="AD691" s="54"/>
      <c r="AE691" s="61"/>
      <c r="AF691" s="61"/>
      <c r="AG691" s="62"/>
      <c r="AH691" s="63"/>
    </row>
    <row r="692" spans="1:36" ht="16.5" thickTop="1" thickBot="1">
      <c r="A692" s="41"/>
      <c r="B692" s="42"/>
      <c r="C692" s="43"/>
      <c r="D692" s="44"/>
      <c r="E692" s="45"/>
      <c r="F692" s="46"/>
      <c r="G692" s="45"/>
      <c r="H692" s="45"/>
      <c r="I692" s="47"/>
      <c r="J692" s="48"/>
      <c r="K692" s="48"/>
      <c r="L692" s="49"/>
      <c r="M692" s="49"/>
      <c r="N692" s="50"/>
      <c r="O692" s="51"/>
      <c r="P692" s="52"/>
      <c r="Q692" s="53"/>
      <c r="R692" s="54"/>
      <c r="S692" s="55"/>
      <c r="T692" s="56"/>
      <c r="U692" s="57"/>
      <c r="V692" s="56"/>
      <c r="W692" s="56"/>
      <c r="X692" s="57"/>
      <c r="Y692" s="57"/>
      <c r="Z692" s="58"/>
      <c r="AA692" s="59"/>
      <c r="AB692" s="60"/>
      <c r="AC692" s="60"/>
      <c r="AD692" s="54"/>
      <c r="AE692" s="61"/>
      <c r="AF692" s="61"/>
      <c r="AG692" s="62"/>
      <c r="AH692" s="63"/>
      <c r="AI692" s="92"/>
      <c r="AJ692" s="92"/>
    </row>
    <row r="693" spans="1:36" s="88" customFormat="1" ht="16.5" thickTop="1" thickBot="1">
      <c r="A693" s="41"/>
      <c r="B693" s="42"/>
      <c r="C693" s="43"/>
      <c r="D693" s="44"/>
      <c r="E693" s="45"/>
      <c r="F693" s="46"/>
      <c r="G693" s="45"/>
      <c r="H693" s="45"/>
      <c r="I693" s="47"/>
      <c r="J693" s="48"/>
      <c r="K693" s="48"/>
      <c r="L693" s="49"/>
      <c r="M693" s="49"/>
      <c r="N693" s="50"/>
      <c r="O693" s="51"/>
      <c r="P693" s="52"/>
      <c r="Q693" s="53"/>
      <c r="R693" s="77"/>
      <c r="S693" s="78"/>
      <c r="T693" s="56"/>
      <c r="U693" s="80"/>
      <c r="V693" s="56"/>
      <c r="W693" s="56"/>
      <c r="X693" s="80"/>
      <c r="Y693" s="57"/>
      <c r="Z693" s="58"/>
      <c r="AA693" s="82"/>
      <c r="AB693" s="83"/>
      <c r="AC693" s="83"/>
      <c r="AD693" s="77"/>
      <c r="AE693" s="84"/>
      <c r="AF693" s="84"/>
      <c r="AG693" s="62"/>
      <c r="AH693" s="63"/>
    </row>
    <row r="694" spans="1:36" s="88" customFormat="1" ht="16.5" thickTop="1" thickBot="1">
      <c r="A694" s="41"/>
      <c r="B694" s="42"/>
      <c r="C694" s="43"/>
      <c r="D694" s="44"/>
      <c r="E694" s="45"/>
      <c r="F694" s="46"/>
      <c r="G694" s="45"/>
      <c r="H694" s="45"/>
      <c r="I694" s="47"/>
      <c r="J694" s="48"/>
      <c r="K694" s="48"/>
      <c r="L694" s="49"/>
      <c r="M694" s="49"/>
      <c r="N694" s="50"/>
      <c r="O694" s="51"/>
      <c r="P694" s="52"/>
      <c r="Q694" s="53"/>
      <c r="R694" s="77"/>
      <c r="S694" s="78"/>
      <c r="T694" s="56"/>
      <c r="U694" s="80"/>
      <c r="V694" s="56"/>
      <c r="W694" s="56"/>
      <c r="X694" s="80"/>
      <c r="Y694" s="57"/>
      <c r="Z694" s="58"/>
      <c r="AA694" s="82"/>
      <c r="AB694" s="83"/>
      <c r="AC694" s="83"/>
      <c r="AD694" s="77"/>
      <c r="AE694" s="84"/>
      <c r="AF694" s="84"/>
      <c r="AG694" s="62"/>
      <c r="AH694" s="63"/>
      <c r="AI694" s="87"/>
      <c r="AJ694" s="87"/>
    </row>
    <row r="695" spans="1:36" s="88" customFormat="1" ht="16.5" thickTop="1" thickBot="1">
      <c r="A695" s="41"/>
      <c r="B695" s="42"/>
      <c r="C695" s="43"/>
      <c r="D695" s="44"/>
      <c r="E695" s="45"/>
      <c r="F695" s="46"/>
      <c r="G695" s="45"/>
      <c r="H695" s="45"/>
      <c r="I695" s="47"/>
      <c r="J695" s="48"/>
      <c r="K695" s="48"/>
      <c r="L695" s="49"/>
      <c r="M695" s="49"/>
      <c r="N695" s="50"/>
      <c r="O695" s="51"/>
      <c r="P695" s="52"/>
      <c r="Q695" s="53"/>
      <c r="R695" s="77"/>
      <c r="S695" s="78"/>
      <c r="T695" s="56"/>
      <c r="U695" s="80"/>
      <c r="V695" s="56"/>
      <c r="W695" s="56"/>
      <c r="X695" s="80"/>
      <c r="Y695" s="57"/>
      <c r="Z695" s="58"/>
      <c r="AA695" s="82"/>
      <c r="AB695" s="83"/>
      <c r="AC695" s="83"/>
      <c r="AD695" s="77"/>
      <c r="AE695" s="84"/>
      <c r="AF695" s="84"/>
      <c r="AG695" s="62"/>
      <c r="AH695" s="63"/>
    </row>
    <row r="696" spans="1:36" s="88" customFormat="1" ht="16.5" thickTop="1" thickBot="1">
      <c r="A696" s="41"/>
      <c r="B696" s="42"/>
      <c r="C696" s="43"/>
      <c r="D696" s="44"/>
      <c r="E696" s="45"/>
      <c r="F696" s="46"/>
      <c r="G696" s="45"/>
      <c r="H696" s="45"/>
      <c r="I696" s="47"/>
      <c r="J696" s="48"/>
      <c r="K696" s="48"/>
      <c r="L696" s="49"/>
      <c r="M696" s="49"/>
      <c r="N696" s="50"/>
      <c r="O696" s="51"/>
      <c r="P696" s="52"/>
      <c r="Q696" s="53"/>
      <c r="R696" s="77"/>
      <c r="S696" s="78"/>
      <c r="T696" s="56"/>
      <c r="U696" s="80"/>
      <c r="V696" s="56"/>
      <c r="W696" s="56"/>
      <c r="X696" s="80"/>
      <c r="Y696" s="57"/>
      <c r="Z696" s="58"/>
      <c r="AA696" s="82"/>
      <c r="AB696" s="83"/>
      <c r="AC696" s="83"/>
      <c r="AD696" s="77"/>
      <c r="AE696" s="84"/>
      <c r="AF696" s="84"/>
      <c r="AG696" s="62"/>
      <c r="AH696" s="63"/>
    </row>
    <row r="697" spans="1:36" s="88" customFormat="1" ht="16.5" thickTop="1" thickBot="1">
      <c r="A697" s="41"/>
      <c r="B697" s="42"/>
      <c r="C697" s="43"/>
      <c r="D697" s="44"/>
      <c r="E697" s="45"/>
      <c r="F697" s="46"/>
      <c r="G697" s="45"/>
      <c r="H697" s="45"/>
      <c r="I697" s="47"/>
      <c r="J697" s="48"/>
      <c r="K697" s="48"/>
      <c r="L697" s="49"/>
      <c r="M697" s="49"/>
      <c r="N697" s="50"/>
      <c r="O697" s="51"/>
      <c r="P697" s="52"/>
      <c r="Q697" s="53"/>
      <c r="R697" s="77"/>
      <c r="S697" s="78"/>
      <c r="T697" s="56"/>
      <c r="U697" s="80"/>
      <c r="V697" s="56"/>
      <c r="W697" s="56"/>
      <c r="X697" s="80"/>
      <c r="Y697" s="57"/>
      <c r="Z697" s="58"/>
      <c r="AA697" s="82"/>
      <c r="AB697" s="83"/>
      <c r="AC697" s="83"/>
      <c r="AD697" s="77"/>
      <c r="AE697" s="84"/>
      <c r="AF697" s="84"/>
      <c r="AG697" s="62"/>
      <c r="AH697" s="63"/>
    </row>
    <row r="698" spans="1:36" s="88" customFormat="1" ht="16.5" thickTop="1" thickBot="1">
      <c r="A698" s="41"/>
      <c r="B698" s="42"/>
      <c r="C698" s="43"/>
      <c r="D698" s="44"/>
      <c r="E698" s="45"/>
      <c r="F698" s="46"/>
      <c r="G698" s="45"/>
      <c r="H698" s="45"/>
      <c r="I698" s="47"/>
      <c r="J698" s="48"/>
      <c r="K698" s="48"/>
      <c r="L698" s="49"/>
      <c r="M698" s="49"/>
      <c r="N698" s="50"/>
      <c r="O698" s="51"/>
      <c r="P698" s="52"/>
      <c r="Q698" s="53"/>
      <c r="R698" s="77"/>
      <c r="S698" s="78"/>
      <c r="T698" s="56"/>
      <c r="U698" s="80"/>
      <c r="V698" s="56"/>
      <c r="W698" s="56"/>
      <c r="X698" s="80"/>
      <c r="Y698" s="57"/>
      <c r="Z698" s="58"/>
      <c r="AA698" s="82"/>
      <c r="AB698" s="83"/>
      <c r="AC698" s="83"/>
      <c r="AD698" s="77"/>
      <c r="AE698" s="84"/>
      <c r="AF698" s="84"/>
      <c r="AG698" s="62"/>
      <c r="AH698" s="63"/>
    </row>
    <row r="699" spans="1:36" s="88" customFormat="1" ht="16.5" thickTop="1" thickBot="1">
      <c r="A699" s="41"/>
      <c r="B699" s="42"/>
      <c r="C699" s="43"/>
      <c r="D699" s="44"/>
      <c r="E699" s="45"/>
      <c r="F699" s="46"/>
      <c r="G699" s="45"/>
      <c r="H699" s="45"/>
      <c r="I699" s="47"/>
      <c r="J699" s="48"/>
      <c r="K699" s="48"/>
      <c r="L699" s="49"/>
      <c r="M699" s="49"/>
      <c r="N699" s="50"/>
      <c r="O699" s="51"/>
      <c r="P699" s="52"/>
      <c r="Q699" s="53"/>
      <c r="R699" s="77"/>
      <c r="S699" s="78"/>
      <c r="T699" s="56"/>
      <c r="U699" s="80"/>
      <c r="V699" s="56"/>
      <c r="W699" s="56"/>
      <c r="X699" s="80"/>
      <c r="Y699" s="57"/>
      <c r="Z699" s="58"/>
      <c r="AA699" s="82"/>
      <c r="AB699" s="83"/>
      <c r="AC699" s="83"/>
      <c r="AD699" s="77"/>
      <c r="AE699" s="84"/>
      <c r="AF699" s="84"/>
      <c r="AG699" s="62"/>
      <c r="AH699" s="63"/>
    </row>
    <row r="700" spans="1:36" s="88" customFormat="1" ht="16.5" thickTop="1" thickBot="1">
      <c r="A700" s="41"/>
      <c r="B700" s="42"/>
      <c r="C700" s="43"/>
      <c r="D700" s="44"/>
      <c r="E700" s="45"/>
      <c r="F700" s="46"/>
      <c r="G700" s="45"/>
      <c r="H700" s="45"/>
      <c r="I700" s="47"/>
      <c r="J700" s="48"/>
      <c r="K700" s="48"/>
      <c r="L700" s="49"/>
      <c r="M700" s="49"/>
      <c r="N700" s="50"/>
      <c r="O700" s="51"/>
      <c r="P700" s="52"/>
      <c r="Q700" s="53"/>
      <c r="R700" s="77"/>
      <c r="S700" s="78"/>
      <c r="T700" s="56"/>
      <c r="U700" s="80"/>
      <c r="V700" s="56"/>
      <c r="W700" s="56"/>
      <c r="X700" s="80"/>
      <c r="Y700" s="57"/>
      <c r="Z700" s="58"/>
      <c r="AA700" s="82"/>
      <c r="AB700" s="83"/>
      <c r="AC700" s="83"/>
      <c r="AD700" s="77"/>
      <c r="AE700" s="84"/>
      <c r="AF700" s="84"/>
      <c r="AG700" s="62"/>
      <c r="AH700" s="63"/>
    </row>
    <row r="701" spans="1:36" s="88" customFormat="1" ht="16.5" thickTop="1" thickBot="1">
      <c r="A701" s="41"/>
      <c r="B701" s="42"/>
      <c r="C701" s="43"/>
      <c r="D701" s="44"/>
      <c r="E701" s="45"/>
      <c r="F701" s="46"/>
      <c r="G701" s="45"/>
      <c r="H701" s="45"/>
      <c r="I701" s="47"/>
      <c r="J701" s="48"/>
      <c r="K701" s="48"/>
      <c r="L701" s="49"/>
      <c r="M701" s="49"/>
      <c r="N701" s="50"/>
      <c r="O701" s="51"/>
      <c r="P701" s="52"/>
      <c r="Q701" s="53"/>
      <c r="R701" s="77"/>
      <c r="S701" s="78"/>
      <c r="T701" s="56"/>
      <c r="U701" s="80"/>
      <c r="V701" s="56"/>
      <c r="W701" s="56"/>
      <c r="X701" s="80"/>
      <c r="Y701" s="57"/>
      <c r="Z701" s="58"/>
      <c r="AA701" s="82"/>
      <c r="AB701" s="83"/>
      <c r="AC701" s="83"/>
      <c r="AD701" s="77"/>
      <c r="AE701" s="84"/>
      <c r="AF701" s="84"/>
      <c r="AG701" s="62"/>
      <c r="AH701" s="63"/>
      <c r="AI701" s="87"/>
      <c r="AJ701" s="87"/>
    </row>
    <row r="702" spans="1:36" s="88" customFormat="1" ht="16.5" thickTop="1" thickBot="1">
      <c r="A702" s="41"/>
      <c r="B702" s="42"/>
      <c r="C702" s="43"/>
      <c r="D702" s="44"/>
      <c r="E702" s="45"/>
      <c r="F702" s="46"/>
      <c r="G702" s="45"/>
      <c r="H702" s="45"/>
      <c r="I702" s="47"/>
      <c r="J702" s="48"/>
      <c r="K702" s="48"/>
      <c r="L702" s="49"/>
      <c r="M702" s="49"/>
      <c r="N702" s="50"/>
      <c r="O702" s="51"/>
      <c r="P702" s="52"/>
      <c r="Q702" s="53"/>
      <c r="R702" s="77"/>
      <c r="S702" s="78"/>
      <c r="T702" s="56"/>
      <c r="U702" s="80"/>
      <c r="V702" s="56"/>
      <c r="W702" s="56"/>
      <c r="X702" s="80"/>
      <c r="Y702" s="57"/>
      <c r="Z702" s="58"/>
      <c r="AA702" s="82"/>
      <c r="AB702" s="83"/>
      <c r="AC702" s="83"/>
      <c r="AD702" s="77"/>
      <c r="AE702" s="84"/>
      <c r="AF702" s="84"/>
      <c r="AG702" s="62"/>
      <c r="AH702" s="63"/>
    </row>
    <row r="703" spans="1:36" s="88" customFormat="1" ht="16.5" thickTop="1" thickBot="1">
      <c r="A703" s="41"/>
      <c r="B703" s="42"/>
      <c r="C703" s="43"/>
      <c r="D703" s="44"/>
      <c r="E703" s="45"/>
      <c r="F703" s="46"/>
      <c r="G703" s="45"/>
      <c r="H703" s="45"/>
      <c r="I703" s="47"/>
      <c r="J703" s="48"/>
      <c r="K703" s="48"/>
      <c r="L703" s="49"/>
      <c r="M703" s="49"/>
      <c r="N703" s="50"/>
      <c r="O703" s="51"/>
      <c r="P703" s="52"/>
      <c r="Q703" s="53"/>
      <c r="R703" s="77"/>
      <c r="S703" s="78"/>
      <c r="T703" s="56"/>
      <c r="U703" s="80"/>
      <c r="V703" s="56"/>
      <c r="W703" s="56"/>
      <c r="X703" s="80"/>
      <c r="Y703" s="57"/>
      <c r="Z703" s="58"/>
      <c r="AA703" s="82"/>
      <c r="AB703" s="83"/>
      <c r="AC703" s="83"/>
      <c r="AD703" s="77"/>
      <c r="AE703" s="84"/>
      <c r="AF703" s="84"/>
      <c r="AG703" s="62"/>
      <c r="AH703" s="63"/>
    </row>
    <row r="704" spans="1:36" s="88" customFormat="1" ht="16.5" thickTop="1" thickBot="1">
      <c r="A704" s="41"/>
      <c r="B704" s="42"/>
      <c r="C704" s="43"/>
      <c r="D704" s="44"/>
      <c r="E704" s="45"/>
      <c r="F704" s="46"/>
      <c r="G704" s="45"/>
      <c r="H704" s="45"/>
      <c r="I704" s="47"/>
      <c r="J704" s="48"/>
      <c r="K704" s="48"/>
      <c r="L704" s="49"/>
      <c r="M704" s="49"/>
      <c r="N704" s="50"/>
      <c r="O704" s="51"/>
      <c r="P704" s="52"/>
      <c r="Q704" s="53"/>
      <c r="R704" s="77"/>
      <c r="S704" s="78"/>
      <c r="T704" s="56"/>
      <c r="U704" s="80"/>
      <c r="V704" s="56"/>
      <c r="W704" s="56"/>
      <c r="X704" s="80"/>
      <c r="Y704" s="57"/>
      <c r="Z704" s="58"/>
      <c r="AA704" s="82"/>
      <c r="AB704" s="83"/>
      <c r="AC704" s="83"/>
      <c r="AD704" s="77"/>
      <c r="AE704" s="84"/>
      <c r="AF704" s="84"/>
      <c r="AG704" s="62"/>
      <c r="AH704" s="63"/>
    </row>
    <row r="705" spans="1:34" s="88" customFormat="1" ht="16.5" thickTop="1" thickBot="1">
      <c r="A705" s="41"/>
      <c r="B705" s="42"/>
      <c r="C705" s="43"/>
      <c r="D705" s="44"/>
      <c r="E705" s="45"/>
      <c r="F705" s="46"/>
      <c r="G705" s="45"/>
      <c r="H705" s="45"/>
      <c r="I705" s="47"/>
      <c r="J705" s="48"/>
      <c r="K705" s="48"/>
      <c r="L705" s="49"/>
      <c r="M705" s="49"/>
      <c r="N705" s="50"/>
      <c r="O705" s="51"/>
      <c r="P705" s="52"/>
      <c r="Q705" s="53"/>
      <c r="R705" s="77"/>
      <c r="S705" s="78"/>
      <c r="T705" s="56"/>
      <c r="U705" s="80"/>
      <c r="V705" s="56"/>
      <c r="W705" s="56"/>
      <c r="X705" s="80"/>
      <c r="Y705" s="57"/>
      <c r="Z705" s="58"/>
      <c r="AA705" s="82"/>
      <c r="AB705" s="83"/>
      <c r="AC705" s="83"/>
      <c r="AD705" s="77"/>
      <c r="AE705" s="84"/>
      <c r="AF705" s="84"/>
      <c r="AG705" s="62"/>
      <c r="AH705" s="63"/>
    </row>
    <row r="706" spans="1:34" s="88" customFormat="1" ht="16.5" thickTop="1" thickBot="1">
      <c r="A706" s="41"/>
      <c r="B706" s="42"/>
      <c r="C706" s="43"/>
      <c r="D706" s="44"/>
      <c r="E706" s="45"/>
      <c r="F706" s="46"/>
      <c r="G706" s="45"/>
      <c r="H706" s="45"/>
      <c r="I706" s="47"/>
      <c r="J706" s="48"/>
      <c r="K706" s="48"/>
      <c r="L706" s="49"/>
      <c r="M706" s="49"/>
      <c r="N706" s="50"/>
      <c r="O706" s="51"/>
      <c r="P706" s="52"/>
      <c r="Q706" s="53"/>
      <c r="R706" s="77"/>
      <c r="S706" s="78"/>
      <c r="T706" s="56"/>
      <c r="U706" s="80"/>
      <c r="V706" s="56"/>
      <c r="W706" s="56"/>
      <c r="X706" s="80"/>
      <c r="Y706" s="57"/>
      <c r="Z706" s="58"/>
      <c r="AA706" s="82"/>
      <c r="AB706" s="83"/>
      <c r="AC706" s="83"/>
      <c r="AD706" s="77"/>
      <c r="AE706" s="84"/>
      <c r="AF706" s="84"/>
      <c r="AG706" s="62"/>
      <c r="AH706" s="63"/>
    </row>
    <row r="707" spans="1:34" s="88" customFormat="1" ht="16.5" thickTop="1" thickBot="1">
      <c r="A707" s="41"/>
      <c r="B707" s="42"/>
      <c r="C707" s="43"/>
      <c r="D707" s="44"/>
      <c r="E707" s="45"/>
      <c r="F707" s="46"/>
      <c r="G707" s="45"/>
      <c r="H707" s="45"/>
      <c r="I707" s="47"/>
      <c r="J707" s="48"/>
      <c r="K707" s="48"/>
      <c r="L707" s="49"/>
      <c r="M707" s="49"/>
      <c r="N707" s="50"/>
      <c r="O707" s="51"/>
      <c r="P707" s="52"/>
      <c r="Q707" s="53"/>
      <c r="R707" s="77"/>
      <c r="S707" s="78"/>
      <c r="T707" s="56"/>
      <c r="U707" s="80"/>
      <c r="V707" s="56"/>
      <c r="W707" s="56"/>
      <c r="X707" s="80"/>
      <c r="Y707" s="57"/>
      <c r="Z707" s="58"/>
      <c r="AA707" s="82"/>
      <c r="AB707" s="83"/>
      <c r="AC707" s="83"/>
      <c r="AD707" s="77"/>
      <c r="AE707" s="84"/>
      <c r="AF707" s="84"/>
      <c r="AG707" s="62"/>
      <c r="AH707" s="63"/>
    </row>
    <row r="708" spans="1:34" s="88" customFormat="1" ht="16.5" thickTop="1" thickBot="1">
      <c r="A708" s="41"/>
      <c r="B708" s="42"/>
      <c r="C708" s="43"/>
      <c r="D708" s="44"/>
      <c r="E708" s="45"/>
      <c r="F708" s="46"/>
      <c r="G708" s="45"/>
      <c r="H708" s="45"/>
      <c r="I708" s="47"/>
      <c r="J708" s="48"/>
      <c r="K708" s="48"/>
      <c r="L708" s="49"/>
      <c r="M708" s="49"/>
      <c r="N708" s="50"/>
      <c r="O708" s="51"/>
      <c r="P708" s="52"/>
      <c r="Q708" s="53"/>
      <c r="R708" s="77"/>
      <c r="S708" s="78"/>
      <c r="T708" s="56"/>
      <c r="U708" s="80"/>
      <c r="V708" s="56"/>
      <c r="W708" s="56"/>
      <c r="X708" s="80"/>
      <c r="Y708" s="57"/>
      <c r="Z708" s="58"/>
      <c r="AA708" s="82"/>
      <c r="AB708" s="83"/>
      <c r="AC708" s="83"/>
      <c r="AD708" s="77"/>
      <c r="AE708" s="84"/>
      <c r="AF708" s="84"/>
      <c r="AG708" s="62"/>
      <c r="AH708" s="63"/>
    </row>
    <row r="709" spans="1:34" s="88" customFormat="1" ht="16.5" thickTop="1" thickBot="1">
      <c r="A709" s="41"/>
      <c r="B709" s="42"/>
      <c r="C709" s="43"/>
      <c r="D709" s="44"/>
      <c r="E709" s="45"/>
      <c r="F709" s="46"/>
      <c r="G709" s="45"/>
      <c r="H709" s="45"/>
      <c r="I709" s="47"/>
      <c r="J709" s="48"/>
      <c r="K709" s="48"/>
      <c r="L709" s="49"/>
      <c r="M709" s="49"/>
      <c r="N709" s="50"/>
      <c r="O709" s="51"/>
      <c r="P709" s="52"/>
      <c r="Q709" s="53"/>
      <c r="R709" s="77"/>
      <c r="S709" s="78"/>
      <c r="T709" s="56"/>
      <c r="U709" s="80"/>
      <c r="V709" s="56"/>
      <c r="W709" s="56"/>
      <c r="X709" s="80"/>
      <c r="Y709" s="57"/>
      <c r="Z709" s="58"/>
      <c r="AA709" s="82"/>
      <c r="AB709" s="83"/>
      <c r="AC709" s="83"/>
      <c r="AD709" s="77"/>
      <c r="AE709" s="84"/>
      <c r="AF709" s="84"/>
      <c r="AG709" s="62"/>
      <c r="AH709" s="63"/>
    </row>
    <row r="710" spans="1:34" s="88" customFormat="1" ht="16.5" thickTop="1" thickBot="1">
      <c r="A710" s="41"/>
      <c r="B710" s="42"/>
      <c r="C710" s="43"/>
      <c r="D710" s="44"/>
      <c r="E710" s="45"/>
      <c r="F710" s="46"/>
      <c r="G710" s="45"/>
      <c r="H710" s="45"/>
      <c r="I710" s="47"/>
      <c r="J710" s="48"/>
      <c r="K710" s="48"/>
      <c r="L710" s="49"/>
      <c r="M710" s="49"/>
      <c r="N710" s="50"/>
      <c r="O710" s="51"/>
      <c r="P710" s="52"/>
      <c r="Q710" s="53"/>
      <c r="R710" s="77"/>
      <c r="S710" s="78"/>
      <c r="T710" s="56"/>
      <c r="U710" s="80"/>
      <c r="V710" s="56"/>
      <c r="W710" s="56"/>
      <c r="X710" s="80"/>
      <c r="Y710" s="57"/>
      <c r="Z710" s="58"/>
      <c r="AA710" s="82"/>
      <c r="AB710" s="83"/>
      <c r="AC710" s="83"/>
      <c r="AD710" s="77"/>
      <c r="AE710" s="84"/>
      <c r="AF710" s="84"/>
      <c r="AG710" s="62"/>
      <c r="AH710" s="63"/>
    </row>
    <row r="711" spans="1:34" s="88" customFormat="1" ht="16.5" thickTop="1" thickBot="1">
      <c r="A711" s="41"/>
      <c r="B711" s="42"/>
      <c r="C711" s="43"/>
      <c r="D711" s="44"/>
      <c r="E711" s="45"/>
      <c r="F711" s="46"/>
      <c r="G711" s="45"/>
      <c r="H711" s="45"/>
      <c r="I711" s="47"/>
      <c r="J711" s="48"/>
      <c r="K711" s="48"/>
      <c r="L711" s="49"/>
      <c r="M711" s="49"/>
      <c r="N711" s="50"/>
      <c r="O711" s="51"/>
      <c r="P711" s="52"/>
      <c r="Q711" s="53"/>
      <c r="R711" s="77"/>
      <c r="S711" s="78"/>
      <c r="T711" s="56"/>
      <c r="U711" s="80"/>
      <c r="V711" s="56"/>
      <c r="W711" s="56"/>
      <c r="X711" s="80"/>
      <c r="Y711" s="57"/>
      <c r="Z711" s="58"/>
      <c r="AA711" s="82"/>
      <c r="AB711" s="83"/>
      <c r="AC711" s="83"/>
      <c r="AD711" s="77"/>
      <c r="AE711" s="84"/>
      <c r="AF711" s="84"/>
      <c r="AG711" s="62"/>
      <c r="AH711" s="63"/>
    </row>
    <row r="712" spans="1:34" s="88" customFormat="1" ht="16.5" thickTop="1" thickBot="1">
      <c r="A712" s="41"/>
      <c r="B712" s="42"/>
      <c r="C712" s="43"/>
      <c r="D712" s="44"/>
      <c r="E712" s="45"/>
      <c r="F712" s="46"/>
      <c r="G712" s="45"/>
      <c r="H712" s="45"/>
      <c r="I712" s="47"/>
      <c r="J712" s="48"/>
      <c r="K712" s="48"/>
      <c r="L712" s="49"/>
      <c r="M712" s="49"/>
      <c r="N712" s="50"/>
      <c r="O712" s="51"/>
      <c r="P712" s="52"/>
      <c r="Q712" s="53"/>
      <c r="R712" s="77"/>
      <c r="S712" s="78"/>
      <c r="T712" s="56"/>
      <c r="U712" s="80"/>
      <c r="V712" s="56"/>
      <c r="W712" s="56"/>
      <c r="X712" s="80"/>
      <c r="Y712" s="57"/>
      <c r="Z712" s="58"/>
      <c r="AA712" s="82"/>
      <c r="AB712" s="83"/>
      <c r="AC712" s="83"/>
      <c r="AD712" s="77"/>
      <c r="AE712" s="84"/>
      <c r="AF712" s="84"/>
      <c r="AG712" s="62"/>
      <c r="AH712" s="63"/>
    </row>
    <row r="713" spans="1:34" s="88" customFormat="1" ht="16.5" thickTop="1" thickBot="1">
      <c r="A713" s="41"/>
      <c r="B713" s="42"/>
      <c r="C713" s="43"/>
      <c r="D713" s="44"/>
      <c r="E713" s="45"/>
      <c r="F713" s="46"/>
      <c r="G713" s="45"/>
      <c r="H713" s="45"/>
      <c r="I713" s="47"/>
      <c r="J713" s="48"/>
      <c r="K713" s="48"/>
      <c r="L713" s="49"/>
      <c r="M713" s="49"/>
      <c r="N713" s="50"/>
      <c r="O713" s="51"/>
      <c r="P713" s="52"/>
      <c r="Q713" s="53"/>
      <c r="R713" s="77"/>
      <c r="S713" s="78"/>
      <c r="T713" s="56"/>
      <c r="U713" s="80"/>
      <c r="V713" s="56"/>
      <c r="W713" s="56"/>
      <c r="X713" s="80"/>
      <c r="Y713" s="57"/>
      <c r="Z713" s="58"/>
      <c r="AA713" s="82"/>
      <c r="AB713" s="83"/>
      <c r="AC713" s="83"/>
      <c r="AD713" s="77"/>
      <c r="AE713" s="84"/>
      <c r="AF713" s="84"/>
      <c r="AG713" s="62"/>
      <c r="AH713" s="63"/>
    </row>
    <row r="714" spans="1:34" s="88" customFormat="1" ht="16.5" thickTop="1" thickBot="1">
      <c r="A714" s="41"/>
      <c r="B714" s="42"/>
      <c r="C714" s="43"/>
      <c r="D714" s="44"/>
      <c r="E714" s="45"/>
      <c r="F714" s="46"/>
      <c r="G714" s="45"/>
      <c r="H714" s="45"/>
      <c r="I714" s="47"/>
      <c r="J714" s="48"/>
      <c r="K714" s="48"/>
      <c r="L714" s="49"/>
      <c r="M714" s="49"/>
      <c r="N714" s="50"/>
      <c r="O714" s="51"/>
      <c r="P714" s="52"/>
      <c r="Q714" s="53"/>
      <c r="R714" s="77"/>
      <c r="S714" s="78"/>
      <c r="T714" s="56"/>
      <c r="U714" s="80"/>
      <c r="V714" s="56"/>
      <c r="W714" s="56"/>
      <c r="X714" s="80"/>
      <c r="Y714" s="57"/>
      <c r="Z714" s="58"/>
      <c r="AA714" s="82"/>
      <c r="AB714" s="83"/>
      <c r="AC714" s="83"/>
      <c r="AD714" s="77"/>
      <c r="AE714" s="84"/>
      <c r="AF714" s="84"/>
      <c r="AG714" s="62"/>
      <c r="AH714" s="63"/>
    </row>
    <row r="715" spans="1:34" s="88" customFormat="1" ht="16.5" thickTop="1" thickBot="1">
      <c r="A715" s="41"/>
      <c r="B715" s="42"/>
      <c r="C715" s="43"/>
      <c r="D715" s="44"/>
      <c r="E715" s="45"/>
      <c r="F715" s="46"/>
      <c r="G715" s="45"/>
      <c r="H715" s="45"/>
      <c r="I715" s="47"/>
      <c r="J715" s="48"/>
      <c r="K715" s="48"/>
      <c r="L715" s="49"/>
      <c r="M715" s="49"/>
      <c r="N715" s="50"/>
      <c r="O715" s="51"/>
      <c r="P715" s="52"/>
      <c r="Q715" s="53"/>
      <c r="R715" s="77"/>
      <c r="S715" s="78"/>
      <c r="T715" s="56"/>
      <c r="U715" s="80"/>
      <c r="V715" s="56"/>
      <c r="W715" s="56"/>
      <c r="X715" s="80"/>
      <c r="Y715" s="57"/>
      <c r="Z715" s="58"/>
      <c r="AA715" s="82"/>
      <c r="AB715" s="83"/>
      <c r="AC715" s="83"/>
      <c r="AD715" s="77"/>
      <c r="AE715" s="84"/>
      <c r="AF715" s="84"/>
      <c r="AG715" s="62"/>
      <c r="AH715" s="63"/>
    </row>
    <row r="716" spans="1:34" s="88" customFormat="1" ht="16.5" thickTop="1" thickBot="1">
      <c r="A716" s="41"/>
      <c r="B716" s="42"/>
      <c r="C716" s="43"/>
      <c r="D716" s="44"/>
      <c r="E716" s="45"/>
      <c r="F716" s="46"/>
      <c r="G716" s="45"/>
      <c r="H716" s="45"/>
      <c r="I716" s="47"/>
      <c r="J716" s="48"/>
      <c r="K716" s="48"/>
      <c r="L716" s="49"/>
      <c r="M716" s="49"/>
      <c r="N716" s="50"/>
      <c r="O716" s="51"/>
      <c r="P716" s="52"/>
      <c r="Q716" s="53"/>
      <c r="R716" s="77"/>
      <c r="S716" s="78"/>
      <c r="T716" s="56"/>
      <c r="U716" s="80"/>
      <c r="V716" s="56"/>
      <c r="W716" s="56"/>
      <c r="X716" s="80"/>
      <c r="Y716" s="57"/>
      <c r="Z716" s="58"/>
      <c r="AA716" s="82"/>
      <c r="AB716" s="83"/>
      <c r="AC716" s="83"/>
      <c r="AD716" s="77"/>
      <c r="AE716" s="84"/>
      <c r="AF716" s="84"/>
      <c r="AG716" s="62"/>
      <c r="AH716" s="63"/>
    </row>
    <row r="717" spans="1:34" s="88" customFormat="1" ht="16.5" thickTop="1" thickBot="1">
      <c r="A717" s="41"/>
      <c r="B717" s="42"/>
      <c r="C717" s="43"/>
      <c r="D717" s="44"/>
      <c r="E717" s="45"/>
      <c r="F717" s="46"/>
      <c r="G717" s="45"/>
      <c r="H717" s="45"/>
      <c r="I717" s="47"/>
      <c r="J717" s="48"/>
      <c r="K717" s="48"/>
      <c r="L717" s="49"/>
      <c r="M717" s="49"/>
      <c r="N717" s="50"/>
      <c r="O717" s="51"/>
      <c r="P717" s="52"/>
      <c r="Q717" s="53"/>
      <c r="R717" s="77"/>
      <c r="S717" s="78"/>
      <c r="T717" s="56"/>
      <c r="U717" s="80"/>
      <c r="V717" s="56"/>
      <c r="W717" s="56"/>
      <c r="X717" s="80"/>
      <c r="Y717" s="57"/>
      <c r="Z717" s="58"/>
      <c r="AA717" s="82"/>
      <c r="AB717" s="83"/>
      <c r="AC717" s="83"/>
      <c r="AD717" s="77"/>
      <c r="AE717" s="84"/>
      <c r="AF717" s="84"/>
      <c r="AG717" s="62"/>
      <c r="AH717" s="63"/>
    </row>
    <row r="718" spans="1:34" s="88" customFormat="1" ht="16.5" thickTop="1" thickBot="1">
      <c r="A718" s="41"/>
      <c r="B718" s="42"/>
      <c r="C718" s="43"/>
      <c r="D718" s="44"/>
      <c r="E718" s="45"/>
      <c r="F718" s="46"/>
      <c r="G718" s="45"/>
      <c r="H718" s="45"/>
      <c r="I718" s="47"/>
      <c r="J718" s="48"/>
      <c r="K718" s="48"/>
      <c r="L718" s="49"/>
      <c r="M718" s="49"/>
      <c r="N718" s="50"/>
      <c r="O718" s="51"/>
      <c r="P718" s="52"/>
      <c r="Q718" s="53"/>
      <c r="R718" s="77"/>
      <c r="S718" s="78"/>
      <c r="T718" s="56"/>
      <c r="U718" s="80"/>
      <c r="V718" s="56"/>
      <c r="W718" s="56"/>
      <c r="X718" s="80"/>
      <c r="Y718" s="57"/>
      <c r="Z718" s="58"/>
      <c r="AA718" s="82"/>
      <c r="AB718" s="83"/>
      <c r="AC718" s="83"/>
      <c r="AD718" s="77"/>
      <c r="AE718" s="84"/>
      <c r="AF718" s="84"/>
      <c r="AG718" s="62"/>
      <c r="AH718" s="63"/>
    </row>
    <row r="719" spans="1:34" s="88" customFormat="1" ht="16.5" thickTop="1" thickBot="1">
      <c r="A719" s="41"/>
      <c r="B719" s="42"/>
      <c r="C719" s="43"/>
      <c r="D719" s="44"/>
      <c r="E719" s="45"/>
      <c r="F719" s="46"/>
      <c r="G719" s="45"/>
      <c r="H719" s="45"/>
      <c r="I719" s="47"/>
      <c r="J719" s="48"/>
      <c r="K719" s="48"/>
      <c r="L719" s="49"/>
      <c r="M719" s="49"/>
      <c r="N719" s="50"/>
      <c r="O719" s="51"/>
      <c r="P719" s="52"/>
      <c r="Q719" s="53"/>
      <c r="R719" s="77"/>
      <c r="S719" s="78"/>
      <c r="T719" s="56"/>
      <c r="U719" s="80"/>
      <c r="V719" s="56"/>
      <c r="W719" s="56"/>
      <c r="X719" s="80"/>
      <c r="Y719" s="57"/>
      <c r="Z719" s="58"/>
      <c r="AA719" s="82"/>
      <c r="AB719" s="83"/>
      <c r="AC719" s="83"/>
      <c r="AD719" s="77"/>
      <c r="AE719" s="84"/>
      <c r="AF719" s="84"/>
      <c r="AG719" s="62"/>
      <c r="AH719" s="63"/>
    </row>
    <row r="720" spans="1:34" s="88" customFormat="1" ht="16.5" thickTop="1" thickBot="1">
      <c r="A720" s="41"/>
      <c r="B720" s="42"/>
      <c r="C720" s="43"/>
      <c r="D720" s="44"/>
      <c r="E720" s="45"/>
      <c r="F720" s="46"/>
      <c r="G720" s="45"/>
      <c r="H720" s="45"/>
      <c r="I720" s="47"/>
      <c r="J720" s="48"/>
      <c r="K720" s="48"/>
      <c r="L720" s="49"/>
      <c r="M720" s="49"/>
      <c r="N720" s="50"/>
      <c r="O720" s="51"/>
      <c r="P720" s="52"/>
      <c r="Q720" s="53"/>
      <c r="R720" s="77"/>
      <c r="S720" s="78"/>
      <c r="T720" s="56"/>
      <c r="U720" s="80"/>
      <c r="V720" s="56"/>
      <c r="W720" s="56"/>
      <c r="X720" s="80"/>
      <c r="Y720" s="57"/>
      <c r="Z720" s="58"/>
      <c r="AA720" s="82"/>
      <c r="AB720" s="83"/>
      <c r="AC720" s="83"/>
      <c r="AD720" s="77"/>
      <c r="AE720" s="84"/>
      <c r="AF720" s="84"/>
      <c r="AG720" s="62"/>
      <c r="AH720" s="63"/>
    </row>
    <row r="721" spans="1:34" s="88" customFormat="1" ht="16.5" thickTop="1" thickBot="1">
      <c r="A721" s="41"/>
      <c r="B721" s="42"/>
      <c r="C721" s="43"/>
      <c r="D721" s="44"/>
      <c r="E721" s="45"/>
      <c r="F721" s="46"/>
      <c r="G721" s="45"/>
      <c r="H721" s="45"/>
      <c r="I721" s="47"/>
      <c r="J721" s="48"/>
      <c r="K721" s="48"/>
      <c r="L721" s="49"/>
      <c r="M721" s="49"/>
      <c r="N721" s="50"/>
      <c r="O721" s="51"/>
      <c r="P721" s="52"/>
      <c r="Q721" s="53"/>
      <c r="R721" s="77"/>
      <c r="S721" s="78"/>
      <c r="T721" s="56"/>
      <c r="U721" s="80"/>
      <c r="V721" s="56"/>
      <c r="W721" s="56"/>
      <c r="X721" s="80"/>
      <c r="Y721" s="57"/>
      <c r="Z721" s="58"/>
      <c r="AA721" s="82"/>
      <c r="AB721" s="83"/>
      <c r="AC721" s="83"/>
      <c r="AD721" s="77"/>
      <c r="AE721" s="84"/>
      <c r="AF721" s="84"/>
      <c r="AG721" s="62"/>
      <c r="AH721" s="63"/>
    </row>
    <row r="722" spans="1:34" s="88" customFormat="1" ht="16.5" thickTop="1" thickBot="1">
      <c r="A722" s="41"/>
      <c r="B722" s="42"/>
      <c r="C722" s="43"/>
      <c r="D722" s="44"/>
      <c r="E722" s="45"/>
      <c r="F722" s="46"/>
      <c r="G722" s="45"/>
      <c r="H722" s="45"/>
      <c r="I722" s="47"/>
      <c r="J722" s="48"/>
      <c r="K722" s="48"/>
      <c r="L722" s="49"/>
      <c r="M722" s="49"/>
      <c r="N722" s="50"/>
      <c r="O722" s="51"/>
      <c r="P722" s="52"/>
      <c r="Q722" s="53"/>
      <c r="R722" s="77"/>
      <c r="S722" s="78"/>
      <c r="T722" s="56"/>
      <c r="U722" s="80"/>
      <c r="V722" s="56"/>
      <c r="W722" s="56"/>
      <c r="X722" s="80"/>
      <c r="Y722" s="57"/>
      <c r="Z722" s="58"/>
      <c r="AA722" s="82"/>
      <c r="AB722" s="83"/>
      <c r="AC722" s="83"/>
      <c r="AD722" s="77"/>
      <c r="AE722" s="84"/>
      <c r="AF722" s="84"/>
      <c r="AG722" s="62"/>
      <c r="AH722" s="63"/>
    </row>
    <row r="723" spans="1:34" s="88" customFormat="1" ht="16.5" thickTop="1" thickBot="1">
      <c r="A723" s="41"/>
      <c r="B723" s="42"/>
      <c r="C723" s="43"/>
      <c r="D723" s="44"/>
      <c r="E723" s="45"/>
      <c r="F723" s="46"/>
      <c r="G723" s="45"/>
      <c r="H723" s="45"/>
      <c r="I723" s="47"/>
      <c r="J723" s="48"/>
      <c r="K723" s="48"/>
      <c r="L723" s="49"/>
      <c r="M723" s="49"/>
      <c r="N723" s="50"/>
      <c r="O723" s="51"/>
      <c r="P723" s="52"/>
      <c r="Q723" s="53"/>
      <c r="R723" s="77"/>
      <c r="S723" s="78"/>
      <c r="T723" s="56"/>
      <c r="U723" s="80"/>
      <c r="V723" s="56"/>
      <c r="W723" s="56"/>
      <c r="X723" s="80"/>
      <c r="Y723" s="57"/>
      <c r="Z723" s="58"/>
      <c r="AA723" s="82"/>
      <c r="AB723" s="83"/>
      <c r="AC723" s="83"/>
      <c r="AD723" s="77"/>
      <c r="AE723" s="84"/>
      <c r="AF723" s="84"/>
      <c r="AG723" s="62"/>
      <c r="AH723" s="63"/>
    </row>
    <row r="724" spans="1:34" s="88" customFormat="1" ht="16.5" thickTop="1" thickBot="1">
      <c r="A724" s="41"/>
      <c r="B724" s="42"/>
      <c r="C724" s="43"/>
      <c r="D724" s="44"/>
      <c r="E724" s="45"/>
      <c r="F724" s="46"/>
      <c r="G724" s="45"/>
      <c r="H724" s="45"/>
      <c r="I724" s="47"/>
      <c r="J724" s="48"/>
      <c r="K724" s="48"/>
      <c r="L724" s="49"/>
      <c r="M724" s="49"/>
      <c r="N724" s="50"/>
      <c r="O724" s="51"/>
      <c r="P724" s="52"/>
      <c r="Q724" s="53"/>
      <c r="R724" s="77"/>
      <c r="S724" s="78"/>
      <c r="T724" s="56"/>
      <c r="U724" s="80"/>
      <c r="V724" s="56"/>
      <c r="W724" s="56"/>
      <c r="X724" s="80"/>
      <c r="Y724" s="57"/>
      <c r="Z724" s="58"/>
      <c r="AA724" s="82"/>
      <c r="AB724" s="83"/>
      <c r="AC724" s="83"/>
      <c r="AD724" s="77"/>
      <c r="AE724" s="84"/>
      <c r="AF724" s="84"/>
      <c r="AG724" s="62"/>
      <c r="AH724" s="63"/>
    </row>
    <row r="725" spans="1:34" s="88" customFormat="1" ht="16.5" thickTop="1" thickBot="1">
      <c r="A725" s="41"/>
      <c r="B725" s="42"/>
      <c r="C725" s="43"/>
      <c r="D725" s="44"/>
      <c r="E725" s="45"/>
      <c r="F725" s="46"/>
      <c r="G725" s="45"/>
      <c r="H725" s="45"/>
      <c r="I725" s="47"/>
      <c r="J725" s="48"/>
      <c r="K725" s="48"/>
      <c r="L725" s="49"/>
      <c r="M725" s="49"/>
      <c r="N725" s="50"/>
      <c r="O725" s="51"/>
      <c r="P725" s="52"/>
      <c r="Q725" s="53"/>
      <c r="R725" s="77"/>
      <c r="S725" s="78"/>
      <c r="T725" s="56"/>
      <c r="U725" s="80"/>
      <c r="V725" s="56"/>
      <c r="W725" s="56"/>
      <c r="X725" s="80"/>
      <c r="Y725" s="57"/>
      <c r="Z725" s="58"/>
      <c r="AA725" s="82"/>
      <c r="AB725" s="83"/>
      <c r="AC725" s="83"/>
      <c r="AD725" s="77"/>
      <c r="AE725" s="84"/>
      <c r="AF725" s="84"/>
      <c r="AG725" s="62"/>
      <c r="AH725" s="63"/>
    </row>
    <row r="726" spans="1:34" s="88" customFormat="1" ht="16.5" thickTop="1" thickBot="1">
      <c r="A726" s="41"/>
      <c r="B726" s="42"/>
      <c r="C726" s="43"/>
      <c r="D726" s="44"/>
      <c r="E726" s="45"/>
      <c r="F726" s="46"/>
      <c r="G726" s="45"/>
      <c r="H726" s="45"/>
      <c r="I726" s="47"/>
      <c r="J726" s="48"/>
      <c r="K726" s="48"/>
      <c r="L726" s="49"/>
      <c r="M726" s="49"/>
      <c r="N726" s="50"/>
      <c r="O726" s="51"/>
      <c r="P726" s="52"/>
      <c r="Q726" s="53"/>
      <c r="R726" s="77"/>
      <c r="S726" s="78"/>
      <c r="T726" s="56"/>
      <c r="U726" s="80"/>
      <c r="V726" s="56"/>
      <c r="W726" s="56"/>
      <c r="X726" s="80"/>
      <c r="Y726" s="57"/>
      <c r="Z726" s="58"/>
      <c r="AA726" s="82"/>
      <c r="AB726" s="83"/>
      <c r="AC726" s="83"/>
      <c r="AD726" s="77"/>
      <c r="AE726" s="84"/>
      <c r="AF726" s="84"/>
      <c r="AG726" s="62"/>
      <c r="AH726" s="63"/>
    </row>
    <row r="727" spans="1:34" s="88" customFormat="1" ht="16.5" thickTop="1" thickBot="1">
      <c r="A727" s="41"/>
      <c r="B727" s="42"/>
      <c r="C727" s="43"/>
      <c r="D727" s="44"/>
      <c r="E727" s="45"/>
      <c r="F727" s="46"/>
      <c r="G727" s="45"/>
      <c r="H727" s="45"/>
      <c r="I727" s="47"/>
      <c r="J727" s="48"/>
      <c r="K727" s="48"/>
      <c r="L727" s="49"/>
      <c r="M727" s="49"/>
      <c r="N727" s="50"/>
      <c r="O727" s="51"/>
      <c r="P727" s="52"/>
      <c r="Q727" s="53"/>
      <c r="R727" s="77"/>
      <c r="S727" s="78"/>
      <c r="T727" s="56"/>
      <c r="U727" s="80"/>
      <c r="V727" s="56"/>
      <c r="W727" s="56"/>
      <c r="X727" s="80"/>
      <c r="Y727" s="57"/>
      <c r="Z727" s="58"/>
      <c r="AA727" s="82"/>
      <c r="AB727" s="83"/>
      <c r="AC727" s="83"/>
      <c r="AD727" s="77"/>
      <c r="AE727" s="84"/>
      <c r="AF727" s="84"/>
      <c r="AG727" s="62"/>
      <c r="AH727" s="63"/>
    </row>
    <row r="728" spans="1:34" s="88" customFormat="1" ht="16.5" thickTop="1" thickBot="1">
      <c r="A728" s="41"/>
      <c r="B728" s="42"/>
      <c r="C728" s="43"/>
      <c r="D728" s="44"/>
      <c r="E728" s="45"/>
      <c r="F728" s="46"/>
      <c r="G728" s="45"/>
      <c r="H728" s="45"/>
      <c r="I728" s="47"/>
      <c r="J728" s="48"/>
      <c r="K728" s="48"/>
      <c r="L728" s="49"/>
      <c r="M728" s="49"/>
      <c r="N728" s="50"/>
      <c r="O728" s="51"/>
      <c r="P728" s="52"/>
      <c r="Q728" s="53"/>
      <c r="R728" s="77"/>
      <c r="S728" s="78"/>
      <c r="T728" s="56"/>
      <c r="U728" s="80"/>
      <c r="V728" s="56"/>
      <c r="W728" s="56"/>
      <c r="X728" s="80"/>
      <c r="Y728" s="57"/>
      <c r="Z728" s="58"/>
      <c r="AA728" s="82"/>
      <c r="AB728" s="83"/>
      <c r="AC728" s="83"/>
      <c r="AD728" s="77"/>
      <c r="AE728" s="84"/>
      <c r="AF728" s="84"/>
      <c r="AG728" s="62"/>
      <c r="AH728" s="63"/>
    </row>
    <row r="729" spans="1:34" s="88" customFormat="1" ht="16.5" thickTop="1" thickBot="1">
      <c r="A729" s="41"/>
      <c r="B729" s="42"/>
      <c r="C729" s="43"/>
      <c r="D729" s="44"/>
      <c r="E729" s="45"/>
      <c r="F729" s="46"/>
      <c r="G729" s="45"/>
      <c r="H729" s="45"/>
      <c r="I729" s="47"/>
      <c r="J729" s="48"/>
      <c r="K729" s="48"/>
      <c r="L729" s="49"/>
      <c r="M729" s="49"/>
      <c r="N729" s="50"/>
      <c r="O729" s="51"/>
      <c r="P729" s="52"/>
      <c r="Q729" s="53"/>
      <c r="R729" s="77"/>
      <c r="S729" s="78"/>
      <c r="T729" s="56"/>
      <c r="U729" s="80"/>
      <c r="V729" s="56"/>
      <c r="W729" s="56"/>
      <c r="X729" s="80"/>
      <c r="Y729" s="57"/>
      <c r="Z729" s="58"/>
      <c r="AA729" s="82"/>
      <c r="AB729" s="83"/>
      <c r="AC729" s="83"/>
      <c r="AD729" s="77"/>
      <c r="AE729" s="84"/>
      <c r="AF729" s="84"/>
      <c r="AG729" s="62"/>
      <c r="AH729" s="63"/>
    </row>
    <row r="730" spans="1:34" s="88" customFormat="1" ht="16.5" thickTop="1" thickBot="1">
      <c r="A730" s="41"/>
      <c r="B730" s="42"/>
      <c r="C730" s="43"/>
      <c r="D730" s="44"/>
      <c r="E730" s="45"/>
      <c r="F730" s="46"/>
      <c r="G730" s="45"/>
      <c r="H730" s="45"/>
      <c r="I730" s="47"/>
      <c r="J730" s="48"/>
      <c r="K730" s="48"/>
      <c r="L730" s="49"/>
      <c r="M730" s="49"/>
      <c r="N730" s="50"/>
      <c r="O730" s="51"/>
      <c r="P730" s="52"/>
      <c r="Q730" s="53"/>
      <c r="R730" s="77"/>
      <c r="S730" s="78"/>
      <c r="T730" s="56"/>
      <c r="U730" s="80"/>
      <c r="V730" s="56"/>
      <c r="W730" s="56"/>
      <c r="X730" s="80"/>
      <c r="Y730" s="57"/>
      <c r="Z730" s="58"/>
      <c r="AA730" s="82"/>
      <c r="AB730" s="83"/>
      <c r="AC730" s="83"/>
      <c r="AD730" s="77"/>
      <c r="AE730" s="84"/>
      <c r="AF730" s="84"/>
      <c r="AG730" s="62"/>
      <c r="AH730" s="63"/>
    </row>
    <row r="731" spans="1:34" s="88" customFormat="1" ht="16.5" thickTop="1" thickBot="1">
      <c r="A731" s="41"/>
      <c r="B731" s="42"/>
      <c r="C731" s="43"/>
      <c r="D731" s="44"/>
      <c r="E731" s="45"/>
      <c r="F731" s="46"/>
      <c r="G731" s="45"/>
      <c r="H731" s="45"/>
      <c r="I731" s="47"/>
      <c r="J731" s="48"/>
      <c r="K731" s="48"/>
      <c r="L731" s="49"/>
      <c r="M731" s="49"/>
      <c r="N731" s="50"/>
      <c r="O731" s="51"/>
      <c r="P731" s="52"/>
      <c r="Q731" s="53"/>
      <c r="R731" s="77"/>
      <c r="S731" s="78"/>
      <c r="T731" s="56"/>
      <c r="U731" s="80"/>
      <c r="V731" s="56"/>
      <c r="W731" s="56"/>
      <c r="X731" s="80"/>
      <c r="Y731" s="57"/>
      <c r="Z731" s="58"/>
      <c r="AA731" s="82"/>
      <c r="AB731" s="83"/>
      <c r="AC731" s="83"/>
      <c r="AD731" s="77"/>
      <c r="AE731" s="84"/>
      <c r="AF731" s="84"/>
      <c r="AG731" s="62"/>
      <c r="AH731" s="63"/>
    </row>
    <row r="732" spans="1:34" s="88" customFormat="1" ht="16.5" thickTop="1" thickBot="1">
      <c r="A732" s="41"/>
      <c r="B732" s="42"/>
      <c r="C732" s="43"/>
      <c r="D732" s="44"/>
      <c r="E732" s="45"/>
      <c r="F732" s="46"/>
      <c r="G732" s="45"/>
      <c r="H732" s="45"/>
      <c r="I732" s="47"/>
      <c r="J732" s="48"/>
      <c r="K732" s="48"/>
      <c r="L732" s="49"/>
      <c r="M732" s="49"/>
      <c r="N732" s="50"/>
      <c r="O732" s="51"/>
      <c r="P732" s="52"/>
      <c r="Q732" s="53"/>
      <c r="R732" s="77"/>
      <c r="S732" s="78"/>
      <c r="T732" s="56"/>
      <c r="U732" s="80"/>
      <c r="V732" s="56"/>
      <c r="W732" s="56"/>
      <c r="X732" s="80"/>
      <c r="Y732" s="57"/>
      <c r="Z732" s="58"/>
      <c r="AA732" s="82"/>
      <c r="AB732" s="83"/>
      <c r="AC732" s="83"/>
      <c r="AD732" s="77"/>
      <c r="AE732" s="84"/>
      <c r="AF732" s="84"/>
      <c r="AG732" s="62"/>
      <c r="AH732" s="63"/>
    </row>
    <row r="733" spans="1:34" s="88" customFormat="1" ht="16.5" thickTop="1" thickBot="1">
      <c r="A733" s="41"/>
      <c r="B733" s="42"/>
      <c r="C733" s="43"/>
      <c r="D733" s="44"/>
      <c r="E733" s="45"/>
      <c r="F733" s="46"/>
      <c r="G733" s="45"/>
      <c r="H733" s="45"/>
      <c r="I733" s="47"/>
      <c r="J733" s="48"/>
      <c r="K733" s="48"/>
      <c r="L733" s="49"/>
      <c r="M733" s="49"/>
      <c r="N733" s="50"/>
      <c r="O733" s="51"/>
      <c r="P733" s="52"/>
      <c r="Q733" s="53"/>
      <c r="R733" s="77"/>
      <c r="S733" s="78"/>
      <c r="T733" s="56"/>
      <c r="U733" s="80"/>
      <c r="V733" s="56"/>
      <c r="W733" s="56"/>
      <c r="X733" s="80"/>
      <c r="Y733" s="57"/>
      <c r="Z733" s="58"/>
      <c r="AA733" s="82"/>
      <c r="AB733" s="83"/>
      <c r="AC733" s="83"/>
      <c r="AD733" s="77"/>
      <c r="AE733" s="84"/>
      <c r="AF733" s="84"/>
      <c r="AG733" s="62"/>
      <c r="AH733" s="63"/>
    </row>
    <row r="734" spans="1:34" s="88" customFormat="1" ht="16.5" thickTop="1" thickBot="1">
      <c r="A734" s="41"/>
      <c r="B734" s="42"/>
      <c r="C734" s="43"/>
      <c r="D734" s="44"/>
      <c r="E734" s="45"/>
      <c r="F734" s="46"/>
      <c r="G734" s="45"/>
      <c r="H734" s="45"/>
      <c r="I734" s="47"/>
      <c r="J734" s="48"/>
      <c r="K734" s="48"/>
      <c r="L734" s="49"/>
      <c r="M734" s="49"/>
      <c r="N734" s="50"/>
      <c r="O734" s="51"/>
      <c r="P734" s="52"/>
      <c r="Q734" s="53"/>
      <c r="R734" s="77"/>
      <c r="S734" s="78"/>
      <c r="T734" s="56"/>
      <c r="U734" s="80"/>
      <c r="V734" s="56"/>
      <c r="W734" s="56"/>
      <c r="X734" s="80"/>
      <c r="Y734" s="57"/>
      <c r="Z734" s="58"/>
      <c r="AA734" s="82"/>
      <c r="AB734" s="83"/>
      <c r="AC734" s="83"/>
      <c r="AD734" s="77"/>
      <c r="AE734" s="84"/>
      <c r="AF734" s="84"/>
      <c r="AG734" s="62"/>
      <c r="AH734" s="63"/>
    </row>
    <row r="735" spans="1:34" s="88" customFormat="1" ht="16.5" thickTop="1" thickBot="1">
      <c r="A735" s="41"/>
      <c r="B735" s="42"/>
      <c r="C735" s="43"/>
      <c r="D735" s="44"/>
      <c r="E735" s="45"/>
      <c r="F735" s="46"/>
      <c r="G735" s="45"/>
      <c r="H735" s="45"/>
      <c r="I735" s="47"/>
      <c r="J735" s="48"/>
      <c r="K735" s="48"/>
      <c r="L735" s="49"/>
      <c r="M735" s="49"/>
      <c r="N735" s="50"/>
      <c r="O735" s="51"/>
      <c r="P735" s="52"/>
      <c r="Q735" s="53"/>
      <c r="R735" s="77"/>
      <c r="S735" s="78"/>
      <c r="T735" s="56"/>
      <c r="U735" s="80"/>
      <c r="V735" s="56"/>
      <c r="W735" s="56"/>
      <c r="X735" s="80"/>
      <c r="Y735" s="57"/>
      <c r="Z735" s="58"/>
      <c r="AA735" s="82"/>
      <c r="AB735" s="83"/>
      <c r="AC735" s="83"/>
      <c r="AD735" s="77"/>
      <c r="AE735" s="84"/>
      <c r="AF735" s="84"/>
      <c r="AG735" s="62"/>
      <c r="AH735" s="63"/>
    </row>
    <row r="736" spans="1:34" s="88" customFormat="1" ht="16.5" thickTop="1" thickBot="1">
      <c r="A736" s="41"/>
      <c r="B736" s="42"/>
      <c r="C736" s="43"/>
      <c r="D736" s="44"/>
      <c r="E736" s="45"/>
      <c r="F736" s="46"/>
      <c r="G736" s="45"/>
      <c r="H736" s="45"/>
      <c r="I736" s="47"/>
      <c r="J736" s="48"/>
      <c r="K736" s="48"/>
      <c r="L736" s="49"/>
      <c r="M736" s="49"/>
      <c r="N736" s="50"/>
      <c r="O736" s="51"/>
      <c r="P736" s="52"/>
      <c r="Q736" s="53"/>
      <c r="R736" s="77"/>
      <c r="S736" s="78"/>
      <c r="T736" s="56"/>
      <c r="U736" s="80"/>
      <c r="V736" s="56"/>
      <c r="W736" s="56"/>
      <c r="X736" s="80"/>
      <c r="Y736" s="57"/>
      <c r="Z736" s="58"/>
      <c r="AA736" s="82"/>
      <c r="AB736" s="83"/>
      <c r="AC736" s="83"/>
      <c r="AD736" s="77"/>
      <c r="AE736" s="84"/>
      <c r="AF736" s="84"/>
      <c r="AG736" s="62"/>
      <c r="AH736" s="63"/>
    </row>
    <row r="737" spans="1:34" s="88" customFormat="1" ht="16.5" thickTop="1" thickBot="1">
      <c r="A737" s="41"/>
      <c r="B737" s="42"/>
      <c r="C737" s="43"/>
      <c r="D737" s="44"/>
      <c r="E737" s="45"/>
      <c r="F737" s="46"/>
      <c r="G737" s="45"/>
      <c r="H737" s="45"/>
      <c r="I737" s="47"/>
      <c r="J737" s="48"/>
      <c r="K737" s="48"/>
      <c r="L737" s="49"/>
      <c r="M737" s="49"/>
      <c r="N737" s="50"/>
      <c r="O737" s="51"/>
      <c r="P737" s="52"/>
      <c r="Q737" s="53"/>
      <c r="R737" s="77"/>
      <c r="S737" s="78"/>
      <c r="T737" s="56"/>
      <c r="U737" s="80"/>
      <c r="V737" s="56"/>
      <c r="W737" s="56"/>
      <c r="X737" s="80"/>
      <c r="Y737" s="57"/>
      <c r="Z737" s="58"/>
      <c r="AA737" s="82"/>
      <c r="AB737" s="83"/>
      <c r="AC737" s="83"/>
      <c r="AD737" s="77"/>
      <c r="AE737" s="84"/>
      <c r="AF737" s="84"/>
      <c r="AG737" s="62"/>
      <c r="AH737" s="63"/>
    </row>
    <row r="738" spans="1:34" s="88" customFormat="1" ht="16.5" thickTop="1" thickBot="1">
      <c r="A738" s="41"/>
      <c r="B738" s="42"/>
      <c r="C738" s="43"/>
      <c r="D738" s="44"/>
      <c r="E738" s="45"/>
      <c r="F738" s="46"/>
      <c r="G738" s="45"/>
      <c r="H738" s="45"/>
      <c r="I738" s="47"/>
      <c r="J738" s="48"/>
      <c r="K738" s="48"/>
      <c r="L738" s="49"/>
      <c r="M738" s="49"/>
      <c r="N738" s="50"/>
      <c r="O738" s="51"/>
      <c r="P738" s="52"/>
      <c r="Q738" s="53"/>
      <c r="R738" s="77"/>
      <c r="S738" s="78"/>
      <c r="T738" s="56"/>
      <c r="U738" s="80"/>
      <c r="V738" s="56"/>
      <c r="W738" s="56"/>
      <c r="X738" s="80"/>
      <c r="Y738" s="57"/>
      <c r="Z738" s="58"/>
      <c r="AA738" s="82"/>
      <c r="AB738" s="83"/>
      <c r="AC738" s="83"/>
      <c r="AD738" s="77"/>
      <c r="AE738" s="84"/>
      <c r="AF738" s="84"/>
      <c r="AG738" s="62"/>
      <c r="AH738" s="63"/>
    </row>
    <row r="739" spans="1:34" s="88" customFormat="1" ht="16.5" thickTop="1" thickBot="1">
      <c r="A739" s="41"/>
      <c r="B739" s="42"/>
      <c r="C739" s="43"/>
      <c r="D739" s="44"/>
      <c r="E739" s="45"/>
      <c r="F739" s="46"/>
      <c r="G739" s="45"/>
      <c r="H739" s="45"/>
      <c r="I739" s="47"/>
      <c r="J739" s="48"/>
      <c r="K739" s="48"/>
      <c r="L739" s="49"/>
      <c r="M739" s="49"/>
      <c r="N739" s="50"/>
      <c r="O739" s="51"/>
      <c r="P739" s="52"/>
      <c r="Q739" s="53"/>
      <c r="R739" s="77"/>
      <c r="S739" s="78"/>
      <c r="T739" s="56"/>
      <c r="U739" s="80"/>
      <c r="V739" s="56"/>
      <c r="W739" s="56"/>
      <c r="X739" s="80"/>
      <c r="Y739" s="57"/>
      <c r="Z739" s="58"/>
      <c r="AA739" s="82"/>
      <c r="AB739" s="83"/>
      <c r="AC739" s="83"/>
      <c r="AD739" s="77"/>
      <c r="AE739" s="84"/>
      <c r="AF739" s="84"/>
      <c r="AG739" s="62"/>
      <c r="AH739" s="63"/>
    </row>
    <row r="740" spans="1:34" s="88" customFormat="1" ht="16.5" thickTop="1" thickBot="1">
      <c r="A740" s="41"/>
      <c r="B740" s="42"/>
      <c r="C740" s="43"/>
      <c r="D740" s="44"/>
      <c r="E740" s="45"/>
      <c r="F740" s="46"/>
      <c r="G740" s="45"/>
      <c r="H740" s="45"/>
      <c r="I740" s="47"/>
      <c r="J740" s="48"/>
      <c r="K740" s="48"/>
      <c r="L740" s="49"/>
      <c r="M740" s="49"/>
      <c r="N740" s="50"/>
      <c r="O740" s="51"/>
      <c r="P740" s="52"/>
      <c r="Q740" s="53"/>
      <c r="R740" s="77"/>
      <c r="S740" s="78"/>
      <c r="T740" s="56"/>
      <c r="U740" s="80"/>
      <c r="V740" s="56"/>
      <c r="W740" s="56"/>
      <c r="X740" s="80"/>
      <c r="Y740" s="57"/>
      <c r="Z740" s="58"/>
      <c r="AA740" s="82"/>
      <c r="AB740" s="83"/>
      <c r="AC740" s="83"/>
      <c r="AD740" s="77"/>
      <c r="AE740" s="84"/>
      <c r="AF740" s="84"/>
      <c r="AG740" s="62"/>
      <c r="AH740" s="63"/>
    </row>
    <row r="741" spans="1:34" ht="16.5" thickTop="1" thickBot="1">
      <c r="A741" s="41"/>
      <c r="B741" s="42"/>
      <c r="C741" s="43"/>
      <c r="D741" s="44"/>
      <c r="E741" s="45"/>
      <c r="F741" s="46"/>
      <c r="G741" s="45"/>
      <c r="H741" s="45"/>
      <c r="I741" s="47"/>
      <c r="J741" s="48"/>
      <c r="K741" s="48"/>
      <c r="L741" s="49"/>
      <c r="M741" s="49"/>
      <c r="N741" s="50"/>
      <c r="O741" s="51"/>
      <c r="P741" s="52"/>
      <c r="Q741" s="53"/>
      <c r="R741" s="77"/>
      <c r="S741" s="78"/>
      <c r="T741" s="56"/>
      <c r="U741" s="80"/>
      <c r="V741" s="56"/>
      <c r="W741" s="56"/>
      <c r="X741" s="80"/>
      <c r="Y741" s="57"/>
      <c r="Z741" s="58"/>
      <c r="AA741" s="82"/>
      <c r="AB741" s="60"/>
      <c r="AC741" s="60"/>
      <c r="AD741" s="54"/>
      <c r="AE741" s="61"/>
      <c r="AF741" s="61"/>
      <c r="AG741" s="62"/>
      <c r="AH741" s="63"/>
    </row>
    <row r="742" spans="1:34" ht="16.5" thickTop="1" thickBot="1">
      <c r="A742" s="41"/>
      <c r="B742" s="42"/>
      <c r="C742" s="43"/>
      <c r="D742" s="44"/>
      <c r="E742" s="45"/>
      <c r="F742" s="46"/>
      <c r="G742" s="45"/>
      <c r="H742" s="45"/>
      <c r="I742" s="47"/>
      <c r="J742" s="48"/>
      <c r="K742" s="48"/>
      <c r="L742" s="49"/>
      <c r="M742" s="49"/>
      <c r="N742" s="50"/>
      <c r="O742" s="51"/>
      <c r="P742" s="52"/>
      <c r="Q742" s="53"/>
      <c r="R742" s="77"/>
      <c r="S742" s="78"/>
      <c r="T742" s="56"/>
      <c r="U742" s="80"/>
      <c r="V742" s="56"/>
      <c r="W742" s="56"/>
      <c r="X742" s="80"/>
      <c r="Y742" s="57"/>
      <c r="Z742" s="58"/>
      <c r="AA742" s="82"/>
      <c r="AB742" s="60"/>
      <c r="AC742" s="60"/>
      <c r="AD742" s="54"/>
      <c r="AE742" s="61"/>
      <c r="AF742" s="61"/>
      <c r="AG742" s="62"/>
      <c r="AH742" s="63"/>
    </row>
    <row r="743" spans="1:34" ht="16.5" thickTop="1" thickBot="1">
      <c r="A743" s="41"/>
      <c r="B743" s="42"/>
      <c r="C743" s="43"/>
      <c r="D743" s="44"/>
      <c r="E743" s="45"/>
      <c r="F743" s="46"/>
      <c r="G743" s="45"/>
      <c r="H743" s="45"/>
      <c r="I743" s="47"/>
      <c r="J743" s="48"/>
      <c r="K743" s="48"/>
      <c r="L743" s="49"/>
      <c r="M743" s="49"/>
      <c r="N743" s="50"/>
      <c r="O743" s="51"/>
      <c r="P743" s="52"/>
      <c r="Q743" s="53"/>
      <c r="R743" s="77"/>
      <c r="S743" s="78"/>
      <c r="T743" s="56"/>
      <c r="U743" s="80"/>
      <c r="V743" s="56"/>
      <c r="W743" s="56"/>
      <c r="X743" s="80"/>
      <c r="Y743" s="57"/>
      <c r="Z743" s="58"/>
      <c r="AA743" s="82"/>
      <c r="AB743" s="60"/>
      <c r="AC743" s="60"/>
      <c r="AD743" s="54"/>
      <c r="AE743" s="61"/>
      <c r="AF743" s="61"/>
      <c r="AG743" s="62"/>
      <c r="AH743" s="63"/>
    </row>
    <row r="744" spans="1:34" ht="16.5" thickTop="1" thickBot="1">
      <c r="A744" s="41"/>
      <c r="B744" s="42"/>
      <c r="C744" s="43"/>
      <c r="D744" s="44"/>
      <c r="E744" s="45"/>
      <c r="F744" s="46"/>
      <c r="G744" s="45"/>
      <c r="H744" s="45"/>
      <c r="I744" s="47"/>
      <c r="J744" s="48"/>
      <c r="K744" s="48"/>
      <c r="L744" s="49"/>
      <c r="M744" s="49"/>
      <c r="N744" s="50"/>
      <c r="O744" s="51"/>
      <c r="P744" s="52"/>
      <c r="Q744" s="53"/>
      <c r="R744" s="77"/>
      <c r="S744" s="78"/>
      <c r="T744" s="56"/>
      <c r="U744" s="80"/>
      <c r="V744" s="56"/>
      <c r="W744" s="56"/>
      <c r="X744" s="80"/>
      <c r="Y744" s="57"/>
      <c r="Z744" s="58"/>
      <c r="AA744" s="82"/>
      <c r="AB744" s="60"/>
      <c r="AC744" s="60"/>
      <c r="AD744" s="54"/>
      <c r="AE744" s="61"/>
      <c r="AF744" s="61"/>
      <c r="AG744" s="62"/>
      <c r="AH744" s="63"/>
    </row>
    <row r="745" spans="1:34" ht="16.5" thickTop="1" thickBot="1">
      <c r="A745" s="41"/>
      <c r="B745" s="42"/>
      <c r="C745" s="43"/>
      <c r="D745" s="44"/>
      <c r="E745" s="45"/>
      <c r="F745" s="46"/>
      <c r="G745" s="45"/>
      <c r="H745" s="45"/>
      <c r="I745" s="47"/>
      <c r="J745" s="48"/>
      <c r="K745" s="48"/>
      <c r="L745" s="49"/>
      <c r="M745" s="49"/>
      <c r="N745" s="50"/>
      <c r="O745" s="51"/>
      <c r="P745" s="52"/>
      <c r="Q745" s="53"/>
      <c r="R745" s="77"/>
      <c r="S745" s="78"/>
      <c r="T745" s="56"/>
      <c r="U745" s="80"/>
      <c r="V745" s="56"/>
      <c r="W745" s="56"/>
      <c r="X745" s="80"/>
      <c r="Y745" s="57"/>
      <c r="Z745" s="58"/>
      <c r="AA745" s="82"/>
      <c r="AB745" s="60"/>
      <c r="AC745" s="60"/>
      <c r="AD745" s="54"/>
      <c r="AE745" s="61"/>
      <c r="AF745" s="61"/>
      <c r="AG745" s="62"/>
      <c r="AH745" s="63"/>
    </row>
    <row r="746" spans="1:34" ht="16.5" thickTop="1" thickBot="1">
      <c r="A746" s="41"/>
      <c r="B746" s="42"/>
      <c r="C746" s="43"/>
      <c r="D746" s="44"/>
      <c r="E746" s="45"/>
      <c r="F746" s="46"/>
      <c r="G746" s="45"/>
      <c r="H746" s="45"/>
      <c r="I746" s="47"/>
      <c r="J746" s="48"/>
      <c r="K746" s="48"/>
      <c r="L746" s="49"/>
      <c r="M746" s="49"/>
      <c r="N746" s="50"/>
      <c r="O746" s="51"/>
      <c r="P746" s="52"/>
      <c r="Q746" s="53"/>
      <c r="R746" s="77"/>
      <c r="S746" s="78"/>
      <c r="T746" s="56"/>
      <c r="U746" s="80"/>
      <c r="V746" s="56"/>
      <c r="W746" s="56"/>
      <c r="X746" s="80"/>
      <c r="Y746" s="57"/>
      <c r="Z746" s="58"/>
      <c r="AA746" s="82"/>
      <c r="AB746" s="60"/>
      <c r="AC746" s="60"/>
      <c r="AD746" s="54"/>
      <c r="AE746" s="61"/>
      <c r="AF746" s="61"/>
      <c r="AG746" s="62"/>
      <c r="AH746" s="63"/>
    </row>
    <row r="747" spans="1:34" ht="16.5" thickTop="1" thickBot="1">
      <c r="A747" s="41"/>
      <c r="B747" s="42"/>
      <c r="C747" s="43"/>
      <c r="D747" s="44"/>
      <c r="E747" s="45"/>
      <c r="F747" s="46"/>
      <c r="G747" s="45"/>
      <c r="H747" s="45"/>
      <c r="I747" s="47"/>
      <c r="J747" s="48"/>
      <c r="K747" s="48"/>
      <c r="L747" s="49"/>
      <c r="M747" s="49"/>
      <c r="N747" s="50"/>
      <c r="O747" s="51"/>
      <c r="P747" s="52"/>
      <c r="Q747" s="53"/>
      <c r="R747" s="77"/>
      <c r="S747" s="78"/>
      <c r="T747" s="56"/>
      <c r="U747" s="80"/>
      <c r="V747" s="56"/>
      <c r="W747" s="56"/>
      <c r="X747" s="80"/>
      <c r="Y747" s="57"/>
      <c r="Z747" s="58"/>
      <c r="AA747" s="82"/>
      <c r="AB747" s="60"/>
      <c r="AC747" s="60"/>
      <c r="AD747" s="54"/>
      <c r="AE747" s="61"/>
      <c r="AF747" s="61"/>
      <c r="AG747" s="62"/>
      <c r="AH747" s="63"/>
    </row>
    <row r="748" spans="1:34" ht="16.5" thickTop="1" thickBot="1">
      <c r="A748" s="41"/>
      <c r="B748" s="42"/>
      <c r="C748" s="43"/>
      <c r="D748" s="44"/>
      <c r="E748" s="45"/>
      <c r="F748" s="46"/>
      <c r="G748" s="45"/>
      <c r="H748" s="45"/>
      <c r="I748" s="47"/>
      <c r="J748" s="48"/>
      <c r="K748" s="48"/>
      <c r="L748" s="49"/>
      <c r="M748" s="49"/>
      <c r="N748" s="50"/>
      <c r="O748" s="51"/>
      <c r="P748" s="52"/>
      <c r="Q748" s="53"/>
      <c r="R748" s="77"/>
      <c r="S748" s="78"/>
      <c r="T748" s="56"/>
      <c r="U748" s="80"/>
      <c r="V748" s="56"/>
      <c r="W748" s="56"/>
      <c r="X748" s="80"/>
      <c r="Y748" s="57"/>
      <c r="Z748" s="58"/>
      <c r="AA748" s="82"/>
      <c r="AB748" s="60"/>
      <c r="AC748" s="60"/>
      <c r="AD748" s="54"/>
      <c r="AE748" s="61"/>
      <c r="AF748" s="61"/>
      <c r="AG748" s="62"/>
      <c r="AH748" s="63"/>
    </row>
    <row r="749" spans="1:34" ht="16.5" thickTop="1" thickBot="1">
      <c r="A749" s="41"/>
      <c r="B749" s="42"/>
      <c r="C749" s="43"/>
      <c r="D749" s="44"/>
      <c r="E749" s="45"/>
      <c r="F749" s="46"/>
      <c r="G749" s="45"/>
      <c r="H749" s="45"/>
      <c r="I749" s="47"/>
      <c r="J749" s="48"/>
      <c r="K749" s="48"/>
      <c r="L749" s="49"/>
      <c r="M749" s="49"/>
      <c r="N749" s="50"/>
      <c r="O749" s="51"/>
      <c r="P749" s="52"/>
      <c r="Q749" s="53"/>
      <c r="R749" s="77"/>
      <c r="S749" s="78"/>
      <c r="T749" s="56"/>
      <c r="U749" s="80"/>
      <c r="V749" s="56"/>
      <c r="W749" s="56"/>
      <c r="X749" s="80"/>
      <c r="Y749" s="57"/>
      <c r="Z749" s="58"/>
      <c r="AA749" s="82"/>
      <c r="AB749" s="60"/>
      <c r="AC749" s="60"/>
      <c r="AD749" s="54"/>
      <c r="AE749" s="61"/>
      <c r="AF749" s="61"/>
      <c r="AG749" s="62"/>
      <c r="AH749" s="63"/>
    </row>
    <row r="750" spans="1:34" ht="16.5" thickTop="1" thickBot="1">
      <c r="A750" s="41"/>
      <c r="B750" s="42"/>
      <c r="C750" s="43"/>
      <c r="D750" s="44"/>
      <c r="E750" s="45"/>
      <c r="F750" s="46"/>
      <c r="G750" s="45"/>
      <c r="H750" s="45"/>
      <c r="I750" s="47"/>
      <c r="J750" s="48"/>
      <c r="K750" s="48"/>
      <c r="L750" s="49"/>
      <c r="M750" s="49"/>
      <c r="N750" s="50"/>
      <c r="O750" s="51"/>
      <c r="P750" s="52"/>
      <c r="Q750" s="53"/>
      <c r="R750" s="77"/>
      <c r="S750" s="78"/>
      <c r="T750" s="56"/>
      <c r="U750" s="80"/>
      <c r="V750" s="56"/>
      <c r="W750" s="56"/>
      <c r="X750" s="80"/>
      <c r="Y750" s="57"/>
      <c r="Z750" s="58"/>
      <c r="AA750" s="82"/>
      <c r="AB750" s="60"/>
      <c r="AC750" s="60"/>
      <c r="AD750" s="54"/>
      <c r="AE750" s="61"/>
      <c r="AF750" s="61"/>
      <c r="AG750" s="62"/>
      <c r="AH750" s="63"/>
    </row>
    <row r="751" spans="1:34" ht="16.5" thickTop="1" thickBot="1">
      <c r="A751" s="41"/>
      <c r="B751" s="42"/>
      <c r="C751" s="43"/>
      <c r="D751" s="44"/>
      <c r="E751" s="45"/>
      <c r="F751" s="46"/>
      <c r="G751" s="45"/>
      <c r="H751" s="45"/>
      <c r="I751" s="47"/>
      <c r="J751" s="48"/>
      <c r="K751" s="48"/>
      <c r="L751" s="49"/>
      <c r="M751" s="49"/>
      <c r="N751" s="50"/>
      <c r="O751" s="51"/>
      <c r="P751" s="52"/>
      <c r="Q751" s="53"/>
      <c r="R751" s="77"/>
      <c r="S751" s="78"/>
      <c r="T751" s="56"/>
      <c r="U751" s="80"/>
      <c r="V751" s="56"/>
      <c r="W751" s="56"/>
      <c r="X751" s="80"/>
      <c r="Y751" s="57"/>
      <c r="Z751" s="58"/>
      <c r="AA751" s="82"/>
      <c r="AB751" s="60"/>
      <c r="AC751" s="60"/>
      <c r="AD751" s="54"/>
      <c r="AE751" s="61"/>
      <c r="AF751" s="61"/>
      <c r="AG751" s="62"/>
      <c r="AH751" s="63"/>
    </row>
    <row r="752" spans="1:34" s="88" customFormat="1" ht="16.5" thickTop="1" thickBot="1">
      <c r="A752" s="41"/>
      <c r="B752" s="42"/>
      <c r="C752" s="43"/>
      <c r="D752" s="44"/>
      <c r="E752" s="45"/>
      <c r="F752" s="46"/>
      <c r="G752" s="45"/>
      <c r="H752" s="45"/>
      <c r="I752" s="47"/>
      <c r="J752" s="48"/>
      <c r="K752" s="48"/>
      <c r="L752" s="49"/>
      <c r="M752" s="49"/>
      <c r="N752" s="50"/>
      <c r="O752" s="51"/>
      <c r="P752" s="52"/>
      <c r="Q752" s="53"/>
      <c r="R752" s="77"/>
      <c r="S752" s="78"/>
      <c r="T752" s="56"/>
      <c r="U752" s="80"/>
      <c r="V752" s="56"/>
      <c r="W752" s="56"/>
      <c r="X752" s="80"/>
      <c r="Y752" s="57"/>
      <c r="Z752" s="58"/>
      <c r="AA752" s="82"/>
      <c r="AB752" s="83"/>
      <c r="AC752" s="83"/>
      <c r="AD752" s="77"/>
      <c r="AE752" s="84"/>
      <c r="AF752" s="84"/>
      <c r="AG752" s="62"/>
      <c r="AH752" s="63"/>
    </row>
    <row r="753" spans="1:34" s="88" customFormat="1" ht="16.5" thickTop="1" thickBot="1">
      <c r="A753" s="41"/>
      <c r="B753" s="42"/>
      <c r="C753" s="43"/>
      <c r="D753" s="44"/>
      <c r="E753" s="45"/>
      <c r="F753" s="46"/>
      <c r="G753" s="45"/>
      <c r="H753" s="45"/>
      <c r="I753" s="47"/>
      <c r="J753" s="48"/>
      <c r="K753" s="48"/>
      <c r="L753" s="49"/>
      <c r="M753" s="49"/>
      <c r="N753" s="50"/>
      <c r="O753" s="51"/>
      <c r="P753" s="52"/>
      <c r="Q753" s="53"/>
      <c r="R753" s="77"/>
      <c r="S753" s="78"/>
      <c r="T753" s="56"/>
      <c r="U753" s="80"/>
      <c r="V753" s="56"/>
      <c r="W753" s="56"/>
      <c r="X753" s="80"/>
      <c r="Y753" s="57"/>
      <c r="Z753" s="58"/>
      <c r="AA753" s="82"/>
      <c r="AB753" s="83"/>
      <c r="AC753" s="83"/>
      <c r="AD753" s="77"/>
      <c r="AE753" s="84"/>
      <c r="AF753" s="84"/>
      <c r="AG753" s="62"/>
      <c r="AH753" s="63"/>
    </row>
    <row r="754" spans="1:34" ht="16.5" thickTop="1" thickBot="1">
      <c r="A754" s="41"/>
      <c r="B754" s="42"/>
      <c r="C754" s="43"/>
      <c r="D754" s="44"/>
      <c r="E754" s="45"/>
      <c r="F754" s="46"/>
      <c r="G754" s="45"/>
      <c r="H754" s="45"/>
      <c r="I754" s="47"/>
      <c r="J754" s="48"/>
      <c r="K754" s="48"/>
      <c r="L754" s="49"/>
      <c r="M754" s="49"/>
      <c r="N754" s="50"/>
      <c r="O754" s="51"/>
      <c r="P754" s="52"/>
      <c r="Q754" s="53"/>
      <c r="R754" s="54"/>
      <c r="S754" s="55"/>
      <c r="T754" s="56"/>
      <c r="U754" s="57"/>
      <c r="V754" s="56"/>
      <c r="W754" s="56"/>
      <c r="X754" s="57"/>
      <c r="Y754" s="57"/>
      <c r="Z754" s="58"/>
      <c r="AA754" s="59"/>
      <c r="AB754" s="60"/>
      <c r="AC754" s="60"/>
      <c r="AD754" s="54"/>
      <c r="AE754" s="61"/>
      <c r="AF754" s="61"/>
      <c r="AG754" s="62"/>
      <c r="AH754" s="63"/>
    </row>
    <row r="755" spans="1:34" ht="16.5" thickTop="1" thickBot="1">
      <c r="A755" s="41"/>
      <c r="B755" s="42"/>
      <c r="C755" s="43"/>
      <c r="D755" s="44"/>
      <c r="E755" s="45"/>
      <c r="F755" s="46"/>
      <c r="G755" s="45"/>
      <c r="H755" s="45"/>
      <c r="I755" s="47"/>
      <c r="J755" s="48"/>
      <c r="K755" s="48"/>
      <c r="L755" s="49"/>
      <c r="M755" s="49"/>
      <c r="N755" s="50"/>
      <c r="O755" s="51"/>
      <c r="P755" s="52"/>
      <c r="Q755" s="53"/>
      <c r="R755" s="54"/>
      <c r="S755" s="55"/>
      <c r="T755" s="56"/>
      <c r="U755" s="57"/>
      <c r="V755" s="56"/>
      <c r="W755" s="56"/>
      <c r="X755" s="57"/>
      <c r="Y755" s="57"/>
      <c r="Z755" s="58"/>
      <c r="AA755" s="59"/>
      <c r="AB755" s="60"/>
      <c r="AC755" s="60"/>
      <c r="AD755" s="54"/>
      <c r="AE755" s="61"/>
      <c r="AF755" s="61"/>
      <c r="AG755" s="62"/>
      <c r="AH755" s="63"/>
    </row>
    <row r="756" spans="1:34" ht="16.5" thickTop="1" thickBot="1">
      <c r="A756" s="41"/>
      <c r="B756" s="42"/>
      <c r="C756" s="43"/>
      <c r="D756" s="44"/>
      <c r="E756" s="45"/>
      <c r="F756" s="46"/>
      <c r="G756" s="45"/>
      <c r="H756" s="45"/>
      <c r="I756" s="47"/>
      <c r="J756" s="48"/>
      <c r="K756" s="48"/>
      <c r="L756" s="49"/>
      <c r="M756" s="49"/>
      <c r="N756" s="50"/>
      <c r="O756" s="51"/>
      <c r="P756" s="52"/>
      <c r="Q756" s="53"/>
      <c r="R756" s="54"/>
      <c r="S756" s="55"/>
      <c r="T756" s="56"/>
      <c r="U756" s="57"/>
      <c r="V756" s="56"/>
      <c r="W756" s="56"/>
      <c r="X756" s="57"/>
      <c r="Y756" s="57"/>
      <c r="Z756" s="58"/>
      <c r="AA756" s="59"/>
      <c r="AB756" s="60"/>
      <c r="AC756" s="60"/>
      <c r="AD756" s="54"/>
      <c r="AE756" s="61"/>
      <c r="AF756" s="61"/>
      <c r="AG756" s="62"/>
      <c r="AH756" s="63"/>
    </row>
    <row r="757" spans="1:34" ht="16.5" thickTop="1" thickBot="1">
      <c r="A757" s="41"/>
      <c r="B757" s="42"/>
      <c r="C757" s="43"/>
      <c r="D757" s="44"/>
      <c r="E757" s="45"/>
      <c r="F757" s="46"/>
      <c r="G757" s="45"/>
      <c r="H757" s="45"/>
      <c r="I757" s="47"/>
      <c r="J757" s="48"/>
      <c r="K757" s="48"/>
      <c r="L757" s="49"/>
      <c r="M757" s="49"/>
      <c r="N757" s="50"/>
      <c r="O757" s="51"/>
      <c r="P757" s="52"/>
      <c r="Q757" s="53"/>
      <c r="R757" s="54"/>
      <c r="S757" s="55"/>
      <c r="T757" s="56"/>
      <c r="U757" s="57"/>
      <c r="V757" s="56"/>
      <c r="W757" s="56"/>
      <c r="X757" s="57"/>
      <c r="Y757" s="57"/>
      <c r="Z757" s="58"/>
      <c r="AA757" s="59"/>
      <c r="AB757" s="60"/>
      <c r="AC757" s="60"/>
      <c r="AD757" s="54"/>
      <c r="AE757" s="61"/>
      <c r="AF757" s="61"/>
      <c r="AG757" s="62"/>
      <c r="AH757" s="63"/>
    </row>
    <row r="758" spans="1:34" ht="16.5" thickTop="1" thickBot="1">
      <c r="A758" s="41"/>
      <c r="B758" s="42"/>
      <c r="C758" s="43"/>
      <c r="D758" s="44"/>
      <c r="E758" s="45"/>
      <c r="F758" s="46"/>
      <c r="G758" s="45"/>
      <c r="H758" s="45"/>
      <c r="I758" s="47"/>
      <c r="J758" s="48"/>
      <c r="K758" s="48"/>
      <c r="L758" s="49"/>
      <c r="M758" s="49"/>
      <c r="N758" s="50"/>
      <c r="O758" s="51"/>
      <c r="P758" s="52"/>
      <c r="Q758" s="53"/>
      <c r="R758" s="54"/>
      <c r="S758" s="55"/>
      <c r="T758" s="56"/>
      <c r="U758" s="57"/>
      <c r="V758" s="56"/>
      <c r="W758" s="56"/>
      <c r="X758" s="57"/>
      <c r="Y758" s="57"/>
      <c r="Z758" s="58"/>
      <c r="AA758" s="59"/>
      <c r="AB758" s="60"/>
      <c r="AC758" s="60"/>
      <c r="AD758" s="54"/>
      <c r="AE758" s="61"/>
      <c r="AF758" s="61"/>
      <c r="AG758" s="62"/>
      <c r="AH758" s="63"/>
    </row>
    <row r="759" spans="1:34" ht="16.5" thickTop="1" thickBot="1">
      <c r="A759" s="41"/>
      <c r="B759" s="42"/>
      <c r="C759" s="43"/>
      <c r="D759" s="44"/>
      <c r="E759" s="45"/>
      <c r="F759" s="46"/>
      <c r="G759" s="45"/>
      <c r="H759" s="45"/>
      <c r="I759" s="47"/>
      <c r="J759" s="48"/>
      <c r="K759" s="48"/>
      <c r="L759" s="49"/>
      <c r="M759" s="49"/>
      <c r="N759" s="50"/>
      <c r="O759" s="51"/>
      <c r="P759" s="52"/>
      <c r="Q759" s="53"/>
      <c r="R759" s="54"/>
      <c r="S759" s="55"/>
      <c r="T759" s="56"/>
      <c r="U759" s="57"/>
      <c r="V759" s="56"/>
      <c r="W759" s="56"/>
      <c r="X759" s="93"/>
      <c r="Y759" s="57"/>
      <c r="Z759" s="58"/>
      <c r="AA759" s="59"/>
      <c r="AB759" s="60"/>
      <c r="AC759" s="60"/>
      <c r="AD759" s="54"/>
      <c r="AE759" s="61"/>
      <c r="AF759" s="61"/>
      <c r="AG759" s="62"/>
      <c r="AH759" s="63"/>
    </row>
    <row r="760" spans="1:34" ht="16.5" thickTop="1" thickBot="1">
      <c r="A760" s="41"/>
      <c r="B760" s="42"/>
      <c r="C760" s="43"/>
      <c r="D760" s="44"/>
      <c r="E760" s="45"/>
      <c r="F760" s="46"/>
      <c r="G760" s="45"/>
      <c r="H760" s="45"/>
      <c r="I760" s="47"/>
      <c r="J760" s="48"/>
      <c r="K760" s="48"/>
      <c r="L760" s="49"/>
      <c r="M760" s="49"/>
      <c r="N760" s="50"/>
      <c r="O760" s="51"/>
      <c r="P760" s="52"/>
      <c r="Q760" s="53"/>
      <c r="R760" s="54"/>
      <c r="S760" s="55"/>
      <c r="T760" s="56"/>
      <c r="U760" s="57"/>
      <c r="V760" s="56"/>
      <c r="W760" s="56"/>
      <c r="X760" s="57"/>
      <c r="Y760" s="57"/>
      <c r="Z760" s="58"/>
      <c r="AA760" s="59"/>
      <c r="AB760" s="60"/>
      <c r="AC760" s="60"/>
      <c r="AD760" s="54"/>
      <c r="AE760" s="61"/>
      <c r="AF760" s="61"/>
      <c r="AG760" s="62"/>
      <c r="AH760" s="63"/>
    </row>
    <row r="761" spans="1:34" ht="16.5" thickTop="1" thickBot="1">
      <c r="A761" s="41"/>
      <c r="B761" s="42"/>
      <c r="C761" s="43"/>
      <c r="D761" s="44"/>
      <c r="E761" s="45"/>
      <c r="F761" s="46"/>
      <c r="G761" s="45"/>
      <c r="H761" s="45"/>
      <c r="I761" s="47"/>
      <c r="J761" s="48"/>
      <c r="K761" s="48"/>
      <c r="L761" s="49"/>
      <c r="M761" s="49"/>
      <c r="N761" s="50"/>
      <c r="O761" s="51"/>
      <c r="P761" s="52"/>
      <c r="Q761" s="53"/>
      <c r="R761" s="54"/>
      <c r="S761" s="55"/>
      <c r="T761" s="56"/>
      <c r="U761" s="57"/>
      <c r="V761" s="56"/>
      <c r="W761" s="56"/>
      <c r="X761" s="57"/>
      <c r="Y761" s="57"/>
      <c r="Z761" s="58"/>
      <c r="AA761" s="59"/>
      <c r="AB761" s="60"/>
      <c r="AC761" s="60"/>
      <c r="AD761" s="54"/>
      <c r="AE761" s="61"/>
      <c r="AF761" s="61"/>
      <c r="AG761" s="62"/>
      <c r="AH761" s="63"/>
    </row>
    <row r="762" spans="1:34" ht="16.5" thickTop="1" thickBot="1">
      <c r="A762" s="41"/>
      <c r="B762" s="42"/>
      <c r="C762" s="43"/>
      <c r="D762" s="44"/>
      <c r="E762" s="45"/>
      <c r="F762" s="46"/>
      <c r="G762" s="45"/>
      <c r="H762" s="45"/>
      <c r="I762" s="47"/>
      <c r="J762" s="48"/>
      <c r="K762" s="48"/>
      <c r="L762" s="49"/>
      <c r="M762" s="49"/>
      <c r="N762" s="50"/>
      <c r="O762" s="51"/>
      <c r="P762" s="52"/>
      <c r="Q762" s="53"/>
      <c r="R762" s="54"/>
      <c r="S762" s="55"/>
      <c r="T762" s="56"/>
      <c r="U762" s="57"/>
      <c r="V762" s="56"/>
      <c r="W762" s="56"/>
      <c r="X762" s="57"/>
      <c r="Y762" s="57"/>
      <c r="Z762" s="58"/>
      <c r="AA762" s="59"/>
      <c r="AB762" s="60"/>
      <c r="AC762" s="60"/>
      <c r="AD762" s="54"/>
      <c r="AE762" s="61"/>
      <c r="AF762" s="61"/>
      <c r="AG762" s="62"/>
      <c r="AH762" s="63"/>
    </row>
    <row r="763" spans="1:34" ht="16.5" thickTop="1" thickBot="1">
      <c r="A763" s="41"/>
      <c r="B763" s="42"/>
      <c r="C763" s="43"/>
      <c r="D763" s="44"/>
      <c r="E763" s="45"/>
      <c r="F763" s="46"/>
      <c r="G763" s="45"/>
      <c r="H763" s="45"/>
      <c r="I763" s="47"/>
      <c r="J763" s="48"/>
      <c r="K763" s="48"/>
      <c r="L763" s="49"/>
      <c r="M763" s="49"/>
      <c r="N763" s="50"/>
      <c r="O763" s="51"/>
      <c r="P763" s="52"/>
      <c r="Q763" s="53"/>
      <c r="R763" s="54"/>
      <c r="S763" s="55"/>
      <c r="T763" s="56"/>
      <c r="U763" s="57"/>
      <c r="V763" s="56"/>
      <c r="W763" s="56"/>
      <c r="X763" s="57"/>
      <c r="Y763" s="57"/>
      <c r="Z763" s="58"/>
      <c r="AA763" s="59"/>
      <c r="AB763" s="60"/>
      <c r="AC763" s="60"/>
      <c r="AD763" s="54"/>
      <c r="AE763" s="61"/>
      <c r="AF763" s="61"/>
      <c r="AG763" s="62"/>
      <c r="AH763" s="63"/>
    </row>
    <row r="764" spans="1:34" ht="16.5" thickTop="1" thickBot="1">
      <c r="A764" s="41"/>
      <c r="B764" s="42"/>
      <c r="C764" s="43"/>
      <c r="D764" s="44"/>
      <c r="E764" s="45"/>
      <c r="F764" s="46"/>
      <c r="G764" s="45"/>
      <c r="H764" s="45"/>
      <c r="I764" s="47"/>
      <c r="J764" s="48"/>
      <c r="K764" s="48"/>
      <c r="L764" s="49"/>
      <c r="M764" s="49"/>
      <c r="N764" s="50"/>
      <c r="O764" s="51"/>
      <c r="P764" s="52"/>
      <c r="Q764" s="53"/>
      <c r="R764" s="54"/>
      <c r="S764" s="55"/>
      <c r="T764" s="56"/>
      <c r="U764" s="57"/>
      <c r="V764" s="56"/>
      <c r="W764" s="56"/>
      <c r="X764" s="57"/>
      <c r="Y764" s="57"/>
      <c r="Z764" s="58"/>
      <c r="AA764" s="59"/>
      <c r="AB764" s="60"/>
      <c r="AC764" s="60"/>
      <c r="AD764" s="54"/>
      <c r="AE764" s="61"/>
      <c r="AF764" s="61"/>
      <c r="AG764" s="62"/>
      <c r="AH764" s="63"/>
    </row>
    <row r="765" spans="1:34" ht="16.5" thickTop="1" thickBot="1">
      <c r="A765" s="41"/>
      <c r="B765" s="42"/>
      <c r="C765" s="43"/>
      <c r="D765" s="44"/>
      <c r="E765" s="45"/>
      <c r="F765" s="46"/>
      <c r="G765" s="45"/>
      <c r="H765" s="45"/>
      <c r="I765" s="47"/>
      <c r="J765" s="48"/>
      <c r="K765" s="48"/>
      <c r="L765" s="49"/>
      <c r="M765" s="49"/>
      <c r="N765" s="50"/>
      <c r="O765" s="51"/>
      <c r="P765" s="52"/>
      <c r="Q765" s="53"/>
      <c r="R765" s="54"/>
      <c r="S765" s="55"/>
      <c r="T765" s="56"/>
      <c r="U765" s="57"/>
      <c r="V765" s="56"/>
      <c r="W765" s="56"/>
      <c r="X765" s="57"/>
      <c r="Y765" s="57"/>
      <c r="Z765" s="58"/>
      <c r="AA765" s="59"/>
      <c r="AB765" s="60"/>
      <c r="AC765" s="60"/>
      <c r="AD765" s="54"/>
      <c r="AE765" s="61"/>
      <c r="AF765" s="61"/>
      <c r="AG765" s="62"/>
      <c r="AH765" s="63"/>
    </row>
    <row r="766" spans="1:34" ht="16.5" thickTop="1" thickBot="1">
      <c r="A766" s="41"/>
      <c r="B766" s="42"/>
      <c r="C766" s="43"/>
      <c r="D766" s="44"/>
      <c r="E766" s="45"/>
      <c r="F766" s="46"/>
      <c r="G766" s="45"/>
      <c r="H766" s="45"/>
      <c r="I766" s="47"/>
      <c r="J766" s="48"/>
      <c r="K766" s="48"/>
      <c r="L766" s="49"/>
      <c r="M766" s="49"/>
      <c r="N766" s="50"/>
      <c r="O766" s="51"/>
      <c r="P766" s="52"/>
      <c r="Q766" s="53"/>
      <c r="R766" s="54"/>
      <c r="S766" s="55"/>
      <c r="T766" s="56"/>
      <c r="U766" s="57"/>
      <c r="V766" s="56"/>
      <c r="W766" s="56"/>
      <c r="X766" s="57"/>
      <c r="Y766" s="57"/>
      <c r="Z766" s="58"/>
      <c r="AA766" s="59"/>
      <c r="AB766" s="60"/>
      <c r="AC766" s="60"/>
      <c r="AD766" s="54"/>
      <c r="AE766" s="61"/>
      <c r="AF766" s="61"/>
      <c r="AG766" s="62"/>
      <c r="AH766" s="63"/>
    </row>
    <row r="767" spans="1:34" ht="16.5" thickTop="1" thickBot="1">
      <c r="A767" s="41"/>
      <c r="B767" s="42"/>
      <c r="C767" s="43"/>
      <c r="D767" s="44"/>
      <c r="E767" s="45"/>
      <c r="F767" s="46"/>
      <c r="G767" s="45"/>
      <c r="H767" s="45"/>
      <c r="I767" s="47"/>
      <c r="J767" s="48"/>
      <c r="K767" s="48"/>
      <c r="L767" s="49"/>
      <c r="M767" s="49"/>
      <c r="N767" s="50"/>
      <c r="O767" s="51"/>
      <c r="P767" s="52"/>
      <c r="Q767" s="53"/>
      <c r="R767" s="54"/>
      <c r="S767" s="55"/>
      <c r="T767" s="56"/>
      <c r="U767" s="57"/>
      <c r="V767" s="56"/>
      <c r="W767" s="56"/>
      <c r="X767" s="57"/>
      <c r="Y767" s="57"/>
      <c r="Z767" s="58"/>
      <c r="AA767" s="59"/>
      <c r="AB767" s="60"/>
      <c r="AC767" s="60"/>
      <c r="AD767" s="54"/>
      <c r="AE767" s="61"/>
      <c r="AF767" s="61"/>
      <c r="AG767" s="62"/>
      <c r="AH767" s="63"/>
    </row>
    <row r="768" spans="1:34" ht="16.5" thickTop="1" thickBot="1">
      <c r="A768" s="41"/>
      <c r="B768" s="42"/>
      <c r="C768" s="43"/>
      <c r="D768" s="44"/>
      <c r="E768" s="45"/>
      <c r="F768" s="46"/>
      <c r="G768" s="45"/>
      <c r="H768" s="45"/>
      <c r="I768" s="47"/>
      <c r="J768" s="48"/>
      <c r="K768" s="48"/>
      <c r="L768" s="49"/>
      <c r="M768" s="49"/>
      <c r="N768" s="50"/>
      <c r="O768" s="51"/>
      <c r="P768" s="52"/>
      <c r="Q768" s="53"/>
      <c r="R768" s="54"/>
      <c r="S768" s="55"/>
      <c r="T768" s="56"/>
      <c r="U768" s="57"/>
      <c r="V768" s="56"/>
      <c r="W768" s="56"/>
      <c r="X768" s="57"/>
      <c r="Y768" s="57"/>
      <c r="Z768" s="58"/>
      <c r="AA768" s="59"/>
      <c r="AB768" s="60"/>
      <c r="AC768" s="60"/>
      <c r="AD768" s="54"/>
      <c r="AE768" s="61"/>
      <c r="AF768" s="61"/>
      <c r="AG768" s="62"/>
      <c r="AH768" s="63"/>
    </row>
    <row r="769" spans="1:34" ht="16.5" thickTop="1" thickBot="1">
      <c r="A769" s="41"/>
      <c r="B769" s="42"/>
      <c r="C769" s="43"/>
      <c r="D769" s="44"/>
      <c r="E769" s="45"/>
      <c r="F769" s="46"/>
      <c r="G769" s="45"/>
      <c r="H769" s="45"/>
      <c r="I769" s="47"/>
      <c r="J769" s="48"/>
      <c r="K769" s="48"/>
      <c r="L769" s="49"/>
      <c r="M769" s="49"/>
      <c r="N769" s="50"/>
      <c r="O769" s="51"/>
      <c r="P769" s="52"/>
      <c r="Q769" s="53"/>
      <c r="R769" s="54"/>
      <c r="S769" s="55"/>
      <c r="T769" s="56"/>
      <c r="U769" s="57"/>
      <c r="V769" s="56"/>
      <c r="W769" s="56"/>
      <c r="X769" s="57"/>
      <c r="Y769" s="57"/>
      <c r="Z769" s="58"/>
      <c r="AA769" s="59"/>
      <c r="AB769" s="60"/>
      <c r="AC769" s="60"/>
      <c r="AD769" s="54"/>
      <c r="AE769" s="61"/>
      <c r="AF769" s="61"/>
      <c r="AG769" s="62"/>
      <c r="AH769" s="63"/>
    </row>
    <row r="770" spans="1:34" ht="16.5" thickTop="1" thickBot="1">
      <c r="A770" s="41"/>
      <c r="B770" s="42"/>
      <c r="C770" s="43"/>
      <c r="D770" s="44"/>
      <c r="E770" s="45"/>
      <c r="F770" s="46"/>
      <c r="G770" s="45"/>
      <c r="H770" s="45"/>
      <c r="I770" s="47"/>
      <c r="J770" s="48"/>
      <c r="K770" s="48"/>
      <c r="L770" s="49"/>
      <c r="M770" s="49"/>
      <c r="N770" s="50"/>
      <c r="O770" s="51"/>
      <c r="P770" s="52"/>
      <c r="Q770" s="53"/>
      <c r="R770" s="77"/>
      <c r="S770" s="78"/>
      <c r="T770" s="56"/>
      <c r="U770" s="57"/>
      <c r="V770" s="56"/>
      <c r="W770" s="56"/>
      <c r="X770" s="57"/>
      <c r="Y770" s="57"/>
      <c r="Z770" s="58"/>
      <c r="AA770" s="82"/>
      <c r="AB770" s="60"/>
      <c r="AC770" s="60"/>
      <c r="AD770" s="54"/>
      <c r="AE770" s="61"/>
      <c r="AF770" s="61"/>
      <c r="AG770" s="62"/>
      <c r="AH770" s="63"/>
    </row>
    <row r="771" spans="1:34" ht="16.5" thickTop="1" thickBot="1">
      <c r="A771" s="41"/>
      <c r="B771" s="42"/>
      <c r="C771" s="43"/>
      <c r="D771" s="44"/>
      <c r="E771" s="45"/>
      <c r="F771" s="46"/>
      <c r="G771" s="45"/>
      <c r="H771" s="45"/>
      <c r="I771" s="47"/>
      <c r="J771" s="48"/>
      <c r="K771" s="48"/>
      <c r="L771" s="49"/>
      <c r="M771" s="49"/>
      <c r="N771" s="50"/>
      <c r="O771" s="51"/>
      <c r="P771" s="52"/>
      <c r="Q771" s="53"/>
      <c r="R771" s="77"/>
      <c r="S771" s="78"/>
      <c r="T771" s="56"/>
      <c r="U771" s="57"/>
      <c r="V771" s="56"/>
      <c r="W771" s="56"/>
      <c r="X771" s="57"/>
      <c r="Y771" s="57"/>
      <c r="Z771" s="58"/>
      <c r="AA771" s="82"/>
      <c r="AB771" s="60"/>
      <c r="AC771" s="60"/>
      <c r="AD771" s="54"/>
      <c r="AE771" s="61"/>
      <c r="AF771" s="61"/>
      <c r="AG771" s="62"/>
      <c r="AH771" s="63"/>
    </row>
    <row r="772" spans="1:34" ht="16.5" thickTop="1" thickBot="1">
      <c r="A772" s="41"/>
      <c r="B772" s="42"/>
      <c r="C772" s="43"/>
      <c r="D772" s="44"/>
      <c r="E772" s="45"/>
      <c r="F772" s="46"/>
      <c r="G772" s="45"/>
      <c r="H772" s="45"/>
      <c r="I772" s="47"/>
      <c r="J772" s="48"/>
      <c r="K772" s="48"/>
      <c r="L772" s="49"/>
      <c r="M772" s="49"/>
      <c r="N772" s="50"/>
      <c r="O772" s="51"/>
      <c r="P772" s="52"/>
      <c r="Q772" s="53"/>
      <c r="R772" s="77"/>
      <c r="S772" s="78"/>
      <c r="T772" s="56"/>
      <c r="U772" s="57"/>
      <c r="V772" s="56"/>
      <c r="W772" s="56"/>
      <c r="X772" s="57"/>
      <c r="Y772" s="57"/>
      <c r="Z772" s="58"/>
      <c r="AA772" s="82"/>
      <c r="AB772" s="60"/>
      <c r="AC772" s="60"/>
      <c r="AD772" s="54"/>
      <c r="AE772" s="61"/>
      <c r="AF772" s="61"/>
      <c r="AG772" s="62"/>
      <c r="AH772" s="63"/>
    </row>
    <row r="773" spans="1:34" ht="16.5" thickTop="1" thickBot="1">
      <c r="A773" s="41"/>
      <c r="B773" s="42"/>
      <c r="C773" s="43"/>
      <c r="D773" s="44"/>
      <c r="E773" s="45"/>
      <c r="F773" s="46"/>
      <c r="G773" s="45"/>
      <c r="H773" s="45"/>
      <c r="I773" s="47"/>
      <c r="J773" s="48"/>
      <c r="K773" s="48"/>
      <c r="L773" s="49"/>
      <c r="M773" s="49"/>
      <c r="N773" s="50"/>
      <c r="O773" s="51"/>
      <c r="P773" s="52"/>
      <c r="Q773" s="53"/>
      <c r="R773" s="77"/>
      <c r="S773" s="78"/>
      <c r="T773" s="56"/>
      <c r="U773" s="57"/>
      <c r="V773" s="56"/>
      <c r="W773" s="56"/>
      <c r="X773" s="57"/>
      <c r="Y773" s="57"/>
      <c r="Z773" s="58"/>
      <c r="AA773" s="82"/>
      <c r="AB773" s="60"/>
      <c r="AC773" s="60"/>
      <c r="AD773" s="54"/>
      <c r="AE773" s="61"/>
      <c r="AF773" s="61"/>
      <c r="AG773" s="62"/>
      <c r="AH773" s="63"/>
    </row>
    <row r="774" spans="1:34" ht="16.5" thickTop="1" thickBot="1">
      <c r="A774" s="41"/>
      <c r="B774" s="42"/>
      <c r="C774" s="43"/>
      <c r="D774" s="44"/>
      <c r="E774" s="45"/>
      <c r="F774" s="46"/>
      <c r="G774" s="45"/>
      <c r="H774" s="45"/>
      <c r="I774" s="47"/>
      <c r="J774" s="48"/>
      <c r="K774" s="48"/>
      <c r="L774" s="49"/>
      <c r="M774" s="49"/>
      <c r="N774" s="50"/>
      <c r="O774" s="51"/>
      <c r="P774" s="52"/>
      <c r="Q774" s="53"/>
      <c r="R774" s="77"/>
      <c r="S774" s="78"/>
      <c r="T774" s="56"/>
      <c r="U774" s="57"/>
      <c r="V774" s="56"/>
      <c r="W774" s="56"/>
      <c r="X774" s="57"/>
      <c r="Y774" s="57"/>
      <c r="Z774" s="58"/>
      <c r="AA774" s="82"/>
      <c r="AB774" s="60"/>
      <c r="AC774" s="60"/>
      <c r="AD774" s="54"/>
      <c r="AE774" s="61"/>
      <c r="AF774" s="61"/>
      <c r="AG774" s="62"/>
      <c r="AH774" s="63"/>
    </row>
    <row r="775" spans="1:34" ht="16.5" thickTop="1" thickBot="1">
      <c r="A775" s="41"/>
      <c r="B775" s="42"/>
      <c r="C775" s="43"/>
      <c r="D775" s="44"/>
      <c r="E775" s="45"/>
      <c r="F775" s="46"/>
      <c r="G775" s="45"/>
      <c r="H775" s="45"/>
      <c r="I775" s="47"/>
      <c r="J775" s="48"/>
      <c r="K775" s="48"/>
      <c r="L775" s="49"/>
      <c r="M775" s="49"/>
      <c r="N775" s="50"/>
      <c r="O775" s="51"/>
      <c r="P775" s="52"/>
      <c r="Q775" s="53"/>
      <c r="R775" s="77"/>
      <c r="S775" s="78"/>
      <c r="T775" s="56"/>
      <c r="U775" s="57"/>
      <c r="V775" s="56"/>
      <c r="W775" s="56"/>
      <c r="X775" s="57"/>
      <c r="Y775" s="57"/>
      <c r="Z775" s="58"/>
      <c r="AA775" s="82"/>
      <c r="AB775" s="60"/>
      <c r="AC775" s="60"/>
      <c r="AD775" s="54"/>
      <c r="AE775" s="61"/>
      <c r="AF775" s="61"/>
      <c r="AG775" s="62"/>
      <c r="AH775" s="63"/>
    </row>
    <row r="776" spans="1:34" ht="16.5" thickTop="1" thickBot="1">
      <c r="A776" s="41"/>
      <c r="B776" s="42"/>
      <c r="C776" s="43"/>
      <c r="D776" s="44"/>
      <c r="E776" s="45"/>
      <c r="F776" s="46"/>
      <c r="G776" s="45"/>
      <c r="H776" s="45"/>
      <c r="I776" s="47"/>
      <c r="J776" s="48"/>
      <c r="K776" s="48"/>
      <c r="L776" s="49"/>
      <c r="M776" s="49"/>
      <c r="N776" s="50"/>
      <c r="O776" s="51"/>
      <c r="P776" s="52"/>
      <c r="Q776" s="53"/>
      <c r="R776" s="77"/>
      <c r="S776" s="78"/>
      <c r="T776" s="56"/>
      <c r="U776" s="57"/>
      <c r="V776" s="56"/>
      <c r="W776" s="56"/>
      <c r="X776" s="57"/>
      <c r="Y776" s="57"/>
      <c r="Z776" s="58"/>
      <c r="AA776" s="82"/>
      <c r="AB776" s="60"/>
      <c r="AC776" s="60"/>
      <c r="AD776" s="54"/>
      <c r="AE776" s="61"/>
      <c r="AF776" s="61"/>
      <c r="AG776" s="62"/>
      <c r="AH776" s="63"/>
    </row>
    <row r="777" spans="1:34" s="88" customFormat="1" ht="16.5" thickTop="1" thickBot="1">
      <c r="A777" s="41"/>
      <c r="B777" s="42"/>
      <c r="C777" s="43"/>
      <c r="D777" s="44"/>
      <c r="E777" s="45"/>
      <c r="F777" s="46"/>
      <c r="G777" s="45"/>
      <c r="H777" s="45"/>
      <c r="I777" s="47"/>
      <c r="J777" s="48"/>
      <c r="K777" s="48"/>
      <c r="L777" s="49"/>
      <c r="M777" s="49"/>
      <c r="N777" s="50"/>
      <c r="O777" s="51"/>
      <c r="P777" s="52"/>
      <c r="Q777" s="53"/>
      <c r="R777" s="77"/>
      <c r="S777" s="78"/>
      <c r="T777" s="56"/>
      <c r="U777" s="80"/>
      <c r="V777" s="56"/>
      <c r="W777" s="56"/>
      <c r="X777" s="80"/>
      <c r="Y777" s="57"/>
      <c r="Z777" s="58"/>
      <c r="AA777" s="82"/>
      <c r="AB777" s="83"/>
      <c r="AC777" s="83"/>
      <c r="AD777" s="77"/>
      <c r="AE777" s="84"/>
      <c r="AF777" s="84"/>
      <c r="AG777" s="62"/>
      <c r="AH777" s="63"/>
    </row>
    <row r="778" spans="1:34" s="88" customFormat="1" ht="16.5" thickTop="1" thickBot="1">
      <c r="A778" s="41"/>
      <c r="B778" s="42"/>
      <c r="C778" s="43"/>
      <c r="D778" s="44"/>
      <c r="E778" s="45"/>
      <c r="F778" s="46"/>
      <c r="G778" s="45"/>
      <c r="H778" s="45"/>
      <c r="I778" s="47"/>
      <c r="J778" s="48"/>
      <c r="K778" s="48"/>
      <c r="L778" s="49"/>
      <c r="M778" s="49"/>
      <c r="N778" s="50"/>
      <c r="O778" s="51"/>
      <c r="P778" s="52"/>
      <c r="Q778" s="53"/>
      <c r="R778" s="77"/>
      <c r="S778" s="78"/>
      <c r="T778" s="56"/>
      <c r="U778" s="80"/>
      <c r="V778" s="56"/>
      <c r="W778" s="56"/>
      <c r="X778" s="80"/>
      <c r="Y778" s="57"/>
      <c r="Z778" s="58"/>
      <c r="AA778" s="82"/>
      <c r="AB778" s="83"/>
      <c r="AC778" s="83"/>
      <c r="AD778" s="77"/>
      <c r="AE778" s="84"/>
      <c r="AF778" s="84"/>
      <c r="AG778" s="62"/>
      <c r="AH778" s="63"/>
    </row>
    <row r="779" spans="1:34" s="88" customFormat="1" ht="16.5" thickTop="1" thickBot="1">
      <c r="A779" s="41"/>
      <c r="B779" s="42"/>
      <c r="C779" s="43"/>
      <c r="D779" s="44"/>
      <c r="E779" s="45"/>
      <c r="F779" s="46"/>
      <c r="G779" s="45"/>
      <c r="H779" s="45"/>
      <c r="I779" s="47"/>
      <c r="J779" s="48"/>
      <c r="K779" s="48"/>
      <c r="L779" s="49"/>
      <c r="M779" s="49"/>
      <c r="N779" s="50"/>
      <c r="O779" s="51"/>
      <c r="P779" s="52"/>
      <c r="Q779" s="53"/>
      <c r="R779" s="77"/>
      <c r="S779" s="78"/>
      <c r="T779" s="56"/>
      <c r="U779" s="80"/>
      <c r="V779" s="56"/>
      <c r="W779" s="56"/>
      <c r="X779" s="80"/>
      <c r="Y779" s="57"/>
      <c r="Z779" s="58"/>
      <c r="AA779" s="82"/>
      <c r="AB779" s="83"/>
      <c r="AC779" s="83"/>
      <c r="AD779" s="77"/>
      <c r="AE779" s="84"/>
      <c r="AF779" s="84"/>
      <c r="AG779" s="62"/>
      <c r="AH779" s="63"/>
    </row>
    <row r="780" spans="1:34" s="88" customFormat="1" ht="16.5" thickTop="1" thickBot="1">
      <c r="A780" s="41"/>
      <c r="B780" s="42"/>
      <c r="C780" s="43"/>
      <c r="D780" s="44"/>
      <c r="E780" s="45"/>
      <c r="F780" s="46"/>
      <c r="G780" s="45"/>
      <c r="H780" s="45"/>
      <c r="I780" s="47"/>
      <c r="J780" s="48"/>
      <c r="K780" s="48"/>
      <c r="L780" s="49"/>
      <c r="M780" s="49"/>
      <c r="N780" s="50"/>
      <c r="O780" s="51"/>
      <c r="P780" s="52"/>
      <c r="Q780" s="53"/>
      <c r="R780" s="77"/>
      <c r="S780" s="78"/>
      <c r="T780" s="56"/>
      <c r="U780" s="80"/>
      <c r="V780" s="56"/>
      <c r="W780" s="56"/>
      <c r="X780" s="80"/>
      <c r="Y780" s="57"/>
      <c r="Z780" s="58"/>
      <c r="AA780" s="82"/>
      <c r="AB780" s="83"/>
      <c r="AC780" s="83"/>
      <c r="AD780" s="77"/>
      <c r="AE780" s="84"/>
      <c r="AF780" s="84"/>
      <c r="AG780" s="62"/>
      <c r="AH780" s="63"/>
    </row>
    <row r="781" spans="1:34" s="88" customFormat="1" ht="16.5" thickTop="1" thickBot="1">
      <c r="A781" s="41"/>
      <c r="B781" s="42"/>
      <c r="C781" s="43"/>
      <c r="D781" s="44"/>
      <c r="E781" s="45"/>
      <c r="F781" s="46"/>
      <c r="G781" s="45"/>
      <c r="H781" s="45"/>
      <c r="I781" s="47"/>
      <c r="J781" s="48"/>
      <c r="K781" s="48"/>
      <c r="L781" s="49"/>
      <c r="M781" s="49"/>
      <c r="N781" s="50"/>
      <c r="O781" s="51"/>
      <c r="P781" s="52"/>
      <c r="Q781" s="53"/>
      <c r="R781" s="77"/>
      <c r="S781" s="78"/>
      <c r="T781" s="56"/>
      <c r="U781" s="80"/>
      <c r="V781" s="56"/>
      <c r="W781" s="56"/>
      <c r="X781" s="80"/>
      <c r="Y781" s="57"/>
      <c r="Z781" s="58"/>
      <c r="AA781" s="82"/>
      <c r="AB781" s="83"/>
      <c r="AC781" s="83"/>
      <c r="AD781" s="77"/>
      <c r="AE781" s="84"/>
      <c r="AF781" s="84"/>
      <c r="AG781" s="62"/>
      <c r="AH781" s="63"/>
    </row>
    <row r="782" spans="1:34" s="88" customFormat="1" ht="16.5" thickTop="1" thickBot="1">
      <c r="A782" s="41"/>
      <c r="B782" s="42"/>
      <c r="C782" s="43"/>
      <c r="D782" s="44"/>
      <c r="E782" s="45"/>
      <c r="F782" s="46"/>
      <c r="G782" s="45"/>
      <c r="H782" s="45"/>
      <c r="I782" s="47"/>
      <c r="J782" s="48"/>
      <c r="K782" s="48"/>
      <c r="L782" s="49"/>
      <c r="M782" s="49"/>
      <c r="N782" s="50"/>
      <c r="O782" s="51"/>
      <c r="P782" s="52"/>
      <c r="Q782" s="53"/>
      <c r="R782" s="77"/>
      <c r="S782" s="78"/>
      <c r="T782" s="56"/>
      <c r="U782" s="80"/>
      <c r="V782" s="56"/>
      <c r="W782" s="56"/>
      <c r="X782" s="80"/>
      <c r="Y782" s="57"/>
      <c r="Z782" s="58"/>
      <c r="AA782" s="82"/>
      <c r="AB782" s="83"/>
      <c r="AC782" s="83"/>
      <c r="AD782" s="77"/>
      <c r="AE782" s="84"/>
      <c r="AF782" s="84"/>
      <c r="AG782" s="62"/>
      <c r="AH782" s="63"/>
    </row>
    <row r="783" spans="1:34" s="88" customFormat="1" ht="16.5" thickTop="1" thickBot="1">
      <c r="A783" s="41"/>
      <c r="B783" s="42"/>
      <c r="C783" s="43"/>
      <c r="D783" s="44"/>
      <c r="E783" s="45"/>
      <c r="F783" s="46"/>
      <c r="G783" s="45"/>
      <c r="H783" s="45"/>
      <c r="I783" s="47"/>
      <c r="J783" s="48"/>
      <c r="K783" s="48"/>
      <c r="L783" s="49"/>
      <c r="M783" s="49"/>
      <c r="N783" s="50"/>
      <c r="O783" s="51"/>
      <c r="P783" s="52"/>
      <c r="Q783" s="53"/>
      <c r="R783" s="77"/>
      <c r="S783" s="78"/>
      <c r="T783" s="56"/>
      <c r="U783" s="80"/>
      <c r="V783" s="56"/>
      <c r="W783" s="56"/>
      <c r="X783" s="80"/>
      <c r="Y783" s="57"/>
      <c r="Z783" s="58"/>
      <c r="AA783" s="82"/>
      <c r="AB783" s="83"/>
      <c r="AC783" s="83"/>
      <c r="AD783" s="77"/>
      <c r="AE783" s="84"/>
      <c r="AF783" s="84"/>
      <c r="AG783" s="62"/>
      <c r="AH783" s="63"/>
    </row>
    <row r="784" spans="1:34" s="88" customFormat="1" ht="16.5" thickTop="1" thickBot="1">
      <c r="A784" s="41"/>
      <c r="B784" s="42"/>
      <c r="C784" s="43"/>
      <c r="D784" s="44"/>
      <c r="E784" s="45"/>
      <c r="F784" s="46"/>
      <c r="G784" s="45"/>
      <c r="H784" s="45"/>
      <c r="I784" s="47"/>
      <c r="J784" s="48"/>
      <c r="K784" s="48"/>
      <c r="L784" s="49"/>
      <c r="M784" s="49"/>
      <c r="N784" s="50"/>
      <c r="O784" s="51"/>
      <c r="P784" s="52"/>
      <c r="Q784" s="53"/>
      <c r="R784" s="77"/>
      <c r="S784" s="78"/>
      <c r="T784" s="56"/>
      <c r="U784" s="80"/>
      <c r="V784" s="56"/>
      <c r="W784" s="56"/>
      <c r="X784" s="80"/>
      <c r="Y784" s="57"/>
      <c r="Z784" s="58"/>
      <c r="AA784" s="82"/>
      <c r="AB784" s="83"/>
      <c r="AC784" s="83"/>
      <c r="AD784" s="77"/>
      <c r="AE784" s="84"/>
      <c r="AF784" s="84"/>
      <c r="AG784" s="62"/>
      <c r="AH784" s="63"/>
    </row>
    <row r="785" spans="1:34" s="88" customFormat="1" ht="16.5" thickTop="1" thickBot="1">
      <c r="A785" s="41"/>
      <c r="B785" s="42"/>
      <c r="C785" s="43"/>
      <c r="D785" s="44"/>
      <c r="E785" s="45"/>
      <c r="F785" s="46"/>
      <c r="G785" s="45"/>
      <c r="H785" s="45"/>
      <c r="I785" s="47"/>
      <c r="J785" s="48"/>
      <c r="K785" s="48"/>
      <c r="L785" s="49"/>
      <c r="M785" s="49"/>
      <c r="N785" s="50"/>
      <c r="O785" s="51"/>
      <c r="P785" s="52"/>
      <c r="Q785" s="53"/>
      <c r="R785" s="77"/>
      <c r="S785" s="78"/>
      <c r="T785" s="56"/>
      <c r="U785" s="80"/>
      <c r="V785" s="56"/>
      <c r="W785" s="56"/>
      <c r="X785" s="80"/>
      <c r="Y785" s="57"/>
      <c r="Z785" s="58"/>
      <c r="AA785" s="82"/>
      <c r="AB785" s="83"/>
      <c r="AC785" s="83"/>
      <c r="AD785" s="77"/>
      <c r="AE785" s="84"/>
      <c r="AF785" s="84"/>
      <c r="AG785" s="62"/>
      <c r="AH785" s="63"/>
    </row>
    <row r="786" spans="1:34" s="88" customFormat="1" ht="16.5" thickTop="1" thickBot="1">
      <c r="A786" s="41"/>
      <c r="B786" s="42"/>
      <c r="C786" s="43"/>
      <c r="D786" s="44"/>
      <c r="E786" s="45"/>
      <c r="F786" s="46"/>
      <c r="G786" s="45"/>
      <c r="H786" s="45"/>
      <c r="I786" s="47"/>
      <c r="J786" s="48"/>
      <c r="K786" s="48"/>
      <c r="L786" s="49"/>
      <c r="M786" s="49"/>
      <c r="N786" s="50"/>
      <c r="O786" s="51"/>
      <c r="P786" s="52"/>
      <c r="Q786" s="53"/>
      <c r="R786" s="77"/>
      <c r="S786" s="78"/>
      <c r="T786" s="56"/>
      <c r="U786" s="80"/>
      <c r="V786" s="56"/>
      <c r="W786" s="56"/>
      <c r="X786" s="80"/>
      <c r="Y786" s="57"/>
      <c r="Z786" s="58"/>
      <c r="AA786" s="82"/>
      <c r="AB786" s="83"/>
      <c r="AC786" s="83"/>
      <c r="AD786" s="77"/>
      <c r="AE786" s="84"/>
      <c r="AF786" s="84"/>
      <c r="AG786" s="62"/>
      <c r="AH786" s="63"/>
    </row>
    <row r="787" spans="1:34" s="88" customFormat="1" ht="16.5" thickTop="1" thickBot="1">
      <c r="A787" s="41"/>
      <c r="B787" s="42"/>
      <c r="C787" s="43"/>
      <c r="D787" s="44"/>
      <c r="E787" s="45"/>
      <c r="F787" s="46"/>
      <c r="G787" s="45"/>
      <c r="H787" s="45"/>
      <c r="I787" s="47"/>
      <c r="J787" s="48"/>
      <c r="K787" s="48"/>
      <c r="L787" s="49"/>
      <c r="M787" s="49"/>
      <c r="N787" s="50"/>
      <c r="O787" s="51"/>
      <c r="P787" s="52"/>
      <c r="Q787" s="53"/>
      <c r="R787" s="77"/>
      <c r="S787" s="78"/>
      <c r="T787" s="56"/>
      <c r="U787" s="80"/>
      <c r="V787" s="56"/>
      <c r="W787" s="56"/>
      <c r="X787" s="80"/>
      <c r="Y787" s="57"/>
      <c r="Z787" s="58"/>
      <c r="AA787" s="82"/>
      <c r="AB787" s="83"/>
      <c r="AC787" s="83"/>
      <c r="AD787" s="77"/>
      <c r="AE787" s="84"/>
      <c r="AF787" s="84"/>
      <c r="AG787" s="62"/>
      <c r="AH787" s="63"/>
    </row>
    <row r="788" spans="1:34" s="88" customFormat="1" ht="16.5" thickTop="1" thickBot="1">
      <c r="A788" s="41"/>
      <c r="B788" s="42"/>
      <c r="C788" s="43"/>
      <c r="D788" s="44"/>
      <c r="E788" s="45"/>
      <c r="F788" s="46"/>
      <c r="G788" s="45"/>
      <c r="H788" s="45"/>
      <c r="I788" s="47"/>
      <c r="J788" s="48"/>
      <c r="K788" s="48"/>
      <c r="L788" s="49"/>
      <c r="M788" s="49"/>
      <c r="N788" s="50"/>
      <c r="O788" s="51"/>
      <c r="P788" s="52"/>
      <c r="Q788" s="53"/>
      <c r="R788" s="77"/>
      <c r="S788" s="78"/>
      <c r="T788" s="56"/>
      <c r="U788" s="80"/>
      <c r="V788" s="56"/>
      <c r="W788" s="56"/>
      <c r="X788" s="80"/>
      <c r="Y788" s="57"/>
      <c r="Z788" s="58"/>
      <c r="AA788" s="82"/>
      <c r="AB788" s="83"/>
      <c r="AC788" s="83"/>
      <c r="AD788" s="77"/>
      <c r="AE788" s="84"/>
      <c r="AF788" s="84"/>
      <c r="AG788" s="62"/>
      <c r="AH788" s="63"/>
    </row>
    <row r="789" spans="1:34" s="88" customFormat="1" ht="16.5" thickTop="1" thickBot="1">
      <c r="A789" s="41"/>
      <c r="B789" s="42"/>
      <c r="C789" s="43"/>
      <c r="D789" s="44"/>
      <c r="E789" s="45"/>
      <c r="F789" s="46"/>
      <c r="G789" s="45"/>
      <c r="H789" s="45"/>
      <c r="I789" s="47"/>
      <c r="J789" s="48"/>
      <c r="K789" s="48"/>
      <c r="L789" s="49"/>
      <c r="M789" s="49"/>
      <c r="N789" s="50"/>
      <c r="O789" s="51"/>
      <c r="P789" s="52"/>
      <c r="Q789" s="53"/>
      <c r="R789" s="77"/>
      <c r="S789" s="78"/>
      <c r="T789" s="56"/>
      <c r="U789" s="80"/>
      <c r="V789" s="56"/>
      <c r="W789" s="56"/>
      <c r="X789" s="80"/>
      <c r="Y789" s="57"/>
      <c r="Z789" s="58"/>
      <c r="AA789" s="82"/>
      <c r="AB789" s="83"/>
      <c r="AC789" s="83"/>
      <c r="AD789" s="77"/>
      <c r="AE789" s="84"/>
      <c r="AF789" s="84"/>
      <c r="AG789" s="62"/>
      <c r="AH789" s="63"/>
    </row>
    <row r="790" spans="1:34" s="88" customFormat="1" ht="16.5" thickTop="1" thickBot="1">
      <c r="A790" s="41"/>
      <c r="B790" s="42"/>
      <c r="C790" s="43"/>
      <c r="D790" s="44"/>
      <c r="E790" s="45"/>
      <c r="F790" s="46"/>
      <c r="G790" s="45"/>
      <c r="H790" s="45"/>
      <c r="I790" s="47"/>
      <c r="J790" s="48"/>
      <c r="K790" s="48"/>
      <c r="L790" s="49"/>
      <c r="M790" s="49"/>
      <c r="N790" s="50"/>
      <c r="O790" s="51"/>
      <c r="P790" s="52"/>
      <c r="Q790" s="53"/>
      <c r="R790" s="77"/>
      <c r="S790" s="78"/>
      <c r="T790" s="56"/>
      <c r="U790" s="80"/>
      <c r="V790" s="56"/>
      <c r="W790" s="56"/>
      <c r="X790" s="80"/>
      <c r="Y790" s="57"/>
      <c r="Z790" s="58"/>
      <c r="AA790" s="82"/>
      <c r="AB790" s="83"/>
      <c r="AC790" s="83"/>
      <c r="AD790" s="77"/>
      <c r="AE790" s="84"/>
      <c r="AF790" s="84"/>
      <c r="AG790" s="62"/>
      <c r="AH790" s="63"/>
    </row>
    <row r="791" spans="1:34" s="88" customFormat="1" ht="16.5" thickTop="1" thickBot="1">
      <c r="A791" s="41"/>
      <c r="B791" s="42"/>
      <c r="C791" s="43"/>
      <c r="D791" s="44"/>
      <c r="E791" s="45"/>
      <c r="F791" s="46"/>
      <c r="G791" s="45"/>
      <c r="H791" s="45"/>
      <c r="I791" s="47"/>
      <c r="J791" s="48"/>
      <c r="K791" s="48"/>
      <c r="L791" s="49"/>
      <c r="M791" s="49"/>
      <c r="N791" s="50"/>
      <c r="O791" s="51"/>
      <c r="P791" s="52"/>
      <c r="Q791" s="53"/>
      <c r="R791" s="77"/>
      <c r="S791" s="78"/>
      <c r="T791" s="56"/>
      <c r="U791" s="80"/>
      <c r="V791" s="56"/>
      <c r="W791" s="56"/>
      <c r="X791" s="80"/>
      <c r="Y791" s="57"/>
      <c r="Z791" s="58"/>
      <c r="AA791" s="82"/>
      <c r="AB791" s="83"/>
      <c r="AC791" s="83"/>
      <c r="AD791" s="77"/>
      <c r="AE791" s="84"/>
      <c r="AF791" s="84"/>
      <c r="AG791" s="62"/>
      <c r="AH791" s="63"/>
    </row>
    <row r="792" spans="1:34" s="88" customFormat="1" ht="16.5" thickTop="1" thickBot="1">
      <c r="A792" s="41"/>
      <c r="B792" s="42"/>
      <c r="C792" s="43"/>
      <c r="D792" s="44"/>
      <c r="E792" s="45"/>
      <c r="F792" s="46"/>
      <c r="G792" s="45"/>
      <c r="H792" s="45"/>
      <c r="I792" s="47"/>
      <c r="J792" s="48"/>
      <c r="K792" s="48"/>
      <c r="L792" s="49"/>
      <c r="M792" s="49"/>
      <c r="N792" s="50"/>
      <c r="O792" s="51"/>
      <c r="P792" s="52"/>
      <c r="Q792" s="53"/>
      <c r="R792" s="77"/>
      <c r="S792" s="78"/>
      <c r="T792" s="56"/>
      <c r="U792" s="80"/>
      <c r="V792" s="56"/>
      <c r="W792" s="56"/>
      <c r="X792" s="80"/>
      <c r="Y792" s="57"/>
      <c r="Z792" s="58"/>
      <c r="AA792" s="82"/>
      <c r="AB792" s="83"/>
      <c r="AC792" s="83"/>
      <c r="AD792" s="77"/>
      <c r="AE792" s="84"/>
      <c r="AF792" s="84"/>
      <c r="AG792" s="62"/>
      <c r="AH792" s="63"/>
    </row>
    <row r="793" spans="1:34" s="88" customFormat="1" ht="16.5" thickTop="1" thickBot="1">
      <c r="A793" s="41"/>
      <c r="B793" s="42"/>
      <c r="C793" s="43"/>
      <c r="D793" s="44"/>
      <c r="E793" s="45"/>
      <c r="F793" s="46"/>
      <c r="G793" s="45"/>
      <c r="H793" s="45"/>
      <c r="I793" s="47"/>
      <c r="J793" s="48"/>
      <c r="K793" s="48"/>
      <c r="L793" s="49"/>
      <c r="M793" s="49"/>
      <c r="N793" s="50"/>
      <c r="O793" s="51"/>
      <c r="P793" s="52"/>
      <c r="Q793" s="53"/>
      <c r="R793" s="77"/>
      <c r="S793" s="78"/>
      <c r="T793" s="56"/>
      <c r="U793" s="80"/>
      <c r="V793" s="56"/>
      <c r="W793" s="56"/>
      <c r="X793" s="80"/>
      <c r="Y793" s="57"/>
      <c r="Z793" s="58"/>
      <c r="AA793" s="82"/>
      <c r="AB793" s="83"/>
      <c r="AC793" s="83"/>
      <c r="AD793" s="77"/>
      <c r="AE793" s="84"/>
      <c r="AF793" s="84"/>
      <c r="AG793" s="62"/>
      <c r="AH793" s="63"/>
    </row>
    <row r="794" spans="1:34" s="88" customFormat="1" ht="16.5" thickTop="1" thickBot="1">
      <c r="A794" s="41"/>
      <c r="B794" s="42"/>
      <c r="C794" s="43"/>
      <c r="D794" s="44"/>
      <c r="E794" s="45"/>
      <c r="F794" s="46"/>
      <c r="G794" s="45"/>
      <c r="H794" s="45"/>
      <c r="I794" s="47"/>
      <c r="J794" s="48"/>
      <c r="K794" s="48"/>
      <c r="L794" s="49"/>
      <c r="M794" s="49"/>
      <c r="N794" s="50"/>
      <c r="O794" s="51"/>
      <c r="P794" s="52"/>
      <c r="Q794" s="53"/>
      <c r="R794" s="77"/>
      <c r="S794" s="78"/>
      <c r="T794" s="56"/>
      <c r="U794" s="80"/>
      <c r="V794" s="56"/>
      <c r="W794" s="56"/>
      <c r="X794" s="80"/>
      <c r="Y794" s="57"/>
      <c r="Z794" s="58"/>
      <c r="AA794" s="82"/>
      <c r="AB794" s="83"/>
      <c r="AC794" s="83"/>
      <c r="AD794" s="77"/>
      <c r="AE794" s="84"/>
      <c r="AF794" s="84"/>
      <c r="AG794" s="62"/>
      <c r="AH794" s="63"/>
    </row>
    <row r="795" spans="1:34" s="88" customFormat="1" ht="16.5" thickTop="1" thickBot="1">
      <c r="A795" s="41"/>
      <c r="B795" s="42"/>
      <c r="C795" s="43"/>
      <c r="D795" s="44"/>
      <c r="E795" s="45"/>
      <c r="F795" s="46"/>
      <c r="G795" s="45"/>
      <c r="H795" s="45"/>
      <c r="I795" s="47"/>
      <c r="J795" s="48"/>
      <c r="K795" s="48"/>
      <c r="L795" s="49"/>
      <c r="M795" s="49"/>
      <c r="N795" s="50"/>
      <c r="O795" s="51"/>
      <c r="P795" s="52"/>
      <c r="Q795" s="53"/>
      <c r="R795" s="77"/>
      <c r="S795" s="78"/>
      <c r="T795" s="56"/>
      <c r="U795" s="80"/>
      <c r="V795" s="56"/>
      <c r="W795" s="56"/>
      <c r="X795" s="80"/>
      <c r="Y795" s="57"/>
      <c r="Z795" s="58"/>
      <c r="AA795" s="82"/>
      <c r="AB795" s="83"/>
      <c r="AC795" s="83"/>
      <c r="AD795" s="77"/>
      <c r="AE795" s="84"/>
      <c r="AF795" s="84"/>
      <c r="AG795" s="62"/>
      <c r="AH795" s="63"/>
    </row>
    <row r="796" spans="1:34" s="88" customFormat="1" ht="16.5" thickTop="1" thickBot="1">
      <c r="A796" s="41"/>
      <c r="B796" s="42"/>
      <c r="C796" s="43"/>
      <c r="D796" s="44"/>
      <c r="E796" s="45"/>
      <c r="F796" s="46"/>
      <c r="G796" s="45"/>
      <c r="H796" s="45"/>
      <c r="I796" s="47"/>
      <c r="J796" s="48"/>
      <c r="K796" s="48"/>
      <c r="L796" s="49"/>
      <c r="M796" s="49"/>
      <c r="N796" s="50"/>
      <c r="O796" s="51"/>
      <c r="P796" s="52"/>
      <c r="Q796" s="53"/>
      <c r="R796" s="77"/>
      <c r="S796" s="78"/>
      <c r="T796" s="56"/>
      <c r="U796" s="80"/>
      <c r="V796" s="56"/>
      <c r="W796" s="56"/>
      <c r="X796" s="80"/>
      <c r="Y796" s="57"/>
      <c r="Z796" s="58"/>
      <c r="AA796" s="82"/>
      <c r="AB796" s="83"/>
      <c r="AC796" s="83"/>
      <c r="AD796" s="77"/>
      <c r="AE796" s="84"/>
      <c r="AF796" s="84"/>
      <c r="AG796" s="62"/>
      <c r="AH796" s="63"/>
    </row>
    <row r="797" spans="1:34" s="88" customFormat="1" ht="16.5" thickTop="1" thickBot="1">
      <c r="A797" s="41"/>
      <c r="B797" s="42"/>
      <c r="C797" s="43"/>
      <c r="D797" s="44"/>
      <c r="E797" s="45"/>
      <c r="F797" s="46"/>
      <c r="G797" s="45"/>
      <c r="H797" s="45"/>
      <c r="I797" s="47"/>
      <c r="J797" s="48"/>
      <c r="K797" s="48"/>
      <c r="L797" s="49"/>
      <c r="M797" s="49"/>
      <c r="N797" s="50"/>
      <c r="O797" s="51"/>
      <c r="P797" s="52"/>
      <c r="Q797" s="53"/>
      <c r="R797" s="77"/>
      <c r="S797" s="78"/>
      <c r="T797" s="56"/>
      <c r="U797" s="80"/>
      <c r="V797" s="56"/>
      <c r="W797" s="56"/>
      <c r="X797" s="80"/>
      <c r="Y797" s="57"/>
      <c r="Z797" s="58"/>
      <c r="AA797" s="82"/>
      <c r="AB797" s="83"/>
      <c r="AC797" s="83"/>
      <c r="AD797" s="77"/>
      <c r="AE797" s="84"/>
      <c r="AF797" s="84"/>
      <c r="AG797" s="62"/>
      <c r="AH797" s="63"/>
    </row>
    <row r="798" spans="1:34" s="88" customFormat="1" ht="16.5" thickTop="1" thickBot="1">
      <c r="A798" s="41"/>
      <c r="B798" s="42"/>
      <c r="C798" s="43"/>
      <c r="D798" s="44"/>
      <c r="E798" s="45"/>
      <c r="F798" s="46"/>
      <c r="G798" s="45"/>
      <c r="H798" s="45"/>
      <c r="I798" s="47"/>
      <c r="J798" s="48"/>
      <c r="K798" s="48"/>
      <c r="L798" s="49"/>
      <c r="M798" s="49"/>
      <c r="N798" s="50"/>
      <c r="O798" s="51"/>
      <c r="P798" s="52"/>
      <c r="Q798" s="53"/>
      <c r="R798" s="77"/>
      <c r="S798" s="78"/>
      <c r="T798" s="56"/>
      <c r="U798" s="80"/>
      <c r="V798" s="56"/>
      <c r="W798" s="56"/>
      <c r="X798" s="80"/>
      <c r="Y798" s="57"/>
      <c r="Z798" s="58"/>
      <c r="AA798" s="82"/>
      <c r="AB798" s="83"/>
      <c r="AC798" s="83"/>
      <c r="AD798" s="77"/>
      <c r="AE798" s="84"/>
      <c r="AF798" s="84"/>
      <c r="AG798" s="62"/>
      <c r="AH798" s="63"/>
    </row>
    <row r="799" spans="1:34" s="88" customFormat="1" ht="16.5" thickTop="1" thickBot="1">
      <c r="A799" s="41"/>
      <c r="B799" s="42"/>
      <c r="C799" s="43"/>
      <c r="D799" s="44"/>
      <c r="E799" s="45"/>
      <c r="F799" s="46"/>
      <c r="G799" s="45"/>
      <c r="H799" s="45"/>
      <c r="I799" s="47"/>
      <c r="J799" s="48"/>
      <c r="K799" s="48"/>
      <c r="L799" s="49"/>
      <c r="M799" s="49"/>
      <c r="N799" s="50"/>
      <c r="O799" s="51"/>
      <c r="P799" s="52"/>
      <c r="Q799" s="53"/>
      <c r="R799" s="77"/>
      <c r="S799" s="78"/>
      <c r="T799" s="56"/>
      <c r="U799" s="80"/>
      <c r="V799" s="56"/>
      <c r="W799" s="56"/>
      <c r="X799" s="80"/>
      <c r="Y799" s="57"/>
      <c r="Z799" s="58"/>
      <c r="AA799" s="82"/>
      <c r="AB799" s="83"/>
      <c r="AC799" s="83"/>
      <c r="AD799" s="77"/>
      <c r="AE799" s="84"/>
      <c r="AF799" s="84"/>
      <c r="AG799" s="62"/>
      <c r="AH799" s="63"/>
    </row>
    <row r="800" spans="1:34" s="88" customFormat="1" ht="16.5" thickTop="1" thickBot="1">
      <c r="A800" s="41"/>
      <c r="B800" s="42"/>
      <c r="C800" s="43"/>
      <c r="D800" s="44"/>
      <c r="E800" s="45"/>
      <c r="F800" s="46"/>
      <c r="G800" s="45"/>
      <c r="H800" s="45"/>
      <c r="I800" s="47"/>
      <c r="J800" s="48"/>
      <c r="K800" s="48"/>
      <c r="L800" s="49"/>
      <c r="M800" s="49"/>
      <c r="N800" s="50"/>
      <c r="O800" s="51"/>
      <c r="P800" s="52"/>
      <c r="Q800" s="53"/>
      <c r="R800" s="77"/>
      <c r="S800" s="78"/>
      <c r="T800" s="56"/>
      <c r="U800" s="80"/>
      <c r="V800" s="56"/>
      <c r="W800" s="56"/>
      <c r="X800" s="80"/>
      <c r="Y800" s="57"/>
      <c r="Z800" s="58"/>
      <c r="AA800" s="82"/>
      <c r="AB800" s="83"/>
      <c r="AC800" s="83"/>
      <c r="AD800" s="77"/>
      <c r="AE800" s="84"/>
      <c r="AF800" s="84"/>
      <c r="AG800" s="62"/>
      <c r="AH800" s="63"/>
    </row>
    <row r="801" spans="1:34" s="88" customFormat="1" ht="16.5" thickTop="1" thickBot="1">
      <c r="A801" s="41"/>
      <c r="B801" s="42"/>
      <c r="C801" s="43"/>
      <c r="D801" s="44"/>
      <c r="E801" s="45"/>
      <c r="F801" s="46"/>
      <c r="G801" s="45"/>
      <c r="H801" s="45"/>
      <c r="I801" s="47"/>
      <c r="J801" s="48"/>
      <c r="K801" s="48"/>
      <c r="L801" s="49"/>
      <c r="M801" s="49"/>
      <c r="N801" s="50"/>
      <c r="O801" s="51"/>
      <c r="P801" s="52"/>
      <c r="Q801" s="53"/>
      <c r="R801" s="77"/>
      <c r="S801" s="78"/>
      <c r="T801" s="56"/>
      <c r="U801" s="80"/>
      <c r="V801" s="56"/>
      <c r="W801" s="56"/>
      <c r="X801" s="80"/>
      <c r="Y801" s="57"/>
      <c r="Z801" s="58"/>
      <c r="AA801" s="82"/>
      <c r="AB801" s="83"/>
      <c r="AC801" s="83"/>
      <c r="AD801" s="77"/>
      <c r="AE801" s="84"/>
      <c r="AF801" s="84"/>
      <c r="AG801" s="62"/>
      <c r="AH801" s="63"/>
    </row>
    <row r="802" spans="1:34" s="88" customFormat="1" ht="16.5" thickTop="1" thickBot="1">
      <c r="A802" s="41"/>
      <c r="B802" s="42"/>
      <c r="C802" s="43"/>
      <c r="D802" s="44"/>
      <c r="E802" s="45"/>
      <c r="F802" s="46"/>
      <c r="G802" s="45"/>
      <c r="H802" s="45"/>
      <c r="I802" s="47"/>
      <c r="J802" s="48"/>
      <c r="K802" s="48"/>
      <c r="L802" s="49"/>
      <c r="M802" s="49"/>
      <c r="N802" s="50"/>
      <c r="O802" s="51"/>
      <c r="P802" s="52"/>
      <c r="Q802" s="53"/>
      <c r="R802" s="77"/>
      <c r="S802" s="78"/>
      <c r="T802" s="56"/>
      <c r="U802" s="80"/>
      <c r="V802" s="56"/>
      <c r="W802" s="56"/>
      <c r="X802" s="80"/>
      <c r="Y802" s="57"/>
      <c r="Z802" s="58"/>
      <c r="AA802" s="82"/>
      <c r="AB802" s="83"/>
      <c r="AC802" s="83"/>
      <c r="AD802" s="77"/>
      <c r="AE802" s="84"/>
      <c r="AF802" s="84"/>
      <c r="AG802" s="62"/>
      <c r="AH802" s="63"/>
    </row>
    <row r="803" spans="1:34" s="88" customFormat="1" ht="16.5" thickTop="1" thickBot="1">
      <c r="A803" s="41"/>
      <c r="B803" s="42"/>
      <c r="C803" s="43"/>
      <c r="D803" s="44"/>
      <c r="E803" s="45"/>
      <c r="F803" s="46"/>
      <c r="G803" s="45"/>
      <c r="H803" s="45"/>
      <c r="I803" s="47"/>
      <c r="J803" s="48"/>
      <c r="K803" s="48"/>
      <c r="L803" s="49"/>
      <c r="M803" s="49"/>
      <c r="N803" s="50"/>
      <c r="O803" s="51"/>
      <c r="P803" s="52"/>
      <c r="Q803" s="53"/>
      <c r="R803" s="77"/>
      <c r="S803" s="78"/>
      <c r="T803" s="56"/>
      <c r="U803" s="80"/>
      <c r="V803" s="56"/>
      <c r="W803" s="56"/>
      <c r="X803" s="80"/>
      <c r="Y803" s="57"/>
      <c r="Z803" s="58"/>
      <c r="AA803" s="82"/>
      <c r="AB803" s="83"/>
      <c r="AC803" s="83"/>
      <c r="AD803" s="77"/>
      <c r="AE803" s="84"/>
      <c r="AF803" s="84"/>
      <c r="AG803" s="62"/>
      <c r="AH803" s="63"/>
    </row>
    <row r="804" spans="1:34" s="88" customFormat="1" ht="16.5" thickTop="1" thickBot="1">
      <c r="A804" s="41"/>
      <c r="B804" s="42"/>
      <c r="C804" s="43"/>
      <c r="D804" s="44"/>
      <c r="E804" s="45"/>
      <c r="F804" s="46"/>
      <c r="G804" s="45"/>
      <c r="H804" s="45"/>
      <c r="I804" s="47"/>
      <c r="J804" s="48"/>
      <c r="K804" s="48"/>
      <c r="L804" s="49"/>
      <c r="M804" s="49"/>
      <c r="N804" s="50"/>
      <c r="O804" s="51"/>
      <c r="P804" s="52"/>
      <c r="Q804" s="53"/>
      <c r="R804" s="77"/>
      <c r="S804" s="78"/>
      <c r="T804" s="56"/>
      <c r="U804" s="80"/>
      <c r="V804" s="56"/>
      <c r="W804" s="56"/>
      <c r="X804" s="80"/>
      <c r="Y804" s="57"/>
      <c r="Z804" s="58"/>
      <c r="AA804" s="82"/>
      <c r="AB804" s="83"/>
      <c r="AC804" s="83"/>
      <c r="AD804" s="77"/>
      <c r="AE804" s="84"/>
      <c r="AF804" s="84"/>
      <c r="AG804" s="62"/>
      <c r="AH804" s="63"/>
    </row>
    <row r="805" spans="1:34" s="88" customFormat="1" ht="16.5" thickTop="1" thickBot="1">
      <c r="A805" s="41"/>
      <c r="B805" s="42"/>
      <c r="C805" s="43"/>
      <c r="D805" s="44"/>
      <c r="E805" s="45"/>
      <c r="F805" s="46"/>
      <c r="G805" s="45"/>
      <c r="H805" s="45"/>
      <c r="I805" s="47"/>
      <c r="J805" s="48"/>
      <c r="K805" s="48"/>
      <c r="L805" s="49"/>
      <c r="M805" s="49"/>
      <c r="N805" s="50"/>
      <c r="O805" s="51"/>
      <c r="P805" s="52"/>
      <c r="Q805" s="53"/>
      <c r="R805" s="77"/>
      <c r="S805" s="78"/>
      <c r="T805" s="56"/>
      <c r="U805" s="80"/>
      <c r="V805" s="56"/>
      <c r="W805" s="56"/>
      <c r="X805" s="80"/>
      <c r="Y805" s="57"/>
      <c r="Z805" s="58"/>
      <c r="AA805" s="82"/>
      <c r="AB805" s="83"/>
      <c r="AC805" s="83"/>
      <c r="AD805" s="77"/>
      <c r="AE805" s="84"/>
      <c r="AF805" s="84"/>
      <c r="AG805" s="62"/>
      <c r="AH805" s="63"/>
    </row>
    <row r="806" spans="1:34" s="88" customFormat="1" ht="16.5" thickTop="1" thickBot="1">
      <c r="A806" s="41"/>
      <c r="B806" s="42"/>
      <c r="C806" s="43"/>
      <c r="D806" s="44"/>
      <c r="E806" s="45"/>
      <c r="F806" s="46"/>
      <c r="G806" s="45"/>
      <c r="H806" s="45"/>
      <c r="I806" s="47"/>
      <c r="J806" s="48"/>
      <c r="K806" s="48"/>
      <c r="L806" s="49"/>
      <c r="M806" s="49"/>
      <c r="N806" s="50"/>
      <c r="O806" s="51"/>
      <c r="P806" s="52"/>
      <c r="Q806" s="53"/>
      <c r="R806" s="77"/>
      <c r="S806" s="78"/>
      <c r="T806" s="56"/>
      <c r="U806" s="80"/>
      <c r="V806" s="56"/>
      <c r="W806" s="56"/>
      <c r="X806" s="80"/>
      <c r="Y806" s="57"/>
      <c r="Z806" s="58"/>
      <c r="AA806" s="82"/>
      <c r="AB806" s="83"/>
      <c r="AC806" s="83"/>
      <c r="AD806" s="77"/>
      <c r="AE806" s="84"/>
      <c r="AF806" s="84"/>
      <c r="AG806" s="62"/>
      <c r="AH806" s="63"/>
    </row>
    <row r="807" spans="1:34" s="88" customFormat="1" ht="16.5" thickTop="1" thickBot="1">
      <c r="A807" s="41"/>
      <c r="B807" s="42"/>
      <c r="C807" s="43"/>
      <c r="D807" s="44"/>
      <c r="E807" s="45"/>
      <c r="F807" s="46"/>
      <c r="G807" s="45"/>
      <c r="H807" s="45"/>
      <c r="I807" s="47"/>
      <c r="J807" s="48"/>
      <c r="K807" s="48"/>
      <c r="L807" s="49"/>
      <c r="M807" s="49"/>
      <c r="N807" s="50"/>
      <c r="O807" s="51"/>
      <c r="P807" s="52"/>
      <c r="Q807" s="53"/>
      <c r="R807" s="77"/>
      <c r="S807" s="78"/>
      <c r="T807" s="56"/>
      <c r="U807" s="80"/>
      <c r="V807" s="56"/>
      <c r="W807" s="56"/>
      <c r="X807" s="80"/>
      <c r="Y807" s="57"/>
      <c r="Z807" s="58"/>
      <c r="AA807" s="82"/>
      <c r="AB807" s="83"/>
      <c r="AC807" s="83"/>
      <c r="AD807" s="77"/>
      <c r="AE807" s="84"/>
      <c r="AF807" s="84"/>
      <c r="AG807" s="62"/>
      <c r="AH807" s="63"/>
    </row>
    <row r="808" spans="1:34" ht="16.5" thickTop="1" thickBot="1">
      <c r="A808" s="41"/>
      <c r="B808" s="42"/>
      <c r="C808" s="43"/>
      <c r="D808" s="44"/>
      <c r="E808" s="45"/>
      <c r="F808" s="46"/>
      <c r="G808" s="45"/>
      <c r="H808" s="45"/>
      <c r="I808" s="47"/>
      <c r="J808" s="48"/>
      <c r="K808" s="48"/>
      <c r="L808" s="49"/>
      <c r="M808" s="49"/>
      <c r="N808" s="50"/>
      <c r="O808" s="51"/>
      <c r="P808" s="52"/>
      <c r="Q808" s="53"/>
      <c r="R808" s="54"/>
      <c r="S808" s="55"/>
      <c r="T808" s="56"/>
      <c r="U808" s="57"/>
      <c r="V808" s="56"/>
      <c r="W808" s="56"/>
      <c r="X808" s="93"/>
      <c r="Y808" s="57"/>
      <c r="Z808" s="58"/>
      <c r="AA808" s="59"/>
      <c r="AB808" s="60"/>
      <c r="AC808" s="60"/>
      <c r="AD808" s="54"/>
      <c r="AE808" s="61"/>
      <c r="AF808" s="61"/>
      <c r="AG808" s="62"/>
      <c r="AH808" s="63"/>
    </row>
    <row r="809" spans="1:34" ht="16.5" thickTop="1" thickBot="1">
      <c r="A809" s="41"/>
      <c r="B809" s="42"/>
      <c r="C809" s="43"/>
      <c r="D809" s="44"/>
      <c r="E809" s="45"/>
      <c r="F809" s="46"/>
      <c r="G809" s="45"/>
      <c r="H809" s="45"/>
      <c r="I809" s="47"/>
      <c r="J809" s="48"/>
      <c r="K809" s="48"/>
      <c r="L809" s="49"/>
      <c r="M809" s="49"/>
      <c r="N809" s="50"/>
      <c r="O809" s="51"/>
      <c r="P809" s="52"/>
      <c r="Q809" s="53"/>
      <c r="R809" s="54"/>
      <c r="S809" s="55"/>
      <c r="T809" s="56"/>
      <c r="U809" s="57"/>
      <c r="V809" s="56"/>
      <c r="W809" s="56"/>
      <c r="X809" s="57"/>
      <c r="Y809" s="57"/>
      <c r="Z809" s="58"/>
      <c r="AA809" s="59"/>
      <c r="AB809" s="60"/>
      <c r="AC809" s="60"/>
      <c r="AD809" s="54"/>
      <c r="AE809" s="61"/>
      <c r="AF809" s="61"/>
      <c r="AG809" s="62"/>
      <c r="AH809" s="63"/>
    </row>
    <row r="810" spans="1:34" ht="16.5" thickTop="1" thickBot="1">
      <c r="A810" s="41"/>
      <c r="B810" s="42"/>
      <c r="C810" s="43"/>
      <c r="D810" s="44"/>
      <c r="E810" s="45"/>
      <c r="F810" s="46"/>
      <c r="G810" s="45"/>
      <c r="H810" s="45"/>
      <c r="I810" s="47"/>
      <c r="J810" s="48"/>
      <c r="K810" s="48"/>
      <c r="L810" s="49"/>
      <c r="M810" s="49"/>
      <c r="N810" s="50"/>
      <c r="O810" s="51"/>
      <c r="P810" s="52"/>
      <c r="Q810" s="53"/>
      <c r="R810" s="54"/>
      <c r="S810" s="55"/>
      <c r="T810" s="56"/>
      <c r="U810" s="57"/>
      <c r="V810" s="56"/>
      <c r="W810" s="56"/>
      <c r="X810" s="57"/>
      <c r="Y810" s="57"/>
      <c r="Z810" s="58"/>
      <c r="AA810" s="59"/>
      <c r="AB810" s="60"/>
      <c r="AC810" s="60"/>
      <c r="AD810" s="54"/>
      <c r="AE810" s="61"/>
      <c r="AF810" s="61"/>
      <c r="AG810" s="62"/>
      <c r="AH810" s="63"/>
    </row>
    <row r="811" spans="1:34" s="88" customFormat="1" ht="16.5" thickTop="1" thickBot="1">
      <c r="A811" s="41"/>
      <c r="B811" s="42"/>
      <c r="C811" s="43"/>
      <c r="D811" s="44"/>
      <c r="E811" s="45"/>
      <c r="F811" s="46"/>
      <c r="G811" s="45"/>
      <c r="H811" s="45"/>
      <c r="I811" s="47"/>
      <c r="J811" s="48"/>
      <c r="K811" s="48"/>
      <c r="L811" s="49"/>
      <c r="M811" s="49"/>
      <c r="N811" s="50"/>
      <c r="O811" s="51"/>
      <c r="P811" s="52"/>
      <c r="Q811" s="53"/>
      <c r="R811" s="77"/>
      <c r="S811" s="78"/>
      <c r="T811" s="56"/>
      <c r="U811" s="80"/>
      <c r="V811" s="56"/>
      <c r="W811" s="56"/>
      <c r="X811" s="80"/>
      <c r="Y811" s="57"/>
      <c r="Z811" s="58"/>
      <c r="AA811" s="82"/>
      <c r="AB811" s="83"/>
      <c r="AC811" s="83"/>
      <c r="AD811" s="77"/>
      <c r="AE811" s="84"/>
      <c r="AF811" s="84"/>
      <c r="AG811" s="62"/>
      <c r="AH811" s="63"/>
    </row>
    <row r="812" spans="1:34" s="88" customFormat="1" ht="16.5" thickTop="1" thickBot="1">
      <c r="A812" s="41"/>
      <c r="B812" s="42"/>
      <c r="C812" s="43"/>
      <c r="D812" s="44"/>
      <c r="E812" s="45"/>
      <c r="F812" s="46"/>
      <c r="G812" s="45"/>
      <c r="H812" s="45"/>
      <c r="I812" s="47"/>
      <c r="J812" s="48"/>
      <c r="K812" s="48"/>
      <c r="L812" s="49"/>
      <c r="M812" s="49"/>
      <c r="N812" s="50"/>
      <c r="O812" s="51"/>
      <c r="P812" s="52"/>
      <c r="Q812" s="53"/>
      <c r="R812" s="77"/>
      <c r="S812" s="78"/>
      <c r="T812" s="56"/>
      <c r="U812" s="80"/>
      <c r="V812" s="56"/>
      <c r="W812" s="56"/>
      <c r="X812" s="80"/>
      <c r="Y812" s="57"/>
      <c r="Z812" s="58"/>
      <c r="AA812" s="82"/>
      <c r="AB812" s="83"/>
      <c r="AC812" s="83"/>
      <c r="AD812" s="77"/>
      <c r="AE812" s="84"/>
      <c r="AF812" s="84"/>
      <c r="AG812" s="62"/>
      <c r="AH812" s="63"/>
    </row>
    <row r="813" spans="1:34" s="88" customFormat="1" ht="16.5" thickTop="1" thickBot="1">
      <c r="A813" s="41"/>
      <c r="B813" s="42"/>
      <c r="C813" s="43"/>
      <c r="D813" s="44"/>
      <c r="E813" s="45"/>
      <c r="F813" s="46"/>
      <c r="G813" s="45"/>
      <c r="H813" s="45"/>
      <c r="I813" s="47"/>
      <c r="J813" s="48"/>
      <c r="K813" s="48"/>
      <c r="L813" s="49"/>
      <c r="M813" s="49"/>
      <c r="N813" s="50"/>
      <c r="O813" s="51"/>
      <c r="P813" s="52"/>
      <c r="Q813" s="53"/>
      <c r="R813" s="77"/>
      <c r="S813" s="78"/>
      <c r="T813" s="56"/>
      <c r="U813" s="80"/>
      <c r="V813" s="56"/>
      <c r="W813" s="56"/>
      <c r="X813" s="80"/>
      <c r="Y813" s="57"/>
      <c r="Z813" s="58"/>
      <c r="AA813" s="82"/>
      <c r="AB813" s="83"/>
      <c r="AC813" s="83"/>
      <c r="AD813" s="77"/>
      <c r="AE813" s="84"/>
      <c r="AF813" s="84"/>
      <c r="AG813" s="62"/>
      <c r="AH813" s="63"/>
    </row>
    <row r="814" spans="1:34" s="88" customFormat="1" ht="16.5" thickTop="1" thickBot="1">
      <c r="A814" s="41"/>
      <c r="B814" s="42"/>
      <c r="C814" s="43"/>
      <c r="D814" s="44"/>
      <c r="E814" s="45"/>
      <c r="F814" s="46"/>
      <c r="G814" s="45"/>
      <c r="H814" s="45"/>
      <c r="I814" s="47"/>
      <c r="J814" s="48"/>
      <c r="K814" s="48"/>
      <c r="L814" s="49"/>
      <c r="M814" s="49"/>
      <c r="N814" s="50"/>
      <c r="O814" s="51"/>
      <c r="P814" s="52"/>
      <c r="Q814" s="53"/>
      <c r="R814" s="77"/>
      <c r="S814" s="78"/>
      <c r="T814" s="56"/>
      <c r="U814" s="80"/>
      <c r="V814" s="56"/>
      <c r="W814" s="56"/>
      <c r="X814" s="80"/>
      <c r="Y814" s="57"/>
      <c r="Z814" s="58"/>
      <c r="AA814" s="82"/>
      <c r="AB814" s="83"/>
      <c r="AC814" s="83"/>
      <c r="AD814" s="77"/>
      <c r="AE814" s="84"/>
      <c r="AF814" s="84"/>
      <c r="AG814" s="62"/>
      <c r="AH814" s="63"/>
    </row>
    <row r="815" spans="1:34" s="88" customFormat="1" ht="16.5" thickTop="1" thickBot="1">
      <c r="A815" s="41"/>
      <c r="B815" s="42"/>
      <c r="C815" s="43"/>
      <c r="D815" s="44"/>
      <c r="E815" s="45"/>
      <c r="F815" s="46"/>
      <c r="G815" s="45"/>
      <c r="H815" s="45"/>
      <c r="I815" s="47"/>
      <c r="J815" s="48"/>
      <c r="K815" s="48"/>
      <c r="L815" s="49"/>
      <c r="M815" s="49"/>
      <c r="N815" s="50"/>
      <c r="O815" s="51"/>
      <c r="P815" s="52"/>
      <c r="Q815" s="53"/>
      <c r="R815" s="77"/>
      <c r="S815" s="78"/>
      <c r="T815" s="56"/>
      <c r="U815" s="80"/>
      <c r="V815" s="56"/>
      <c r="W815" s="56"/>
      <c r="X815" s="80"/>
      <c r="Y815" s="57"/>
      <c r="Z815" s="58"/>
      <c r="AA815" s="82"/>
      <c r="AB815" s="83"/>
      <c r="AC815" s="83"/>
      <c r="AD815" s="77"/>
      <c r="AE815" s="84"/>
      <c r="AF815" s="84"/>
      <c r="AG815" s="62"/>
      <c r="AH815" s="63"/>
    </row>
    <row r="816" spans="1:34" s="88" customFormat="1" ht="16.5" thickTop="1" thickBot="1">
      <c r="A816" s="41"/>
      <c r="B816" s="42"/>
      <c r="C816" s="43"/>
      <c r="D816" s="44"/>
      <c r="E816" s="45"/>
      <c r="F816" s="46"/>
      <c r="G816" s="45"/>
      <c r="H816" s="45"/>
      <c r="I816" s="47"/>
      <c r="J816" s="48"/>
      <c r="K816" s="48"/>
      <c r="L816" s="49"/>
      <c r="M816" s="49"/>
      <c r="N816" s="50"/>
      <c r="O816" s="51"/>
      <c r="P816" s="52"/>
      <c r="Q816" s="53"/>
      <c r="R816" s="77"/>
      <c r="S816" s="78"/>
      <c r="T816" s="56"/>
      <c r="U816" s="80"/>
      <c r="V816" s="56"/>
      <c r="W816" s="56"/>
      <c r="X816" s="80"/>
      <c r="Y816" s="57"/>
      <c r="Z816" s="58"/>
      <c r="AA816" s="82"/>
      <c r="AB816" s="83"/>
      <c r="AC816" s="83"/>
      <c r="AD816" s="77"/>
      <c r="AE816" s="84"/>
      <c r="AF816" s="84"/>
      <c r="AG816" s="62"/>
      <c r="AH816" s="63"/>
    </row>
    <row r="817" spans="1:34" s="88" customFormat="1" ht="16.5" thickTop="1" thickBot="1">
      <c r="A817" s="41"/>
      <c r="B817" s="42"/>
      <c r="C817" s="43"/>
      <c r="D817" s="44"/>
      <c r="E817" s="45"/>
      <c r="F817" s="46"/>
      <c r="G817" s="45"/>
      <c r="H817" s="45"/>
      <c r="I817" s="47"/>
      <c r="J817" s="48"/>
      <c r="K817" s="48"/>
      <c r="L817" s="49"/>
      <c r="M817" s="49"/>
      <c r="N817" s="50"/>
      <c r="O817" s="51"/>
      <c r="P817" s="52"/>
      <c r="Q817" s="53"/>
      <c r="R817" s="77"/>
      <c r="S817" s="78"/>
      <c r="T817" s="56"/>
      <c r="U817" s="80"/>
      <c r="V817" s="56"/>
      <c r="W817" s="56"/>
      <c r="X817" s="80"/>
      <c r="Y817" s="57"/>
      <c r="Z817" s="58"/>
      <c r="AA817" s="82"/>
      <c r="AB817" s="83"/>
      <c r="AC817" s="83"/>
      <c r="AD817" s="77"/>
      <c r="AE817" s="84"/>
      <c r="AF817" s="84"/>
      <c r="AG817" s="62"/>
      <c r="AH817" s="63"/>
    </row>
    <row r="818" spans="1:34" s="88" customFormat="1" ht="16.5" thickTop="1" thickBot="1">
      <c r="A818" s="41"/>
      <c r="B818" s="42"/>
      <c r="C818" s="43"/>
      <c r="D818" s="44"/>
      <c r="E818" s="45"/>
      <c r="F818" s="46"/>
      <c r="G818" s="45"/>
      <c r="H818" s="45"/>
      <c r="I818" s="47"/>
      <c r="J818" s="48"/>
      <c r="K818" s="48"/>
      <c r="L818" s="49"/>
      <c r="M818" s="49"/>
      <c r="N818" s="50"/>
      <c r="O818" s="51"/>
      <c r="P818" s="52"/>
      <c r="Q818" s="53"/>
      <c r="R818" s="77"/>
      <c r="S818" s="78"/>
      <c r="T818" s="56"/>
      <c r="U818" s="80"/>
      <c r="V818" s="56"/>
      <c r="W818" s="56"/>
      <c r="X818" s="80"/>
      <c r="Y818" s="57"/>
      <c r="Z818" s="58"/>
      <c r="AA818" s="82"/>
      <c r="AB818" s="83"/>
      <c r="AC818" s="83"/>
      <c r="AD818" s="77"/>
      <c r="AE818" s="84"/>
      <c r="AF818" s="84"/>
      <c r="AG818" s="62"/>
      <c r="AH818" s="63"/>
    </row>
    <row r="819" spans="1:34" s="88" customFormat="1" ht="16.5" thickTop="1" thickBot="1">
      <c r="A819" s="41"/>
      <c r="B819" s="42"/>
      <c r="C819" s="43"/>
      <c r="D819" s="44"/>
      <c r="E819" s="45"/>
      <c r="F819" s="46"/>
      <c r="G819" s="45"/>
      <c r="H819" s="45"/>
      <c r="I819" s="47"/>
      <c r="J819" s="48"/>
      <c r="K819" s="48"/>
      <c r="L819" s="49"/>
      <c r="M819" s="49"/>
      <c r="N819" s="50"/>
      <c r="O819" s="51"/>
      <c r="P819" s="52"/>
      <c r="Q819" s="53"/>
      <c r="R819" s="77"/>
      <c r="S819" s="78"/>
      <c r="T819" s="56"/>
      <c r="U819" s="80"/>
      <c r="V819" s="56"/>
      <c r="W819" s="56"/>
      <c r="X819" s="80"/>
      <c r="Y819" s="57"/>
      <c r="Z819" s="58"/>
      <c r="AA819" s="82"/>
      <c r="AB819" s="83"/>
      <c r="AC819" s="83"/>
      <c r="AD819" s="77"/>
      <c r="AE819" s="84"/>
      <c r="AF819" s="84"/>
      <c r="AG819" s="62"/>
      <c r="AH819" s="63"/>
    </row>
    <row r="820" spans="1:34" s="88" customFormat="1" ht="16.5" thickTop="1" thickBot="1">
      <c r="A820" s="41"/>
      <c r="B820" s="42"/>
      <c r="C820" s="43"/>
      <c r="D820" s="44"/>
      <c r="E820" s="45"/>
      <c r="F820" s="46"/>
      <c r="G820" s="45"/>
      <c r="H820" s="45"/>
      <c r="I820" s="47"/>
      <c r="J820" s="48"/>
      <c r="K820" s="48"/>
      <c r="L820" s="49"/>
      <c r="M820" s="49"/>
      <c r="N820" s="50"/>
      <c r="O820" s="51"/>
      <c r="P820" s="52"/>
      <c r="Q820" s="53"/>
      <c r="R820" s="77"/>
      <c r="S820" s="78"/>
      <c r="T820" s="56"/>
      <c r="U820" s="80"/>
      <c r="V820" s="56"/>
      <c r="W820" s="56"/>
      <c r="X820" s="80"/>
      <c r="Y820" s="57"/>
      <c r="Z820" s="58"/>
      <c r="AA820" s="82"/>
      <c r="AB820" s="83"/>
      <c r="AC820" s="83"/>
      <c r="AD820" s="77"/>
      <c r="AE820" s="84"/>
      <c r="AF820" s="84"/>
      <c r="AG820" s="62"/>
      <c r="AH820" s="63"/>
    </row>
    <row r="821" spans="1:34" s="88" customFormat="1" ht="16.5" thickTop="1" thickBot="1">
      <c r="A821" s="41"/>
      <c r="B821" s="42"/>
      <c r="C821" s="43"/>
      <c r="D821" s="44"/>
      <c r="E821" s="45"/>
      <c r="F821" s="46"/>
      <c r="G821" s="45"/>
      <c r="H821" s="45"/>
      <c r="I821" s="47"/>
      <c r="J821" s="48"/>
      <c r="K821" s="48"/>
      <c r="L821" s="49"/>
      <c r="M821" s="49"/>
      <c r="N821" s="50"/>
      <c r="O821" s="51"/>
      <c r="P821" s="52"/>
      <c r="Q821" s="53"/>
      <c r="R821" s="77"/>
      <c r="S821" s="78"/>
      <c r="T821" s="56"/>
      <c r="U821" s="80"/>
      <c r="V821" s="56"/>
      <c r="W821" s="56"/>
      <c r="X821" s="80"/>
      <c r="Y821" s="57"/>
      <c r="Z821" s="58"/>
      <c r="AA821" s="82"/>
      <c r="AB821" s="83"/>
      <c r="AC821" s="83"/>
      <c r="AD821" s="77"/>
      <c r="AE821" s="84"/>
      <c r="AF821" s="84"/>
      <c r="AG821" s="62"/>
      <c r="AH821" s="63"/>
    </row>
    <row r="822" spans="1:34" s="88" customFormat="1" ht="16.5" thickTop="1" thickBot="1">
      <c r="A822" s="41"/>
      <c r="B822" s="42"/>
      <c r="C822" s="43"/>
      <c r="D822" s="44"/>
      <c r="E822" s="45"/>
      <c r="F822" s="46"/>
      <c r="G822" s="45"/>
      <c r="H822" s="45"/>
      <c r="I822" s="47"/>
      <c r="J822" s="48"/>
      <c r="K822" s="48"/>
      <c r="L822" s="49"/>
      <c r="M822" s="49"/>
      <c r="N822" s="50"/>
      <c r="O822" s="51"/>
      <c r="P822" s="52"/>
      <c r="Q822" s="53"/>
      <c r="R822" s="77"/>
      <c r="S822" s="78"/>
      <c r="T822" s="56"/>
      <c r="U822" s="80"/>
      <c r="V822" s="56"/>
      <c r="W822" s="56"/>
      <c r="X822" s="80"/>
      <c r="Y822" s="57"/>
      <c r="Z822" s="58"/>
      <c r="AA822" s="82"/>
      <c r="AB822" s="83"/>
      <c r="AC822" s="83"/>
      <c r="AD822" s="77"/>
      <c r="AE822" s="84"/>
      <c r="AF822" s="84"/>
      <c r="AG822" s="62"/>
      <c r="AH822" s="63"/>
    </row>
    <row r="823" spans="1:34" s="88" customFormat="1" ht="16.5" thickTop="1" thickBot="1">
      <c r="A823" s="41"/>
      <c r="B823" s="42"/>
      <c r="C823" s="43"/>
      <c r="D823" s="44"/>
      <c r="E823" s="45"/>
      <c r="F823" s="46"/>
      <c r="G823" s="45"/>
      <c r="H823" s="45"/>
      <c r="I823" s="47"/>
      <c r="J823" s="48"/>
      <c r="K823" s="48"/>
      <c r="L823" s="49"/>
      <c r="M823" s="49"/>
      <c r="N823" s="50"/>
      <c r="O823" s="51"/>
      <c r="P823" s="52"/>
      <c r="Q823" s="53"/>
      <c r="R823" s="77"/>
      <c r="S823" s="78"/>
      <c r="T823" s="56"/>
      <c r="U823" s="80"/>
      <c r="V823" s="56"/>
      <c r="W823" s="56"/>
      <c r="X823" s="80"/>
      <c r="Y823" s="57"/>
      <c r="Z823" s="58"/>
      <c r="AA823" s="82"/>
      <c r="AB823" s="83"/>
      <c r="AC823" s="83"/>
      <c r="AD823" s="77"/>
      <c r="AE823" s="84"/>
      <c r="AF823" s="84"/>
      <c r="AG823" s="62"/>
      <c r="AH823" s="63"/>
    </row>
    <row r="824" spans="1:34" s="88" customFormat="1" ht="16.5" thickTop="1" thickBot="1">
      <c r="A824" s="41"/>
      <c r="B824" s="42"/>
      <c r="C824" s="43"/>
      <c r="D824" s="44"/>
      <c r="E824" s="45"/>
      <c r="F824" s="46"/>
      <c r="G824" s="45"/>
      <c r="H824" s="45"/>
      <c r="I824" s="47"/>
      <c r="J824" s="48"/>
      <c r="K824" s="48"/>
      <c r="L824" s="49"/>
      <c r="M824" s="49"/>
      <c r="N824" s="50"/>
      <c r="O824" s="51"/>
      <c r="P824" s="52"/>
      <c r="Q824" s="53"/>
      <c r="R824" s="77"/>
      <c r="S824" s="78"/>
      <c r="T824" s="56"/>
      <c r="U824" s="80"/>
      <c r="V824" s="56"/>
      <c r="W824" s="56"/>
      <c r="X824" s="80"/>
      <c r="Y824" s="57"/>
      <c r="Z824" s="58"/>
      <c r="AA824" s="82"/>
      <c r="AB824" s="83"/>
      <c r="AC824" s="83"/>
      <c r="AD824" s="77"/>
      <c r="AE824" s="84"/>
      <c r="AF824" s="84"/>
      <c r="AG824" s="62"/>
      <c r="AH824" s="63"/>
    </row>
    <row r="825" spans="1:34" s="88" customFormat="1" ht="16.5" thickTop="1" thickBot="1">
      <c r="A825" s="41"/>
      <c r="B825" s="42"/>
      <c r="C825" s="43"/>
      <c r="D825" s="44"/>
      <c r="E825" s="45"/>
      <c r="F825" s="46"/>
      <c r="G825" s="45"/>
      <c r="H825" s="45"/>
      <c r="I825" s="47"/>
      <c r="J825" s="48"/>
      <c r="K825" s="48"/>
      <c r="L825" s="49"/>
      <c r="M825" s="49"/>
      <c r="N825" s="50"/>
      <c r="O825" s="51"/>
      <c r="P825" s="52"/>
      <c r="Q825" s="53"/>
      <c r="R825" s="77"/>
      <c r="S825" s="78"/>
      <c r="T825" s="56"/>
      <c r="U825" s="80"/>
      <c r="V825" s="56"/>
      <c r="W825" s="56"/>
      <c r="X825" s="80"/>
      <c r="Y825" s="57"/>
      <c r="Z825" s="58"/>
      <c r="AA825" s="82"/>
      <c r="AB825" s="83"/>
      <c r="AC825" s="83"/>
      <c r="AD825" s="77"/>
      <c r="AE825" s="84"/>
      <c r="AF825" s="84"/>
      <c r="AG825" s="62"/>
      <c r="AH825" s="63"/>
    </row>
    <row r="826" spans="1:34" s="88" customFormat="1" ht="16.5" thickTop="1" thickBot="1">
      <c r="A826" s="41"/>
      <c r="B826" s="42"/>
      <c r="C826" s="43"/>
      <c r="D826" s="44"/>
      <c r="E826" s="45"/>
      <c r="F826" s="46"/>
      <c r="G826" s="45"/>
      <c r="H826" s="45"/>
      <c r="I826" s="47"/>
      <c r="J826" s="48"/>
      <c r="K826" s="48"/>
      <c r="L826" s="49"/>
      <c r="M826" s="49"/>
      <c r="N826" s="50"/>
      <c r="O826" s="51"/>
      <c r="P826" s="52"/>
      <c r="Q826" s="53"/>
      <c r="R826" s="77"/>
      <c r="S826" s="78"/>
      <c r="T826" s="56"/>
      <c r="U826" s="80"/>
      <c r="V826" s="56"/>
      <c r="W826" s="56"/>
      <c r="X826" s="80"/>
      <c r="Y826" s="57"/>
      <c r="Z826" s="58"/>
      <c r="AA826" s="82"/>
      <c r="AB826" s="83"/>
      <c r="AC826" s="83"/>
      <c r="AD826" s="77"/>
      <c r="AE826" s="84"/>
      <c r="AF826" s="84"/>
      <c r="AG826" s="62"/>
      <c r="AH826" s="63"/>
    </row>
    <row r="827" spans="1:34" s="88" customFormat="1" ht="16.5" thickTop="1" thickBot="1">
      <c r="A827" s="41"/>
      <c r="B827" s="42"/>
      <c r="C827" s="43"/>
      <c r="D827" s="44"/>
      <c r="E827" s="45"/>
      <c r="F827" s="46"/>
      <c r="G827" s="45"/>
      <c r="H827" s="45"/>
      <c r="I827" s="47"/>
      <c r="J827" s="48"/>
      <c r="K827" s="48"/>
      <c r="L827" s="49"/>
      <c r="M827" s="49"/>
      <c r="N827" s="50"/>
      <c r="O827" s="51"/>
      <c r="P827" s="52"/>
      <c r="Q827" s="53"/>
      <c r="R827" s="77"/>
      <c r="S827" s="78"/>
      <c r="T827" s="56"/>
      <c r="U827" s="80"/>
      <c r="V827" s="56"/>
      <c r="W827" s="56"/>
      <c r="X827" s="80"/>
      <c r="Y827" s="57"/>
      <c r="Z827" s="58"/>
      <c r="AA827" s="82"/>
      <c r="AB827" s="83"/>
      <c r="AC827" s="83"/>
      <c r="AD827" s="77"/>
      <c r="AE827" s="84"/>
      <c r="AF827" s="84"/>
      <c r="AG827" s="62"/>
      <c r="AH827" s="63"/>
    </row>
    <row r="828" spans="1:34" s="88" customFormat="1" ht="16.5" thickTop="1" thickBot="1">
      <c r="A828" s="41"/>
      <c r="B828" s="42"/>
      <c r="C828" s="43"/>
      <c r="D828" s="44"/>
      <c r="E828" s="45"/>
      <c r="F828" s="46"/>
      <c r="G828" s="45"/>
      <c r="H828" s="45"/>
      <c r="I828" s="47"/>
      <c r="J828" s="48"/>
      <c r="K828" s="48"/>
      <c r="L828" s="49"/>
      <c r="M828" s="49"/>
      <c r="N828" s="50"/>
      <c r="O828" s="51"/>
      <c r="P828" s="52"/>
      <c r="Q828" s="53"/>
      <c r="R828" s="77"/>
      <c r="S828" s="78"/>
      <c r="T828" s="56"/>
      <c r="U828" s="80"/>
      <c r="V828" s="56"/>
      <c r="W828" s="56"/>
      <c r="X828" s="80"/>
      <c r="Y828" s="57"/>
      <c r="Z828" s="58"/>
      <c r="AA828" s="82"/>
      <c r="AB828" s="83"/>
      <c r="AC828" s="83"/>
      <c r="AD828" s="77"/>
      <c r="AE828" s="84"/>
      <c r="AF828" s="84"/>
      <c r="AG828" s="62"/>
      <c r="AH828" s="63"/>
    </row>
    <row r="829" spans="1:34" s="88" customFormat="1" ht="16.5" thickTop="1" thickBot="1">
      <c r="A829" s="41"/>
      <c r="B829" s="42"/>
      <c r="C829" s="43"/>
      <c r="D829" s="44"/>
      <c r="E829" s="45"/>
      <c r="F829" s="46"/>
      <c r="G829" s="45"/>
      <c r="H829" s="45"/>
      <c r="I829" s="47"/>
      <c r="J829" s="48"/>
      <c r="K829" s="48"/>
      <c r="L829" s="49"/>
      <c r="M829" s="49"/>
      <c r="N829" s="50"/>
      <c r="O829" s="51"/>
      <c r="P829" s="52"/>
      <c r="Q829" s="53"/>
      <c r="R829" s="77"/>
      <c r="S829" s="78"/>
      <c r="T829" s="56"/>
      <c r="U829" s="80"/>
      <c r="V829" s="56"/>
      <c r="W829" s="56"/>
      <c r="X829" s="80"/>
      <c r="Y829" s="57"/>
      <c r="Z829" s="58"/>
      <c r="AA829" s="82"/>
      <c r="AB829" s="83"/>
      <c r="AC829" s="83"/>
      <c r="AD829" s="77"/>
      <c r="AE829" s="84"/>
      <c r="AF829" s="84"/>
      <c r="AG829" s="62"/>
      <c r="AH829" s="63"/>
    </row>
    <row r="830" spans="1:34" s="88" customFormat="1" ht="16.5" thickTop="1" thickBot="1">
      <c r="A830" s="41"/>
      <c r="B830" s="42"/>
      <c r="C830" s="43"/>
      <c r="D830" s="44"/>
      <c r="E830" s="45"/>
      <c r="F830" s="46"/>
      <c r="G830" s="45"/>
      <c r="H830" s="45"/>
      <c r="I830" s="47"/>
      <c r="J830" s="48"/>
      <c r="K830" s="48"/>
      <c r="L830" s="49"/>
      <c r="M830" s="49"/>
      <c r="N830" s="50"/>
      <c r="O830" s="51"/>
      <c r="P830" s="52"/>
      <c r="Q830" s="53"/>
      <c r="R830" s="77"/>
      <c r="S830" s="78"/>
      <c r="T830" s="56"/>
      <c r="U830" s="80"/>
      <c r="V830" s="56"/>
      <c r="W830" s="56"/>
      <c r="X830" s="80"/>
      <c r="Y830" s="57"/>
      <c r="Z830" s="58"/>
      <c r="AA830" s="82"/>
      <c r="AB830" s="83"/>
      <c r="AC830" s="83"/>
      <c r="AD830" s="77"/>
      <c r="AE830" s="84"/>
      <c r="AF830" s="84"/>
      <c r="AG830" s="62"/>
      <c r="AH830" s="63"/>
    </row>
    <row r="831" spans="1:34" ht="16.5" thickTop="1" thickBot="1">
      <c r="A831" s="41"/>
      <c r="B831" s="42"/>
      <c r="C831" s="43"/>
      <c r="D831" s="44"/>
      <c r="E831" s="45"/>
      <c r="F831" s="46"/>
      <c r="G831" s="45"/>
      <c r="H831" s="45"/>
      <c r="I831" s="47"/>
      <c r="J831" s="48"/>
      <c r="K831" s="48"/>
      <c r="L831" s="49"/>
      <c r="M831" s="49"/>
      <c r="N831" s="50"/>
      <c r="O831" s="51"/>
      <c r="P831" s="52"/>
      <c r="Q831" s="53"/>
      <c r="R831" s="77"/>
      <c r="S831" s="78"/>
      <c r="T831" s="56"/>
      <c r="U831" s="80"/>
      <c r="V831" s="56"/>
      <c r="W831" s="56"/>
      <c r="X831" s="80"/>
      <c r="Y831" s="57"/>
      <c r="Z831" s="58"/>
      <c r="AA831" s="82"/>
      <c r="AB831" s="60"/>
      <c r="AC831" s="60"/>
      <c r="AD831" s="54"/>
      <c r="AE831" s="61"/>
      <c r="AF831" s="61"/>
      <c r="AG831" s="62"/>
      <c r="AH831" s="63"/>
    </row>
    <row r="832" spans="1:34" ht="16.5" thickTop="1" thickBot="1">
      <c r="A832" s="41"/>
      <c r="B832" s="42"/>
      <c r="C832" s="43"/>
      <c r="D832" s="44"/>
      <c r="E832" s="45"/>
      <c r="F832" s="46"/>
      <c r="G832" s="45"/>
      <c r="H832" s="45"/>
      <c r="I832" s="47"/>
      <c r="J832" s="48"/>
      <c r="K832" s="48"/>
      <c r="L832" s="49"/>
      <c r="M832" s="49"/>
      <c r="N832" s="50"/>
      <c r="O832" s="51"/>
      <c r="P832" s="52"/>
      <c r="Q832" s="53"/>
      <c r="R832" s="77"/>
      <c r="S832" s="78"/>
      <c r="T832" s="56"/>
      <c r="U832" s="80"/>
      <c r="V832" s="56"/>
      <c r="W832" s="56"/>
      <c r="X832" s="80"/>
      <c r="Y832" s="57"/>
      <c r="Z832" s="58"/>
      <c r="AA832" s="82"/>
      <c r="AB832" s="60"/>
      <c r="AC832" s="60"/>
      <c r="AD832" s="54"/>
      <c r="AE832" s="61"/>
      <c r="AF832" s="61"/>
      <c r="AG832" s="62"/>
      <c r="AH832" s="63"/>
    </row>
    <row r="833" spans="1:34" ht="16.5" thickTop="1" thickBot="1">
      <c r="A833" s="41"/>
      <c r="B833" s="42"/>
      <c r="C833" s="43"/>
      <c r="D833" s="44"/>
      <c r="E833" s="45"/>
      <c r="F833" s="46"/>
      <c r="G833" s="45"/>
      <c r="H833" s="45"/>
      <c r="I833" s="47"/>
      <c r="J833" s="48"/>
      <c r="K833" s="48"/>
      <c r="L833" s="49"/>
      <c r="M833" s="49"/>
      <c r="N833" s="50"/>
      <c r="O833" s="51"/>
      <c r="P833" s="52"/>
      <c r="Q833" s="53"/>
      <c r="R833" s="77"/>
      <c r="S833" s="78"/>
      <c r="T833" s="56"/>
      <c r="U833" s="80"/>
      <c r="V833" s="56"/>
      <c r="W833" s="56"/>
      <c r="X833" s="80"/>
      <c r="Y833" s="57"/>
      <c r="Z833" s="58"/>
      <c r="AA833" s="82"/>
      <c r="AB833" s="60"/>
      <c r="AC833" s="60"/>
      <c r="AD833" s="54"/>
      <c r="AE833" s="61"/>
      <c r="AF833" s="61"/>
      <c r="AG833" s="62"/>
      <c r="AH833" s="63"/>
    </row>
    <row r="834" spans="1:34" s="88" customFormat="1" ht="16.5" thickTop="1" thickBot="1">
      <c r="A834" s="41"/>
      <c r="B834" s="42"/>
      <c r="C834" s="43"/>
      <c r="D834" s="44"/>
      <c r="E834" s="45"/>
      <c r="F834" s="46"/>
      <c r="G834" s="45"/>
      <c r="H834" s="45"/>
      <c r="I834" s="47"/>
      <c r="J834" s="48"/>
      <c r="K834" s="48"/>
      <c r="L834" s="49"/>
      <c r="M834" s="49"/>
      <c r="N834" s="50"/>
      <c r="O834" s="51"/>
      <c r="P834" s="52"/>
      <c r="Q834" s="53"/>
      <c r="R834" s="77"/>
      <c r="S834" s="78"/>
      <c r="T834" s="56"/>
      <c r="U834" s="80"/>
      <c r="V834" s="56"/>
      <c r="W834" s="56"/>
      <c r="X834" s="80"/>
      <c r="Y834" s="57"/>
      <c r="Z834" s="58"/>
      <c r="AA834" s="82"/>
      <c r="AB834" s="83"/>
      <c r="AC834" s="83"/>
      <c r="AD834" s="77"/>
      <c r="AE834" s="84"/>
      <c r="AF834" s="84"/>
      <c r="AG834" s="62"/>
      <c r="AH834" s="63"/>
    </row>
    <row r="835" spans="1:34" s="88" customFormat="1" ht="16.5" thickTop="1" thickBot="1">
      <c r="A835" s="41"/>
      <c r="B835" s="42"/>
      <c r="C835" s="43"/>
      <c r="D835" s="44"/>
      <c r="E835" s="45"/>
      <c r="F835" s="46"/>
      <c r="G835" s="45"/>
      <c r="H835" s="45"/>
      <c r="I835" s="47"/>
      <c r="J835" s="48"/>
      <c r="K835" s="48"/>
      <c r="L835" s="49"/>
      <c r="M835" s="49"/>
      <c r="N835" s="50"/>
      <c r="O835" s="51"/>
      <c r="P835" s="52"/>
      <c r="Q835" s="53"/>
      <c r="R835" s="77"/>
      <c r="S835" s="78"/>
      <c r="T835" s="56"/>
      <c r="U835" s="80"/>
      <c r="V835" s="56"/>
      <c r="W835" s="56"/>
      <c r="X835" s="80"/>
      <c r="Y835" s="57"/>
      <c r="Z835" s="58"/>
      <c r="AA835" s="82"/>
      <c r="AB835" s="83"/>
      <c r="AC835" s="83"/>
      <c r="AD835" s="77"/>
      <c r="AE835" s="84"/>
      <c r="AF835" s="84"/>
      <c r="AG835" s="62"/>
      <c r="AH835" s="63"/>
    </row>
    <row r="836" spans="1:34" s="88" customFormat="1" ht="16.5" thickTop="1" thickBot="1">
      <c r="A836" s="41"/>
      <c r="B836" s="42"/>
      <c r="C836" s="43"/>
      <c r="D836" s="44"/>
      <c r="E836" s="45"/>
      <c r="F836" s="46"/>
      <c r="G836" s="45"/>
      <c r="H836" s="45"/>
      <c r="I836" s="47"/>
      <c r="J836" s="48"/>
      <c r="K836" s="48"/>
      <c r="L836" s="49"/>
      <c r="M836" s="49"/>
      <c r="N836" s="50"/>
      <c r="O836" s="51"/>
      <c r="P836" s="52"/>
      <c r="Q836" s="53"/>
      <c r="R836" s="77"/>
      <c r="S836" s="78"/>
      <c r="T836" s="56"/>
      <c r="U836" s="80"/>
      <c r="V836" s="56"/>
      <c r="W836" s="56"/>
      <c r="X836" s="80"/>
      <c r="Y836" s="57"/>
      <c r="Z836" s="58"/>
      <c r="AA836" s="82"/>
      <c r="AB836" s="83"/>
      <c r="AC836" s="83"/>
      <c r="AD836" s="77"/>
      <c r="AE836" s="84"/>
      <c r="AF836" s="84"/>
      <c r="AG836" s="62"/>
      <c r="AH836" s="63"/>
    </row>
    <row r="837" spans="1:34" ht="16.5" thickTop="1" thickBot="1">
      <c r="A837" s="41"/>
      <c r="B837" s="42"/>
      <c r="C837" s="43"/>
      <c r="D837" s="44"/>
      <c r="E837" s="45"/>
      <c r="F837" s="46"/>
      <c r="G837" s="45"/>
      <c r="H837" s="45"/>
      <c r="I837" s="47"/>
      <c r="J837" s="48"/>
      <c r="K837" s="48"/>
      <c r="L837" s="49"/>
      <c r="M837" s="49"/>
      <c r="N837" s="50"/>
      <c r="O837" s="51"/>
      <c r="P837" s="52"/>
      <c r="Q837" s="53"/>
      <c r="R837" s="77"/>
      <c r="S837" s="78"/>
      <c r="T837" s="56"/>
      <c r="U837" s="80"/>
      <c r="V837" s="56"/>
      <c r="W837" s="56"/>
      <c r="X837" s="80"/>
      <c r="Y837" s="57"/>
      <c r="Z837" s="58"/>
      <c r="AA837" s="82"/>
      <c r="AB837" s="60"/>
      <c r="AC837" s="60"/>
      <c r="AD837" s="54"/>
      <c r="AE837" s="61"/>
      <c r="AF837" s="61"/>
      <c r="AG837" s="62"/>
      <c r="AH837" s="63"/>
    </row>
    <row r="838" spans="1:34" ht="16.5" thickTop="1" thickBot="1">
      <c r="A838" s="41"/>
      <c r="B838" s="42"/>
      <c r="C838" s="43"/>
      <c r="D838" s="44"/>
      <c r="E838" s="45"/>
      <c r="F838" s="46"/>
      <c r="G838" s="45"/>
      <c r="H838" s="45"/>
      <c r="I838" s="47"/>
      <c r="J838" s="48"/>
      <c r="K838" s="48"/>
      <c r="L838" s="49"/>
      <c r="M838" s="49"/>
      <c r="N838" s="50"/>
      <c r="O838" s="51"/>
      <c r="P838" s="52"/>
      <c r="Q838" s="53"/>
      <c r="R838" s="77"/>
      <c r="S838" s="78"/>
      <c r="T838" s="56"/>
      <c r="U838" s="80"/>
      <c r="V838" s="56"/>
      <c r="W838" s="56"/>
      <c r="X838" s="80"/>
      <c r="Y838" s="57"/>
      <c r="Z838" s="58"/>
      <c r="AA838" s="82"/>
      <c r="AB838" s="60"/>
      <c r="AC838" s="60"/>
      <c r="AD838" s="54"/>
      <c r="AE838" s="61"/>
      <c r="AF838" s="61"/>
      <c r="AG838" s="62"/>
      <c r="AH838" s="63"/>
    </row>
    <row r="839" spans="1:34" s="88" customFormat="1" ht="16.5" thickTop="1" thickBot="1">
      <c r="A839" s="41"/>
      <c r="B839" s="42"/>
      <c r="C839" s="43"/>
      <c r="D839" s="44"/>
      <c r="E839" s="45"/>
      <c r="F839" s="46"/>
      <c r="G839" s="45"/>
      <c r="H839" s="45"/>
      <c r="I839" s="47"/>
      <c r="J839" s="48"/>
      <c r="K839" s="48"/>
      <c r="L839" s="49"/>
      <c r="M839" s="49"/>
      <c r="N839" s="50"/>
      <c r="O839" s="51"/>
      <c r="P839" s="52"/>
      <c r="Q839" s="53"/>
      <c r="R839" s="77"/>
      <c r="S839" s="78"/>
      <c r="T839" s="56"/>
      <c r="U839" s="80"/>
      <c r="V839" s="56"/>
      <c r="W839" s="56"/>
      <c r="X839" s="80"/>
      <c r="Y839" s="57"/>
      <c r="Z839" s="58"/>
      <c r="AA839" s="82"/>
      <c r="AB839" s="83"/>
      <c r="AC839" s="83"/>
      <c r="AD839" s="77"/>
      <c r="AE839" s="84"/>
      <c r="AF839" s="84"/>
      <c r="AG839" s="62"/>
      <c r="AH839" s="63"/>
    </row>
    <row r="840" spans="1:34" ht="16.5" thickTop="1" thickBot="1">
      <c r="A840" s="41"/>
      <c r="B840" s="42"/>
      <c r="C840" s="43"/>
      <c r="D840" s="44"/>
      <c r="E840" s="45"/>
      <c r="F840" s="46"/>
      <c r="G840" s="45"/>
      <c r="H840" s="45"/>
      <c r="I840" s="47"/>
      <c r="J840" s="48"/>
      <c r="K840" s="48"/>
      <c r="L840" s="49"/>
      <c r="M840" s="49"/>
      <c r="N840" s="50"/>
      <c r="O840" s="51"/>
      <c r="P840" s="52"/>
      <c r="Q840" s="53"/>
      <c r="R840" s="77"/>
      <c r="S840" s="78"/>
      <c r="T840" s="56"/>
      <c r="U840" s="80"/>
      <c r="V840" s="56"/>
      <c r="W840" s="56"/>
      <c r="X840" s="80"/>
      <c r="Y840" s="57"/>
      <c r="Z840" s="58"/>
      <c r="AA840" s="82"/>
      <c r="AB840" s="83"/>
      <c r="AC840" s="83"/>
      <c r="AD840" s="77"/>
      <c r="AE840" s="84"/>
      <c r="AF840" s="84"/>
      <c r="AG840" s="62"/>
      <c r="AH840" s="63"/>
    </row>
    <row r="841" spans="1:34" ht="16.5" thickTop="1" thickBot="1">
      <c r="A841" s="41"/>
      <c r="B841" s="42"/>
      <c r="C841" s="43"/>
      <c r="D841" s="44"/>
      <c r="E841" s="45"/>
      <c r="F841" s="46"/>
      <c r="G841" s="45"/>
      <c r="H841" s="45"/>
      <c r="I841" s="47"/>
      <c r="J841" s="48"/>
      <c r="K841" s="48"/>
      <c r="L841" s="49"/>
      <c r="M841" s="49"/>
      <c r="N841" s="50"/>
      <c r="O841" s="51"/>
      <c r="P841" s="52"/>
      <c r="Q841" s="53"/>
      <c r="R841" s="77"/>
      <c r="S841" s="78"/>
      <c r="T841" s="56"/>
      <c r="U841" s="80"/>
      <c r="V841" s="56"/>
      <c r="W841" s="56"/>
      <c r="X841" s="80"/>
      <c r="Y841" s="57"/>
      <c r="Z841" s="58"/>
      <c r="AA841" s="82"/>
      <c r="AB841" s="83"/>
      <c r="AC841" s="83"/>
      <c r="AD841" s="77"/>
      <c r="AE841" s="84"/>
      <c r="AF841" s="84"/>
      <c r="AG841" s="62"/>
      <c r="AH841" s="63"/>
    </row>
    <row r="842" spans="1:34" ht="16.5" thickTop="1" thickBot="1">
      <c r="A842" s="41"/>
      <c r="B842" s="42"/>
      <c r="C842" s="43"/>
      <c r="D842" s="44"/>
      <c r="E842" s="45"/>
      <c r="F842" s="46"/>
      <c r="G842" s="45"/>
      <c r="H842" s="45"/>
      <c r="I842" s="47"/>
      <c r="J842" s="48"/>
      <c r="K842" s="48"/>
      <c r="L842" s="49"/>
      <c r="M842" s="49"/>
      <c r="N842" s="50"/>
      <c r="O842" s="51"/>
      <c r="P842" s="52"/>
      <c r="Q842" s="53"/>
      <c r="R842" s="77"/>
      <c r="S842" s="78"/>
      <c r="T842" s="56"/>
      <c r="U842" s="80"/>
      <c r="V842" s="56"/>
      <c r="W842" s="56"/>
      <c r="X842" s="80"/>
      <c r="Y842" s="57"/>
      <c r="Z842" s="58"/>
      <c r="AA842" s="82"/>
      <c r="AB842" s="83"/>
      <c r="AC842" s="83"/>
      <c r="AD842" s="77"/>
      <c r="AE842" s="84"/>
      <c r="AF842" s="84"/>
      <c r="AG842" s="62"/>
      <c r="AH842" s="63"/>
    </row>
    <row r="843" spans="1:34" ht="16.5" thickTop="1" thickBot="1">
      <c r="A843" s="41"/>
      <c r="B843" s="42"/>
      <c r="C843" s="43"/>
      <c r="D843" s="44"/>
      <c r="E843" s="45"/>
      <c r="F843" s="46"/>
      <c r="G843" s="45"/>
      <c r="H843" s="45"/>
      <c r="I843" s="47"/>
      <c r="J843" s="48"/>
      <c r="K843" s="48"/>
      <c r="L843" s="49"/>
      <c r="M843" s="49"/>
      <c r="N843" s="50"/>
      <c r="O843" s="51"/>
      <c r="P843" s="52"/>
      <c r="Q843" s="53"/>
      <c r="R843" s="77"/>
      <c r="S843" s="78"/>
      <c r="T843" s="56"/>
      <c r="U843" s="80"/>
      <c r="V843" s="56"/>
      <c r="W843" s="56"/>
      <c r="X843" s="80"/>
      <c r="Y843" s="57"/>
      <c r="Z843" s="58"/>
      <c r="AA843" s="82"/>
      <c r="AB843" s="83"/>
      <c r="AC843" s="83"/>
      <c r="AD843" s="77"/>
      <c r="AE843" s="84"/>
      <c r="AF843" s="84"/>
      <c r="AG843" s="62"/>
      <c r="AH843" s="63"/>
    </row>
    <row r="844" spans="1:34" ht="16.5" thickTop="1" thickBot="1">
      <c r="A844" s="41"/>
      <c r="B844" s="42"/>
      <c r="C844" s="43"/>
      <c r="D844" s="44"/>
      <c r="E844" s="45"/>
      <c r="F844" s="46"/>
      <c r="G844" s="45"/>
      <c r="H844" s="45"/>
      <c r="I844" s="47"/>
      <c r="J844" s="48"/>
      <c r="K844" s="48"/>
      <c r="L844" s="49"/>
      <c r="M844" s="49"/>
      <c r="N844" s="50"/>
      <c r="O844" s="51"/>
      <c r="P844" s="52"/>
      <c r="Q844" s="53"/>
      <c r="R844" s="77"/>
      <c r="S844" s="78"/>
      <c r="T844" s="56"/>
      <c r="U844" s="80"/>
      <c r="V844" s="56"/>
      <c r="W844" s="56"/>
      <c r="X844" s="80"/>
      <c r="Y844" s="57"/>
      <c r="Z844" s="58"/>
      <c r="AA844" s="82"/>
      <c r="AB844" s="83"/>
      <c r="AC844" s="83"/>
      <c r="AD844" s="77"/>
      <c r="AE844" s="84"/>
      <c r="AF844" s="84"/>
      <c r="AG844" s="62"/>
      <c r="AH844" s="63"/>
    </row>
    <row r="845" spans="1:34" ht="16.5" thickTop="1" thickBot="1">
      <c r="A845" s="41"/>
      <c r="B845" s="42"/>
      <c r="C845" s="43"/>
      <c r="D845" s="44"/>
      <c r="E845" s="45"/>
      <c r="F845" s="46"/>
      <c r="G845" s="45"/>
      <c r="H845" s="45"/>
      <c r="I845" s="47"/>
      <c r="J845" s="48"/>
      <c r="K845" s="48"/>
      <c r="L845" s="49"/>
      <c r="M845" s="49"/>
      <c r="N845" s="50"/>
      <c r="O845" s="51"/>
      <c r="P845" s="52"/>
      <c r="Q845" s="53"/>
      <c r="R845" s="77"/>
      <c r="S845" s="78"/>
      <c r="T845" s="56"/>
      <c r="U845" s="80"/>
      <c r="V845" s="56"/>
      <c r="W845" s="56"/>
      <c r="X845" s="80"/>
      <c r="Y845" s="57"/>
      <c r="Z845" s="58"/>
      <c r="AA845" s="82"/>
      <c r="AB845" s="83"/>
      <c r="AC845" s="83"/>
      <c r="AD845" s="77"/>
      <c r="AE845" s="84"/>
      <c r="AF845" s="84"/>
      <c r="AG845" s="62"/>
      <c r="AH845" s="63"/>
    </row>
    <row r="846" spans="1:34" ht="16.5" thickTop="1" thickBot="1">
      <c r="A846" s="41"/>
      <c r="B846" s="42"/>
      <c r="C846" s="43"/>
      <c r="D846" s="44"/>
      <c r="E846" s="45"/>
      <c r="F846" s="46"/>
      <c r="G846" s="45"/>
      <c r="H846" s="45"/>
      <c r="I846" s="47"/>
      <c r="J846" s="48"/>
      <c r="K846" s="48"/>
      <c r="L846" s="49"/>
      <c r="M846" s="49"/>
      <c r="N846" s="50"/>
      <c r="O846" s="51"/>
      <c r="P846" s="52"/>
      <c r="Q846" s="53"/>
      <c r="R846" s="77"/>
      <c r="S846" s="78"/>
      <c r="T846" s="56"/>
      <c r="U846" s="80"/>
      <c r="V846" s="56"/>
      <c r="W846" s="56"/>
      <c r="X846" s="80"/>
      <c r="Y846" s="57"/>
      <c r="Z846" s="58"/>
      <c r="AA846" s="82"/>
      <c r="AB846" s="83"/>
      <c r="AC846" s="83"/>
      <c r="AD846" s="77"/>
      <c r="AE846" s="84"/>
      <c r="AF846" s="84"/>
      <c r="AG846" s="62"/>
      <c r="AH846" s="63"/>
    </row>
    <row r="847" spans="1:34" ht="16.5" thickTop="1" thickBot="1">
      <c r="A847" s="41"/>
      <c r="B847" s="42"/>
      <c r="C847" s="43"/>
      <c r="D847" s="44"/>
      <c r="E847" s="45"/>
      <c r="F847" s="46"/>
      <c r="G847" s="45"/>
      <c r="H847" s="45"/>
      <c r="I847" s="47"/>
      <c r="J847" s="48"/>
      <c r="K847" s="48"/>
      <c r="L847" s="49"/>
      <c r="M847" s="49"/>
      <c r="N847" s="50"/>
      <c r="O847" s="51"/>
      <c r="P847" s="52"/>
      <c r="Q847" s="53"/>
      <c r="R847" s="77"/>
      <c r="S847" s="78"/>
      <c r="T847" s="56"/>
      <c r="U847" s="80"/>
      <c r="V847" s="56"/>
      <c r="W847" s="56"/>
      <c r="X847" s="80"/>
      <c r="Y847" s="57"/>
      <c r="Z847" s="58"/>
      <c r="AA847" s="82"/>
      <c r="AB847" s="83"/>
      <c r="AC847" s="83"/>
      <c r="AD847" s="77"/>
      <c r="AE847" s="84"/>
      <c r="AF847" s="84"/>
      <c r="AG847" s="62"/>
      <c r="AH847" s="63"/>
    </row>
    <row r="848" spans="1:34" ht="16.5" thickTop="1" thickBot="1">
      <c r="A848" s="41"/>
      <c r="B848" s="42"/>
      <c r="C848" s="43"/>
      <c r="D848" s="44"/>
      <c r="E848" s="45"/>
      <c r="F848" s="46"/>
      <c r="G848" s="45"/>
      <c r="H848" s="45"/>
      <c r="I848" s="47"/>
      <c r="J848" s="48"/>
      <c r="K848" s="48"/>
      <c r="L848" s="49"/>
      <c r="M848" s="49"/>
      <c r="N848" s="50"/>
      <c r="O848" s="51"/>
      <c r="P848" s="52"/>
      <c r="Q848" s="53"/>
      <c r="R848" s="77"/>
      <c r="S848" s="78"/>
      <c r="T848" s="56"/>
      <c r="U848" s="80"/>
      <c r="V848" s="56"/>
      <c r="W848" s="56"/>
      <c r="X848" s="80"/>
      <c r="Y848" s="57"/>
      <c r="Z848" s="58"/>
      <c r="AA848" s="82"/>
      <c r="AB848" s="83"/>
      <c r="AC848" s="83"/>
      <c r="AD848" s="77"/>
      <c r="AE848" s="84"/>
      <c r="AF848" s="84"/>
      <c r="AG848" s="62"/>
      <c r="AH848" s="63"/>
    </row>
    <row r="849" spans="1:34" ht="16.5" thickTop="1" thickBot="1">
      <c r="A849" s="41"/>
      <c r="B849" s="42"/>
      <c r="C849" s="43"/>
      <c r="D849" s="44"/>
      <c r="E849" s="45"/>
      <c r="F849" s="46"/>
      <c r="G849" s="45"/>
      <c r="H849" s="45"/>
      <c r="I849" s="47"/>
      <c r="J849" s="48"/>
      <c r="K849" s="48"/>
      <c r="L849" s="49"/>
      <c r="M849" s="49"/>
      <c r="N849" s="50"/>
      <c r="O849" s="51"/>
      <c r="P849" s="52"/>
      <c r="Q849" s="53"/>
      <c r="R849" s="77"/>
      <c r="S849" s="78"/>
      <c r="T849" s="56"/>
      <c r="U849" s="80"/>
      <c r="V849" s="56"/>
      <c r="W849" s="56"/>
      <c r="X849" s="80"/>
      <c r="Y849" s="57"/>
      <c r="Z849" s="58"/>
      <c r="AA849" s="82"/>
      <c r="AB849" s="83"/>
      <c r="AC849" s="83"/>
      <c r="AD849" s="77"/>
      <c r="AE849" s="84"/>
      <c r="AF849" s="84"/>
      <c r="AG849" s="62"/>
      <c r="AH849" s="63"/>
    </row>
    <row r="850" spans="1:34" ht="16.5" thickTop="1" thickBot="1">
      <c r="A850" s="41"/>
      <c r="B850" s="42"/>
      <c r="C850" s="43"/>
      <c r="D850" s="44"/>
      <c r="E850" s="45"/>
      <c r="F850" s="46"/>
      <c r="G850" s="45"/>
      <c r="H850" s="45"/>
      <c r="I850" s="47"/>
      <c r="J850" s="48"/>
      <c r="K850" s="48"/>
      <c r="L850" s="49"/>
      <c r="M850" s="49"/>
      <c r="N850" s="50"/>
      <c r="O850" s="51"/>
      <c r="P850" s="52"/>
      <c r="Q850" s="53"/>
      <c r="R850" s="77"/>
      <c r="S850" s="78"/>
      <c r="T850" s="56"/>
      <c r="U850" s="80"/>
      <c r="V850" s="56"/>
      <c r="W850" s="56"/>
      <c r="X850" s="80"/>
      <c r="Y850" s="57"/>
      <c r="Z850" s="58"/>
      <c r="AA850" s="82"/>
      <c r="AB850" s="83"/>
      <c r="AC850" s="83"/>
      <c r="AD850" s="77"/>
      <c r="AE850" s="84"/>
      <c r="AF850" s="84"/>
      <c r="AG850" s="62"/>
      <c r="AH850" s="63"/>
    </row>
    <row r="851" spans="1:34" ht="16.5" thickTop="1" thickBot="1">
      <c r="A851" s="41"/>
      <c r="B851" s="42"/>
      <c r="C851" s="43"/>
      <c r="D851" s="44"/>
      <c r="E851" s="45"/>
      <c r="F851" s="46"/>
      <c r="G851" s="45"/>
      <c r="H851" s="45"/>
      <c r="I851" s="47"/>
      <c r="J851" s="48"/>
      <c r="K851" s="48"/>
      <c r="L851" s="49"/>
      <c r="M851" s="49"/>
      <c r="N851" s="50"/>
      <c r="O851" s="51"/>
      <c r="P851" s="52"/>
      <c r="Q851" s="53"/>
      <c r="R851" s="77"/>
      <c r="S851" s="78"/>
      <c r="T851" s="56"/>
      <c r="U851" s="80"/>
      <c r="V851" s="56"/>
      <c r="W851" s="56"/>
      <c r="X851" s="80"/>
      <c r="Y851" s="57"/>
      <c r="Z851" s="58"/>
      <c r="AA851" s="82"/>
      <c r="AB851" s="83"/>
      <c r="AC851" s="83"/>
      <c r="AD851" s="77"/>
      <c r="AE851" s="84"/>
      <c r="AF851" s="84"/>
      <c r="AG851" s="62"/>
      <c r="AH851" s="63"/>
    </row>
    <row r="852" spans="1:34" ht="16.5" thickTop="1" thickBot="1">
      <c r="A852" s="41"/>
      <c r="B852" s="42"/>
      <c r="C852" s="43"/>
      <c r="D852" s="44"/>
      <c r="E852" s="45"/>
      <c r="F852" s="46"/>
      <c r="G852" s="45"/>
      <c r="H852" s="45"/>
      <c r="I852" s="47"/>
      <c r="J852" s="48"/>
      <c r="K852" s="48"/>
      <c r="L852" s="49"/>
      <c r="M852" s="49"/>
      <c r="N852" s="50"/>
      <c r="O852" s="51"/>
      <c r="P852" s="52"/>
      <c r="Q852" s="53"/>
      <c r="R852" s="77"/>
      <c r="S852" s="78"/>
      <c r="T852" s="56"/>
      <c r="U852" s="80"/>
      <c r="V852" s="56"/>
      <c r="W852" s="56"/>
      <c r="X852" s="80"/>
      <c r="Y852" s="57"/>
      <c r="Z852" s="58"/>
      <c r="AA852" s="82"/>
      <c r="AB852" s="83"/>
      <c r="AC852" s="83"/>
      <c r="AD852" s="77"/>
      <c r="AE852" s="84"/>
      <c r="AF852" s="84"/>
      <c r="AG852" s="62"/>
      <c r="AH852" s="63"/>
    </row>
    <row r="853" spans="1:34" ht="16.5" thickTop="1" thickBot="1">
      <c r="A853" s="41"/>
      <c r="B853" s="42"/>
      <c r="C853" s="43"/>
      <c r="D853" s="44"/>
      <c r="E853" s="45"/>
      <c r="F853" s="46"/>
      <c r="G853" s="45"/>
      <c r="H853" s="45"/>
      <c r="I853" s="47"/>
      <c r="J853" s="48"/>
      <c r="K853" s="48"/>
      <c r="L853" s="49"/>
      <c r="M853" s="49"/>
      <c r="N853" s="50"/>
      <c r="O853" s="51"/>
      <c r="P853" s="52"/>
      <c r="Q853" s="53"/>
      <c r="R853" s="77"/>
      <c r="S853" s="78"/>
      <c r="T853" s="56"/>
      <c r="U853" s="80"/>
      <c r="V853" s="56"/>
      <c r="W853" s="56"/>
      <c r="X853" s="80"/>
      <c r="Y853" s="57"/>
      <c r="Z853" s="58"/>
      <c r="AA853" s="82"/>
      <c r="AB853" s="83"/>
      <c r="AC853" s="83"/>
      <c r="AD853" s="77"/>
      <c r="AE853" s="84"/>
      <c r="AF853" s="84"/>
      <c r="AG853" s="62"/>
      <c r="AH853" s="63"/>
    </row>
    <row r="854" spans="1:34" ht="16.5" thickTop="1" thickBot="1">
      <c r="A854" s="41"/>
      <c r="B854" s="42"/>
      <c r="C854" s="43"/>
      <c r="D854" s="44"/>
      <c r="E854" s="45"/>
      <c r="F854" s="46"/>
      <c r="G854" s="45"/>
      <c r="H854" s="45"/>
      <c r="I854" s="47"/>
      <c r="J854" s="48"/>
      <c r="K854" s="48"/>
      <c r="L854" s="49"/>
      <c r="M854" s="49"/>
      <c r="N854" s="50"/>
      <c r="O854" s="51"/>
      <c r="P854" s="52"/>
      <c r="Q854" s="53"/>
      <c r="R854" s="77"/>
      <c r="S854" s="78"/>
      <c r="T854" s="56"/>
      <c r="U854" s="80"/>
      <c r="V854" s="56"/>
      <c r="W854" s="56"/>
      <c r="X854" s="80"/>
      <c r="Y854" s="57"/>
      <c r="Z854" s="58"/>
      <c r="AA854" s="82"/>
      <c r="AB854" s="83"/>
      <c r="AC854" s="83"/>
      <c r="AD854" s="77"/>
      <c r="AE854" s="84"/>
      <c r="AF854" s="84"/>
      <c r="AG854" s="62"/>
      <c r="AH854" s="63"/>
    </row>
    <row r="855" spans="1:34" ht="16.5" thickTop="1" thickBot="1">
      <c r="A855" s="41"/>
      <c r="B855" s="42"/>
      <c r="C855" s="43"/>
      <c r="D855" s="44"/>
      <c r="E855" s="45"/>
      <c r="F855" s="46"/>
      <c r="G855" s="45"/>
      <c r="H855" s="45"/>
      <c r="I855" s="47"/>
      <c r="J855" s="48"/>
      <c r="K855" s="48"/>
      <c r="L855" s="49"/>
      <c r="M855" s="49"/>
      <c r="N855" s="50"/>
      <c r="O855" s="51"/>
      <c r="P855" s="52"/>
      <c r="Q855" s="53"/>
      <c r="R855" s="77"/>
      <c r="S855" s="78"/>
      <c r="T855" s="56"/>
      <c r="U855" s="80"/>
      <c r="V855" s="56"/>
      <c r="W855" s="56"/>
      <c r="X855" s="80"/>
      <c r="Y855" s="57"/>
      <c r="Z855" s="58"/>
      <c r="AA855" s="82"/>
      <c r="AB855" s="83"/>
      <c r="AC855" s="83"/>
      <c r="AD855" s="77"/>
      <c r="AE855" s="84"/>
      <c r="AF855" s="84"/>
      <c r="AG855" s="62"/>
      <c r="AH855" s="63"/>
    </row>
    <row r="856" spans="1:34" ht="16.5" thickTop="1" thickBot="1">
      <c r="A856" s="41"/>
      <c r="B856" s="42"/>
      <c r="C856" s="43"/>
      <c r="D856" s="44"/>
      <c r="E856" s="45"/>
      <c r="F856" s="46"/>
      <c r="G856" s="45"/>
      <c r="H856" s="45"/>
      <c r="I856" s="47"/>
      <c r="J856" s="48"/>
      <c r="K856" s="48"/>
      <c r="L856" s="49"/>
      <c r="M856" s="49"/>
      <c r="N856" s="50"/>
      <c r="O856" s="51"/>
      <c r="P856" s="52"/>
      <c r="Q856" s="53"/>
      <c r="R856" s="77"/>
      <c r="S856" s="78"/>
      <c r="T856" s="56"/>
      <c r="U856" s="80"/>
      <c r="V856" s="56"/>
      <c r="W856" s="56"/>
      <c r="X856" s="80"/>
      <c r="Y856" s="57"/>
      <c r="Z856" s="58"/>
      <c r="AA856" s="82"/>
      <c r="AB856" s="83"/>
      <c r="AC856" s="83"/>
      <c r="AD856" s="77"/>
      <c r="AE856" s="84"/>
      <c r="AF856" s="84"/>
      <c r="AG856" s="62"/>
      <c r="AH856" s="63"/>
    </row>
    <row r="857" spans="1:34" ht="16.5" thickTop="1" thickBot="1">
      <c r="A857" s="41"/>
      <c r="B857" s="42"/>
      <c r="C857" s="43"/>
      <c r="D857" s="44"/>
      <c r="E857" s="45"/>
      <c r="F857" s="46"/>
      <c r="G857" s="45"/>
      <c r="H857" s="45"/>
      <c r="I857" s="47"/>
      <c r="J857" s="48"/>
      <c r="K857" s="48"/>
      <c r="L857" s="49"/>
      <c r="M857" s="49"/>
      <c r="N857" s="50"/>
      <c r="O857" s="51"/>
      <c r="P857" s="52"/>
      <c r="Q857" s="53"/>
      <c r="R857" s="77"/>
      <c r="S857" s="78"/>
      <c r="T857" s="56"/>
      <c r="U857" s="80"/>
      <c r="V857" s="56"/>
      <c r="W857" s="56"/>
      <c r="X857" s="80"/>
      <c r="Y857" s="57"/>
      <c r="Z857" s="58"/>
      <c r="AA857" s="82"/>
      <c r="AB857" s="83"/>
      <c r="AC857" s="83"/>
      <c r="AD857" s="77"/>
      <c r="AE857" s="84"/>
      <c r="AF857" s="84"/>
      <c r="AG857" s="62"/>
      <c r="AH857" s="63"/>
    </row>
    <row r="858" spans="1:34" ht="16.5" thickTop="1" thickBot="1">
      <c r="A858" s="41"/>
      <c r="B858" s="42"/>
      <c r="C858" s="43"/>
      <c r="D858" s="44"/>
      <c r="E858" s="45"/>
      <c r="F858" s="46"/>
      <c r="G858" s="45"/>
      <c r="H858" s="45"/>
      <c r="I858" s="47"/>
      <c r="J858" s="48"/>
      <c r="K858" s="48"/>
      <c r="L858" s="49"/>
      <c r="M858" s="49"/>
      <c r="N858" s="50"/>
      <c r="O858" s="51"/>
      <c r="P858" s="52"/>
      <c r="Q858" s="53"/>
      <c r="R858" s="77"/>
      <c r="S858" s="78"/>
      <c r="T858" s="56"/>
      <c r="U858" s="80"/>
      <c r="V858" s="56"/>
      <c r="W858" s="56"/>
      <c r="X858" s="80"/>
      <c r="Y858" s="57"/>
      <c r="Z858" s="58"/>
      <c r="AA858" s="82"/>
      <c r="AB858" s="83"/>
      <c r="AC858" s="83"/>
      <c r="AD858" s="77"/>
      <c r="AE858" s="84"/>
      <c r="AF858" s="84"/>
      <c r="AG858" s="62"/>
      <c r="AH858" s="63"/>
    </row>
    <row r="859" spans="1:34" ht="16.5" thickTop="1" thickBot="1">
      <c r="A859" s="41"/>
      <c r="B859" s="42"/>
      <c r="C859" s="43"/>
      <c r="D859" s="44"/>
      <c r="E859" s="45"/>
      <c r="F859" s="46"/>
      <c r="G859" s="45"/>
      <c r="H859" s="45"/>
      <c r="I859" s="47"/>
      <c r="J859" s="48"/>
      <c r="K859" s="48"/>
      <c r="L859" s="49"/>
      <c r="M859" s="49"/>
      <c r="N859" s="50"/>
      <c r="O859" s="51"/>
      <c r="P859" s="52"/>
      <c r="Q859" s="53"/>
      <c r="R859" s="77"/>
      <c r="S859" s="78"/>
      <c r="T859" s="56"/>
      <c r="U859" s="80"/>
      <c r="V859" s="56"/>
      <c r="W859" s="56"/>
      <c r="X859" s="80"/>
      <c r="Y859" s="57"/>
      <c r="Z859" s="58"/>
      <c r="AA859" s="82"/>
      <c r="AB859" s="83"/>
      <c r="AC859" s="83"/>
      <c r="AD859" s="77"/>
      <c r="AE859" s="84"/>
      <c r="AF859" s="84"/>
      <c r="AG859" s="62"/>
      <c r="AH859" s="63"/>
    </row>
    <row r="860" spans="1:34" ht="16.5" thickTop="1" thickBot="1">
      <c r="A860" s="41"/>
      <c r="B860" s="42"/>
      <c r="C860" s="43"/>
      <c r="D860" s="44"/>
      <c r="E860" s="45"/>
      <c r="F860" s="46"/>
      <c r="G860" s="45"/>
      <c r="H860" s="45"/>
      <c r="I860" s="47"/>
      <c r="J860" s="48"/>
      <c r="K860" s="48"/>
      <c r="L860" s="49"/>
      <c r="M860" s="49"/>
      <c r="N860" s="50"/>
      <c r="O860" s="51"/>
      <c r="P860" s="52"/>
      <c r="Q860" s="53"/>
      <c r="R860" s="77"/>
      <c r="S860" s="78"/>
      <c r="T860" s="56"/>
      <c r="U860" s="80"/>
      <c r="V860" s="56"/>
      <c r="W860" s="56"/>
      <c r="X860" s="80"/>
      <c r="Y860" s="57"/>
      <c r="Z860" s="58"/>
      <c r="AA860" s="82"/>
      <c r="AB860" s="83"/>
      <c r="AC860" s="83"/>
      <c r="AD860" s="77"/>
      <c r="AE860" s="84"/>
      <c r="AF860" s="84"/>
      <c r="AG860" s="62"/>
      <c r="AH860" s="63"/>
    </row>
    <row r="861" spans="1:34" ht="16.5" thickTop="1" thickBot="1">
      <c r="A861" s="41"/>
      <c r="B861" s="42"/>
      <c r="C861" s="43"/>
      <c r="D861" s="44"/>
      <c r="E861" s="45"/>
      <c r="F861" s="46"/>
      <c r="G861" s="45"/>
      <c r="H861" s="45"/>
      <c r="I861" s="47"/>
      <c r="J861" s="48"/>
      <c r="K861" s="48"/>
      <c r="L861" s="49"/>
      <c r="M861" s="49"/>
      <c r="N861" s="50"/>
      <c r="O861" s="51"/>
      <c r="P861" s="52"/>
      <c r="Q861" s="53"/>
      <c r="R861" s="77"/>
      <c r="S861" s="78"/>
      <c r="T861" s="56"/>
      <c r="U861" s="80"/>
      <c r="V861" s="56"/>
      <c r="W861" s="56"/>
      <c r="X861" s="80"/>
      <c r="Y861" s="57"/>
      <c r="Z861" s="58"/>
      <c r="AA861" s="82"/>
      <c r="AB861" s="83"/>
      <c r="AC861" s="83"/>
      <c r="AD861" s="77"/>
      <c r="AE861" s="84"/>
      <c r="AF861" s="84"/>
      <c r="AG861" s="62"/>
      <c r="AH861" s="63"/>
    </row>
    <row r="862" spans="1:34" ht="16.5" thickTop="1" thickBot="1">
      <c r="A862" s="41"/>
      <c r="B862" s="42"/>
      <c r="C862" s="43"/>
      <c r="D862" s="44"/>
      <c r="E862" s="45"/>
      <c r="F862" s="46"/>
      <c r="G862" s="45"/>
      <c r="H862" s="45"/>
      <c r="I862" s="47"/>
      <c r="J862" s="48"/>
      <c r="K862" s="48"/>
      <c r="L862" s="49"/>
      <c r="M862" s="49"/>
      <c r="N862" s="50"/>
      <c r="O862" s="51"/>
      <c r="P862" s="52"/>
      <c r="Q862" s="53"/>
      <c r="R862" s="77"/>
      <c r="S862" s="78"/>
      <c r="T862" s="56"/>
      <c r="U862" s="80"/>
      <c r="V862" s="56"/>
      <c r="W862" s="56"/>
      <c r="X862" s="80"/>
      <c r="Y862" s="57"/>
      <c r="Z862" s="58"/>
      <c r="AA862" s="82"/>
      <c r="AB862" s="83"/>
      <c r="AC862" s="83"/>
      <c r="AD862" s="77"/>
      <c r="AE862" s="84"/>
      <c r="AF862" s="84"/>
      <c r="AG862" s="62"/>
      <c r="AH862" s="63"/>
    </row>
    <row r="863" spans="1:34" ht="16.5" thickTop="1" thickBot="1">
      <c r="A863" s="41"/>
      <c r="B863" s="42"/>
      <c r="C863" s="43"/>
      <c r="D863" s="44"/>
      <c r="E863" s="45"/>
      <c r="F863" s="46"/>
      <c r="G863" s="45"/>
      <c r="H863" s="45"/>
      <c r="I863" s="47"/>
      <c r="J863" s="48"/>
      <c r="K863" s="48"/>
      <c r="L863" s="49"/>
      <c r="M863" s="49"/>
      <c r="N863" s="50"/>
      <c r="O863" s="51"/>
      <c r="P863" s="52"/>
      <c r="Q863" s="53"/>
      <c r="R863" s="77"/>
      <c r="S863" s="78"/>
      <c r="T863" s="56"/>
      <c r="U863" s="80"/>
      <c r="V863" s="56"/>
      <c r="W863" s="56"/>
      <c r="X863" s="80"/>
      <c r="Y863" s="57"/>
      <c r="Z863" s="58"/>
      <c r="AA863" s="82"/>
      <c r="AB863" s="83"/>
      <c r="AC863" s="83"/>
      <c r="AD863" s="77"/>
      <c r="AE863" s="84"/>
      <c r="AF863" s="84"/>
      <c r="AG863" s="62"/>
      <c r="AH863" s="63"/>
    </row>
    <row r="864" spans="1:34" ht="16.5" thickTop="1" thickBot="1">
      <c r="A864" s="41"/>
      <c r="B864" s="42"/>
      <c r="C864" s="43"/>
      <c r="D864" s="44"/>
      <c r="E864" s="45"/>
      <c r="F864" s="46"/>
      <c r="G864" s="45"/>
      <c r="H864" s="45"/>
      <c r="I864" s="47"/>
      <c r="J864" s="48"/>
      <c r="K864" s="48"/>
      <c r="L864" s="49"/>
      <c r="M864" s="49"/>
      <c r="N864" s="50"/>
      <c r="O864" s="51"/>
      <c r="P864" s="52"/>
      <c r="Q864" s="53"/>
      <c r="R864" s="77"/>
      <c r="S864" s="78"/>
      <c r="T864" s="56"/>
      <c r="U864" s="80"/>
      <c r="V864" s="56"/>
      <c r="W864" s="56"/>
      <c r="X864" s="80"/>
      <c r="Y864" s="57"/>
      <c r="Z864" s="58"/>
      <c r="AA864" s="82"/>
      <c r="AB864" s="83"/>
      <c r="AC864" s="83"/>
      <c r="AD864" s="77"/>
      <c r="AE864" s="84"/>
      <c r="AF864" s="84"/>
      <c r="AG864" s="62"/>
      <c r="AH864" s="63"/>
    </row>
    <row r="865" spans="1:34" ht="16.5" thickTop="1" thickBot="1">
      <c r="A865" s="41"/>
      <c r="B865" s="42"/>
      <c r="C865" s="43"/>
      <c r="D865" s="44"/>
      <c r="E865" s="45"/>
      <c r="F865" s="46"/>
      <c r="G865" s="45"/>
      <c r="H865" s="45"/>
      <c r="I865" s="47"/>
      <c r="J865" s="48"/>
      <c r="K865" s="48"/>
      <c r="L865" s="49"/>
      <c r="M865" s="49"/>
      <c r="N865" s="50"/>
      <c r="O865" s="51"/>
      <c r="P865" s="52"/>
      <c r="Q865" s="53"/>
      <c r="R865" s="77"/>
      <c r="S865" s="78"/>
      <c r="T865" s="56"/>
      <c r="U865" s="80"/>
      <c r="V865" s="56"/>
      <c r="W865" s="56"/>
      <c r="X865" s="80"/>
      <c r="Y865" s="57"/>
      <c r="Z865" s="58"/>
      <c r="AA865" s="82"/>
      <c r="AB865" s="83"/>
      <c r="AC865" s="83"/>
      <c r="AD865" s="77"/>
      <c r="AE865" s="84"/>
      <c r="AF865" s="84"/>
      <c r="AG865" s="62"/>
      <c r="AH865" s="63"/>
    </row>
    <row r="866" spans="1:34" ht="16.5" thickTop="1" thickBot="1">
      <c r="A866" s="41"/>
      <c r="B866" s="42"/>
      <c r="C866" s="43"/>
      <c r="D866" s="44"/>
      <c r="E866" s="45"/>
      <c r="F866" s="46"/>
      <c r="G866" s="45"/>
      <c r="H866" s="45"/>
      <c r="I866" s="47"/>
      <c r="J866" s="48"/>
      <c r="K866" s="48"/>
      <c r="L866" s="49"/>
      <c r="M866" s="49"/>
      <c r="N866" s="50"/>
      <c r="O866" s="51"/>
      <c r="P866" s="52"/>
      <c r="Q866" s="53"/>
      <c r="R866" s="77"/>
      <c r="S866" s="78"/>
      <c r="T866" s="56"/>
      <c r="U866" s="80"/>
      <c r="V866" s="56"/>
      <c r="W866" s="56"/>
      <c r="X866" s="80"/>
      <c r="Y866" s="57"/>
      <c r="Z866" s="58"/>
      <c r="AA866" s="82"/>
      <c r="AB866" s="83"/>
      <c r="AC866" s="83"/>
      <c r="AD866" s="77"/>
      <c r="AE866" s="84"/>
      <c r="AF866" s="84"/>
      <c r="AG866" s="62"/>
      <c r="AH866" s="63"/>
    </row>
    <row r="867" spans="1:34" ht="16.5" thickTop="1" thickBot="1">
      <c r="A867" s="41"/>
      <c r="B867" s="42"/>
      <c r="C867" s="43"/>
      <c r="D867" s="44"/>
      <c r="E867" s="45"/>
      <c r="F867" s="46"/>
      <c r="G867" s="45"/>
      <c r="H867" s="45"/>
      <c r="I867" s="47"/>
      <c r="J867" s="48"/>
      <c r="K867" s="48"/>
      <c r="L867" s="49"/>
      <c r="M867" s="49"/>
      <c r="N867" s="50"/>
      <c r="O867" s="51"/>
      <c r="P867" s="52"/>
      <c r="Q867" s="53"/>
      <c r="R867" s="77"/>
      <c r="S867" s="78"/>
      <c r="T867" s="56"/>
      <c r="U867" s="80"/>
      <c r="V867" s="56"/>
      <c r="W867" s="56"/>
      <c r="X867" s="80"/>
      <c r="Y867" s="57"/>
      <c r="Z867" s="58"/>
      <c r="AA867" s="82"/>
      <c r="AB867" s="83"/>
      <c r="AC867" s="83"/>
      <c r="AD867" s="77"/>
      <c r="AE867" s="84"/>
      <c r="AF867" s="84"/>
      <c r="AG867" s="62"/>
      <c r="AH867" s="63"/>
    </row>
    <row r="868" spans="1:34" ht="16.5" thickTop="1" thickBot="1">
      <c r="A868" s="41"/>
      <c r="B868" s="42"/>
      <c r="C868" s="43"/>
      <c r="D868" s="44"/>
      <c r="E868" s="45"/>
      <c r="F868" s="46"/>
      <c r="G868" s="45"/>
      <c r="H868" s="45"/>
      <c r="I868" s="47"/>
      <c r="J868" s="48"/>
      <c r="K868" s="48"/>
      <c r="L868" s="49"/>
      <c r="M868" s="49"/>
      <c r="N868" s="50"/>
      <c r="O868" s="51"/>
      <c r="P868" s="52"/>
      <c r="Q868" s="53"/>
      <c r="R868" s="77"/>
      <c r="S868" s="78"/>
      <c r="T868" s="56"/>
      <c r="U868" s="80"/>
      <c r="V868" s="56"/>
      <c r="W868" s="56"/>
      <c r="X868" s="80"/>
      <c r="Y868" s="57"/>
      <c r="Z868" s="58"/>
      <c r="AA868" s="82"/>
      <c r="AB868" s="83"/>
      <c r="AC868" s="83"/>
      <c r="AD868" s="77"/>
      <c r="AE868" s="84"/>
      <c r="AF868" s="84"/>
      <c r="AG868" s="62"/>
      <c r="AH868" s="63"/>
    </row>
    <row r="869" spans="1:34" ht="16.5" thickTop="1" thickBot="1">
      <c r="A869" s="41"/>
      <c r="B869" s="42"/>
      <c r="C869" s="43"/>
      <c r="D869" s="44"/>
      <c r="E869" s="45"/>
      <c r="F869" s="46"/>
      <c r="G869" s="45"/>
      <c r="H869" s="45"/>
      <c r="I869" s="47"/>
      <c r="J869" s="48"/>
      <c r="K869" s="48"/>
      <c r="L869" s="49"/>
      <c r="M869" s="49"/>
      <c r="N869" s="50"/>
      <c r="O869" s="51"/>
      <c r="P869" s="52"/>
      <c r="Q869" s="53"/>
      <c r="R869" s="77"/>
      <c r="S869" s="78"/>
      <c r="T869" s="56"/>
      <c r="U869" s="80"/>
      <c r="V869" s="56"/>
      <c r="W869" s="56"/>
      <c r="X869" s="80"/>
      <c r="Y869" s="57"/>
      <c r="Z869" s="58"/>
      <c r="AA869" s="82"/>
      <c r="AB869" s="83"/>
      <c r="AC869" s="83"/>
      <c r="AD869" s="77"/>
      <c r="AE869" s="84"/>
      <c r="AF869" s="84"/>
      <c r="AG869" s="62"/>
      <c r="AH869" s="63"/>
    </row>
    <row r="870" spans="1:34" ht="16.5" thickTop="1" thickBot="1">
      <c r="A870" s="41"/>
      <c r="B870" s="42"/>
      <c r="C870" s="43"/>
      <c r="D870" s="44"/>
      <c r="E870" s="45"/>
      <c r="F870" s="46"/>
      <c r="G870" s="45"/>
      <c r="H870" s="45"/>
      <c r="I870" s="47"/>
      <c r="J870" s="48"/>
      <c r="K870" s="48"/>
      <c r="L870" s="49"/>
      <c r="M870" s="49"/>
      <c r="N870" s="50"/>
      <c r="O870" s="51"/>
      <c r="P870" s="52"/>
      <c r="Q870" s="53"/>
      <c r="R870" s="77"/>
      <c r="S870" s="78"/>
      <c r="T870" s="56"/>
      <c r="U870" s="80"/>
      <c r="V870" s="56"/>
      <c r="W870" s="56"/>
      <c r="X870" s="80"/>
      <c r="Y870" s="57"/>
      <c r="Z870" s="58"/>
      <c r="AA870" s="82"/>
      <c r="AB870" s="83"/>
      <c r="AC870" s="83"/>
      <c r="AD870" s="77"/>
      <c r="AE870" s="84"/>
      <c r="AF870" s="84"/>
      <c r="AG870" s="62"/>
      <c r="AH870" s="63"/>
    </row>
    <row r="871" spans="1:34" ht="16.5" thickTop="1" thickBot="1">
      <c r="A871" s="41"/>
      <c r="B871" s="42"/>
      <c r="C871" s="43"/>
      <c r="D871" s="44"/>
      <c r="E871" s="45"/>
      <c r="F871" s="46"/>
      <c r="G871" s="45"/>
      <c r="H871" s="45"/>
      <c r="I871" s="47"/>
      <c r="J871" s="48"/>
      <c r="K871" s="48"/>
      <c r="L871" s="49"/>
      <c r="M871" s="49"/>
      <c r="N871" s="50"/>
      <c r="O871" s="51"/>
      <c r="P871" s="52"/>
      <c r="Q871" s="53"/>
      <c r="R871" s="77"/>
      <c r="S871" s="78"/>
      <c r="T871" s="56"/>
      <c r="U871" s="80"/>
      <c r="V871" s="56"/>
      <c r="W871" s="56"/>
      <c r="X871" s="80"/>
      <c r="Y871" s="57"/>
      <c r="Z871" s="58"/>
      <c r="AA871" s="82"/>
      <c r="AB871" s="83"/>
      <c r="AC871" s="83"/>
      <c r="AD871" s="77"/>
      <c r="AE871" s="84"/>
      <c r="AF871" s="84"/>
      <c r="AG871" s="62"/>
      <c r="AH871" s="63"/>
    </row>
    <row r="872" spans="1:34" ht="16.5" thickTop="1" thickBot="1">
      <c r="A872" s="41"/>
      <c r="B872" s="42"/>
      <c r="C872" s="43"/>
      <c r="D872" s="44"/>
      <c r="E872" s="45"/>
      <c r="F872" s="46"/>
      <c r="G872" s="45"/>
      <c r="H872" s="45"/>
      <c r="I872" s="47"/>
      <c r="J872" s="48"/>
      <c r="K872" s="48"/>
      <c r="L872" s="49"/>
      <c r="M872" s="49"/>
      <c r="N872" s="50"/>
      <c r="O872" s="51"/>
      <c r="P872" s="52"/>
      <c r="Q872" s="53"/>
      <c r="R872" s="77"/>
      <c r="S872" s="78"/>
      <c r="T872" s="56"/>
      <c r="U872" s="80"/>
      <c r="V872" s="56"/>
      <c r="W872" s="56"/>
      <c r="X872" s="80"/>
      <c r="Y872" s="57"/>
      <c r="Z872" s="58"/>
      <c r="AA872" s="82"/>
      <c r="AB872" s="83"/>
      <c r="AC872" s="83"/>
      <c r="AD872" s="77"/>
      <c r="AE872" s="84"/>
      <c r="AF872" s="84"/>
      <c r="AG872" s="62"/>
      <c r="AH872" s="63"/>
    </row>
    <row r="873" spans="1:34" ht="16.5" thickTop="1" thickBot="1">
      <c r="A873" s="41"/>
      <c r="B873" s="42"/>
      <c r="C873" s="43"/>
      <c r="D873" s="44"/>
      <c r="E873" s="45"/>
      <c r="F873" s="46"/>
      <c r="G873" s="45"/>
      <c r="H873" s="45"/>
      <c r="I873" s="47"/>
      <c r="J873" s="48"/>
      <c r="K873" s="48"/>
      <c r="L873" s="49"/>
      <c r="M873" s="49"/>
      <c r="N873" s="50"/>
      <c r="O873" s="51"/>
      <c r="P873" s="52"/>
      <c r="Q873" s="53"/>
      <c r="R873" s="77"/>
      <c r="S873" s="78"/>
      <c r="T873" s="56"/>
      <c r="U873" s="80"/>
      <c r="V873" s="56"/>
      <c r="W873" s="56"/>
      <c r="X873" s="80"/>
      <c r="Y873" s="57"/>
      <c r="Z873" s="58"/>
      <c r="AA873" s="82"/>
      <c r="AB873" s="83"/>
      <c r="AC873" s="83"/>
      <c r="AD873" s="77"/>
      <c r="AE873" s="84"/>
      <c r="AF873" s="84"/>
      <c r="AG873" s="62"/>
      <c r="AH873" s="63"/>
    </row>
    <row r="874" spans="1:34" ht="16.5" thickTop="1" thickBot="1">
      <c r="A874" s="41"/>
      <c r="B874" s="42"/>
      <c r="C874" s="43"/>
      <c r="D874" s="44"/>
      <c r="E874" s="45"/>
      <c r="F874" s="46"/>
      <c r="G874" s="45"/>
      <c r="H874" s="45"/>
      <c r="I874" s="47"/>
      <c r="J874" s="48"/>
      <c r="K874" s="48"/>
      <c r="L874" s="49"/>
      <c r="M874" s="49"/>
      <c r="N874" s="50"/>
      <c r="O874" s="51"/>
      <c r="P874" s="52"/>
      <c r="Q874" s="53"/>
      <c r="R874" s="77"/>
      <c r="S874" s="78"/>
      <c r="T874" s="56"/>
      <c r="U874" s="80"/>
      <c r="V874" s="56"/>
      <c r="W874" s="56"/>
      <c r="X874" s="80"/>
      <c r="Y874" s="57"/>
      <c r="Z874" s="58"/>
      <c r="AA874" s="82"/>
      <c r="AB874" s="83"/>
      <c r="AC874" s="83"/>
      <c r="AD874" s="77"/>
      <c r="AE874" s="84"/>
      <c r="AF874" s="84"/>
      <c r="AG874" s="62"/>
      <c r="AH874" s="63"/>
    </row>
    <row r="875" spans="1:34" ht="16.5" thickTop="1" thickBot="1">
      <c r="A875" s="41"/>
      <c r="B875" s="42"/>
      <c r="C875" s="43"/>
      <c r="D875" s="44"/>
      <c r="E875" s="45"/>
      <c r="F875" s="46"/>
      <c r="G875" s="45"/>
      <c r="H875" s="45"/>
      <c r="I875" s="47"/>
      <c r="J875" s="48"/>
      <c r="K875" s="48"/>
      <c r="L875" s="49"/>
      <c r="M875" s="49"/>
      <c r="N875" s="50"/>
      <c r="O875" s="51"/>
      <c r="P875" s="52"/>
      <c r="Q875" s="53"/>
      <c r="R875" s="54"/>
      <c r="S875" s="55"/>
      <c r="T875" s="56"/>
      <c r="U875" s="57"/>
      <c r="V875" s="56"/>
      <c r="W875" s="56"/>
      <c r="X875" s="57"/>
      <c r="Y875" s="57"/>
      <c r="Z875" s="58"/>
      <c r="AA875" s="59"/>
      <c r="AB875" s="60"/>
      <c r="AC875" s="60"/>
      <c r="AD875" s="54"/>
      <c r="AE875" s="61"/>
      <c r="AF875" s="61"/>
      <c r="AG875" s="62"/>
      <c r="AH875" s="63"/>
    </row>
    <row r="876" spans="1:34" ht="16.5" thickTop="1" thickBot="1">
      <c r="A876" s="41"/>
      <c r="B876" s="42"/>
      <c r="C876" s="43"/>
      <c r="D876" s="44"/>
      <c r="E876" s="45"/>
      <c r="F876" s="46"/>
      <c r="G876" s="45"/>
      <c r="H876" s="45"/>
      <c r="I876" s="47"/>
      <c r="J876" s="48"/>
      <c r="K876" s="48"/>
      <c r="L876" s="49"/>
      <c r="M876" s="49"/>
      <c r="N876" s="50"/>
      <c r="O876" s="51"/>
      <c r="P876" s="52"/>
      <c r="Q876" s="53"/>
      <c r="R876" s="77"/>
      <c r="S876" s="78"/>
      <c r="T876" s="56"/>
      <c r="U876" s="80"/>
      <c r="V876" s="56"/>
      <c r="W876" s="56"/>
      <c r="Y876" s="57"/>
      <c r="Z876" s="58"/>
      <c r="AA876" s="82"/>
      <c r="AB876" s="83"/>
      <c r="AC876" s="83"/>
      <c r="AD876" s="77"/>
      <c r="AE876" s="84"/>
      <c r="AF876" s="84"/>
      <c r="AG876" s="62"/>
      <c r="AH876" s="63"/>
    </row>
    <row r="877" spans="1:34" ht="16.5" thickTop="1" thickBot="1">
      <c r="A877" s="41"/>
      <c r="B877" s="42"/>
      <c r="C877" s="43"/>
      <c r="D877" s="44"/>
      <c r="E877" s="45"/>
      <c r="F877" s="46"/>
      <c r="G877" s="45"/>
      <c r="H877" s="45"/>
      <c r="I877" s="47"/>
      <c r="J877" s="48"/>
      <c r="K877" s="48"/>
      <c r="L877" s="49"/>
      <c r="M877" s="49"/>
      <c r="N877" s="50"/>
      <c r="O877" s="51"/>
      <c r="P877" s="52"/>
      <c r="Q877" s="53"/>
      <c r="R877" s="54"/>
      <c r="S877" s="55"/>
      <c r="T877" s="56"/>
      <c r="U877" s="57"/>
      <c r="V877" s="56"/>
      <c r="W877" s="56"/>
      <c r="X877" s="57"/>
      <c r="Y877" s="57"/>
      <c r="Z877" s="58"/>
      <c r="AA877" s="59"/>
      <c r="AB877" s="60"/>
      <c r="AC877" s="60"/>
      <c r="AD877" s="54"/>
      <c r="AE877" s="61"/>
      <c r="AF877" s="61"/>
      <c r="AG877" s="62"/>
      <c r="AH877" s="63"/>
    </row>
    <row r="878" spans="1:34" ht="16.5" thickTop="1" thickBot="1">
      <c r="A878" s="41"/>
      <c r="B878" s="42"/>
      <c r="C878" s="43"/>
      <c r="D878" s="44"/>
      <c r="E878" s="45"/>
      <c r="F878" s="46"/>
      <c r="G878" s="45"/>
      <c r="H878" s="45"/>
      <c r="I878" s="47"/>
      <c r="J878" s="48"/>
      <c r="K878" s="48"/>
      <c r="L878" s="49"/>
      <c r="M878" s="49"/>
      <c r="N878" s="50"/>
      <c r="O878" s="51"/>
      <c r="P878" s="52"/>
      <c r="Q878" s="53"/>
      <c r="R878" s="54"/>
      <c r="S878" s="55"/>
      <c r="T878" s="56"/>
      <c r="U878" s="57"/>
      <c r="V878" s="56"/>
      <c r="W878" s="56"/>
      <c r="X878" s="57"/>
      <c r="Y878" s="57"/>
      <c r="Z878" s="58"/>
      <c r="AA878" s="59"/>
      <c r="AB878" s="60"/>
      <c r="AC878" s="60"/>
      <c r="AD878" s="54"/>
      <c r="AE878" s="61"/>
      <c r="AF878" s="61"/>
      <c r="AG878" s="62"/>
      <c r="AH878" s="63"/>
    </row>
    <row r="879" spans="1:34" ht="16.5" thickTop="1" thickBot="1">
      <c r="A879" s="41"/>
      <c r="B879" s="42"/>
      <c r="C879" s="43"/>
      <c r="D879" s="44"/>
      <c r="E879" s="45"/>
      <c r="F879" s="46"/>
      <c r="G879" s="45"/>
      <c r="H879" s="45"/>
      <c r="I879" s="47"/>
      <c r="J879" s="48"/>
      <c r="K879" s="48"/>
      <c r="L879" s="49"/>
      <c r="M879" s="49"/>
      <c r="N879" s="50"/>
      <c r="O879" s="51"/>
      <c r="P879" s="52"/>
      <c r="Q879" s="53"/>
      <c r="R879" s="54"/>
      <c r="S879" s="55"/>
      <c r="T879" s="56"/>
      <c r="U879" s="57"/>
      <c r="V879" s="56"/>
      <c r="W879" s="56"/>
      <c r="X879" s="57"/>
      <c r="Y879" s="57"/>
      <c r="Z879" s="58"/>
      <c r="AA879" s="59"/>
      <c r="AB879" s="60"/>
      <c r="AC879" s="60"/>
      <c r="AD879" s="54"/>
      <c r="AE879" s="61"/>
      <c r="AF879" s="61"/>
      <c r="AG879" s="62"/>
      <c r="AH879" s="63"/>
    </row>
    <row r="880" spans="1:34" ht="16.5" thickTop="1" thickBot="1">
      <c r="A880" s="41"/>
      <c r="B880" s="42"/>
      <c r="C880" s="43"/>
      <c r="D880" s="44"/>
      <c r="E880" s="45"/>
      <c r="F880" s="46"/>
      <c r="G880" s="45"/>
      <c r="H880" s="45"/>
      <c r="I880" s="47"/>
      <c r="J880" s="48"/>
      <c r="K880" s="48"/>
      <c r="L880" s="49"/>
      <c r="M880" s="49"/>
      <c r="N880" s="50"/>
      <c r="O880" s="51"/>
      <c r="P880" s="52"/>
      <c r="Q880" s="53"/>
      <c r="R880" s="77"/>
      <c r="S880" s="78"/>
      <c r="T880" s="56"/>
      <c r="U880" s="80"/>
      <c r="V880" s="56"/>
      <c r="W880" s="56"/>
      <c r="Y880" s="57"/>
      <c r="Z880" s="58"/>
      <c r="AA880" s="82"/>
      <c r="AB880" s="83"/>
      <c r="AC880" s="83"/>
      <c r="AD880" s="77"/>
      <c r="AE880" s="84"/>
      <c r="AF880" s="84"/>
      <c r="AG880" s="62"/>
      <c r="AH880" s="63"/>
    </row>
    <row r="881" spans="1:34" ht="16.5" thickTop="1" thickBot="1">
      <c r="A881" s="41"/>
      <c r="B881" s="42"/>
      <c r="C881" s="43"/>
      <c r="D881" s="44"/>
      <c r="E881" s="45"/>
      <c r="F881" s="46"/>
      <c r="G881" s="45"/>
      <c r="H881" s="45"/>
      <c r="I881" s="47"/>
      <c r="J881" s="48"/>
      <c r="K881" s="48"/>
      <c r="L881" s="49"/>
      <c r="M881" s="49"/>
      <c r="N881" s="50"/>
      <c r="O881" s="51"/>
      <c r="P881" s="52"/>
      <c r="Q881" s="53"/>
      <c r="R881" s="77"/>
      <c r="S881" s="78"/>
      <c r="T881" s="56"/>
      <c r="U881" s="80"/>
      <c r="V881" s="56"/>
      <c r="W881" s="56"/>
      <c r="X881" s="80"/>
      <c r="Y881" s="57"/>
      <c r="Z881" s="58"/>
      <c r="AA881" s="82"/>
      <c r="AB881" s="83"/>
      <c r="AC881" s="83"/>
      <c r="AD881" s="77"/>
      <c r="AE881" s="84"/>
      <c r="AF881" s="84"/>
      <c r="AG881" s="62"/>
      <c r="AH881" s="63"/>
    </row>
    <row r="882" spans="1:34" ht="16.5" thickTop="1" thickBot="1">
      <c r="A882" s="41"/>
      <c r="B882" s="42"/>
      <c r="C882" s="43"/>
      <c r="D882" s="44"/>
      <c r="E882" s="45"/>
      <c r="F882" s="46"/>
      <c r="G882" s="45"/>
      <c r="H882" s="45"/>
      <c r="I882" s="47"/>
      <c r="J882" s="48"/>
      <c r="K882" s="48"/>
      <c r="L882" s="49"/>
      <c r="M882" s="49"/>
      <c r="N882" s="50"/>
      <c r="O882" s="51"/>
      <c r="P882" s="52"/>
      <c r="Q882" s="53"/>
      <c r="R882" s="77"/>
      <c r="S882" s="78"/>
      <c r="T882" s="56"/>
      <c r="U882" s="80"/>
      <c r="V882" s="56"/>
      <c r="W882" s="56"/>
      <c r="Y882" s="57"/>
      <c r="Z882" s="58"/>
      <c r="AA882" s="82"/>
      <c r="AB882" s="83"/>
      <c r="AC882" s="83"/>
      <c r="AD882" s="77"/>
      <c r="AE882" s="84"/>
      <c r="AF882" s="84"/>
      <c r="AG882" s="62"/>
      <c r="AH882" s="63"/>
    </row>
    <row r="883" spans="1:34" ht="16.5" thickTop="1" thickBot="1">
      <c r="A883" s="41"/>
      <c r="B883" s="42"/>
      <c r="C883" s="43"/>
      <c r="D883" s="44"/>
      <c r="E883" s="45"/>
      <c r="F883" s="46"/>
      <c r="G883" s="45"/>
      <c r="H883" s="45"/>
      <c r="I883" s="47"/>
      <c r="J883" s="48"/>
      <c r="K883" s="48"/>
      <c r="L883" s="49"/>
      <c r="M883" s="49"/>
      <c r="N883" s="50"/>
      <c r="O883" s="51"/>
      <c r="P883" s="52"/>
      <c r="Q883" s="53"/>
      <c r="R883" s="77"/>
      <c r="S883" s="78"/>
      <c r="T883" s="56"/>
      <c r="U883" s="80"/>
      <c r="V883" s="56"/>
      <c r="W883" s="56"/>
      <c r="Y883" s="57"/>
      <c r="Z883" s="58"/>
      <c r="AA883" s="82"/>
      <c r="AB883" s="83"/>
      <c r="AC883" s="83"/>
      <c r="AD883" s="77"/>
      <c r="AE883" s="84"/>
      <c r="AF883" s="84"/>
      <c r="AG883" s="62"/>
      <c r="AH883" s="63"/>
    </row>
    <row r="884" spans="1:34" ht="16.5" thickTop="1" thickBot="1">
      <c r="A884" s="41"/>
      <c r="B884" s="42"/>
      <c r="C884" s="43"/>
      <c r="D884" s="44"/>
      <c r="E884" s="45"/>
      <c r="F884" s="46"/>
      <c r="G884" s="45"/>
      <c r="H884" s="45"/>
      <c r="I884" s="47"/>
      <c r="J884" s="48"/>
      <c r="K884" s="48"/>
      <c r="L884" s="49"/>
      <c r="M884" s="49"/>
      <c r="N884" s="50"/>
      <c r="O884" s="51"/>
      <c r="P884" s="52"/>
      <c r="Q884" s="53"/>
      <c r="R884" s="77"/>
      <c r="S884" s="78"/>
      <c r="T884" s="56"/>
      <c r="U884" s="80"/>
      <c r="V884" s="56"/>
      <c r="W884" s="56"/>
      <c r="Y884" s="57"/>
      <c r="Z884" s="58"/>
      <c r="AA884" s="82"/>
      <c r="AB884" s="83"/>
      <c r="AC884" s="83"/>
      <c r="AD884" s="77"/>
      <c r="AE884" s="84"/>
      <c r="AF884" s="84"/>
      <c r="AG884" s="62"/>
      <c r="AH884" s="63"/>
    </row>
    <row r="885" spans="1:34" ht="16.5" thickTop="1" thickBot="1">
      <c r="A885" s="41"/>
      <c r="B885" s="42"/>
      <c r="C885" s="43"/>
      <c r="D885" s="44"/>
      <c r="E885" s="45"/>
      <c r="F885" s="46"/>
      <c r="G885" s="45"/>
      <c r="H885" s="45"/>
      <c r="I885" s="47"/>
      <c r="J885" s="48"/>
      <c r="K885" s="48"/>
      <c r="L885" s="49"/>
      <c r="M885" s="49"/>
      <c r="N885" s="50"/>
      <c r="O885" s="51"/>
      <c r="P885" s="52"/>
      <c r="Q885" s="53"/>
      <c r="R885" s="77"/>
      <c r="S885" s="78"/>
      <c r="T885" s="56"/>
      <c r="U885" s="80"/>
      <c r="V885" s="56"/>
      <c r="W885" s="56"/>
      <c r="Y885" s="57"/>
      <c r="Z885" s="58"/>
      <c r="AA885" s="82"/>
      <c r="AB885" s="83"/>
      <c r="AC885" s="83"/>
      <c r="AD885" s="77"/>
      <c r="AE885" s="84"/>
      <c r="AF885" s="84"/>
      <c r="AG885" s="62"/>
      <c r="AH885" s="63"/>
    </row>
    <row r="886" spans="1:34" s="111" customFormat="1" ht="16.5" thickTop="1" thickBot="1">
      <c r="A886" s="41"/>
      <c r="B886" s="42"/>
      <c r="C886" s="43"/>
      <c r="D886" s="44"/>
      <c r="E886" s="45"/>
      <c r="F886" s="46"/>
      <c r="G886" s="45"/>
      <c r="H886" s="45"/>
      <c r="I886" s="47"/>
      <c r="J886" s="48"/>
      <c r="K886" s="48"/>
      <c r="L886" s="49"/>
      <c r="M886" s="49"/>
      <c r="N886" s="50"/>
      <c r="O886" s="51"/>
      <c r="P886" s="52"/>
      <c r="Q886" s="53"/>
      <c r="R886" s="105"/>
      <c r="S886" s="106"/>
      <c r="T886" s="56"/>
      <c r="U886" s="107"/>
      <c r="V886" s="56"/>
      <c r="W886" s="56"/>
      <c r="Y886" s="57"/>
      <c r="Z886" s="58"/>
      <c r="AA886" s="108"/>
      <c r="AB886" s="109"/>
      <c r="AC886" s="109"/>
      <c r="AD886" s="105"/>
      <c r="AE886" s="110"/>
      <c r="AF886" s="110"/>
      <c r="AG886" s="62"/>
      <c r="AH886" s="63"/>
    </row>
    <row r="887" spans="1:34" ht="16.5" thickTop="1" thickBot="1">
      <c r="A887" s="41"/>
      <c r="B887" s="42"/>
      <c r="C887" s="43"/>
      <c r="D887" s="44"/>
      <c r="E887" s="45"/>
      <c r="F887" s="46"/>
      <c r="G887" s="45"/>
      <c r="H887" s="45"/>
      <c r="I887" s="47"/>
      <c r="J887" s="48"/>
      <c r="K887" s="48"/>
      <c r="L887" s="49"/>
      <c r="M887" s="49"/>
      <c r="N887" s="50"/>
      <c r="O887" s="51"/>
      <c r="P887" s="52"/>
      <c r="Q887" s="53"/>
      <c r="R887" s="77"/>
      <c r="S887" s="78"/>
      <c r="T887" s="56"/>
      <c r="U887" s="80"/>
      <c r="V887" s="56"/>
      <c r="W887" s="56"/>
      <c r="Y887" s="57"/>
      <c r="Z887" s="58"/>
      <c r="AA887" s="82"/>
      <c r="AB887" s="83"/>
      <c r="AC887" s="83"/>
      <c r="AD887" s="77"/>
      <c r="AE887" s="84"/>
      <c r="AF887" s="84"/>
      <c r="AG887" s="62"/>
      <c r="AH887" s="63"/>
    </row>
    <row r="888" spans="1:34" ht="16.5" thickTop="1" thickBot="1">
      <c r="A888" s="41"/>
      <c r="B888" s="42"/>
      <c r="C888" s="43"/>
      <c r="D888" s="44"/>
      <c r="E888" s="45"/>
      <c r="F888" s="46"/>
      <c r="G888" s="45"/>
      <c r="H888" s="45"/>
      <c r="I888" s="47"/>
      <c r="J888" s="48"/>
      <c r="K888" s="48"/>
      <c r="L888" s="49"/>
      <c r="M888" s="49"/>
      <c r="N888" s="50"/>
      <c r="O888" s="51"/>
      <c r="P888" s="52"/>
      <c r="Q888" s="53"/>
      <c r="R888" s="77"/>
      <c r="S888" s="78"/>
      <c r="T888" s="56"/>
      <c r="U888" s="80"/>
      <c r="V888" s="56"/>
      <c r="W888" s="56"/>
      <c r="Y888" s="57"/>
      <c r="Z888" s="58"/>
      <c r="AA888" s="82"/>
      <c r="AB888" s="83"/>
      <c r="AC888" s="83"/>
      <c r="AD888" s="77"/>
      <c r="AE888" s="84"/>
      <c r="AF888" s="84"/>
      <c r="AG888" s="62"/>
      <c r="AH888" s="63"/>
    </row>
    <row r="889" spans="1:34" ht="16.5" thickTop="1" thickBot="1">
      <c r="A889" s="41"/>
      <c r="B889" s="42"/>
      <c r="C889" s="43"/>
      <c r="D889" s="44"/>
      <c r="E889" s="45"/>
      <c r="F889" s="46"/>
      <c r="G889" s="45"/>
      <c r="H889" s="45"/>
      <c r="I889" s="47"/>
      <c r="J889" s="48"/>
      <c r="K889" s="48"/>
      <c r="L889" s="49"/>
      <c r="M889" s="49"/>
      <c r="N889" s="50"/>
      <c r="O889" s="51"/>
      <c r="P889" s="52"/>
      <c r="Q889" s="53"/>
      <c r="R889" s="77"/>
      <c r="S889" s="78"/>
      <c r="T889" s="56"/>
      <c r="U889" s="80"/>
      <c r="V889" s="56"/>
      <c r="W889" s="56"/>
      <c r="Y889" s="57"/>
      <c r="Z889" s="58"/>
      <c r="AA889" s="82"/>
      <c r="AB889" s="83"/>
      <c r="AC889" s="83"/>
      <c r="AD889" s="77"/>
      <c r="AE889" s="84"/>
      <c r="AF889" s="84"/>
      <c r="AG889" s="62"/>
      <c r="AH889" s="63"/>
    </row>
    <row r="890" spans="1:34" ht="16.5" thickTop="1" thickBot="1">
      <c r="A890" s="41"/>
      <c r="B890" s="42"/>
      <c r="C890" s="43"/>
      <c r="D890" s="44"/>
      <c r="E890" s="45"/>
      <c r="F890" s="46"/>
      <c r="G890" s="45"/>
      <c r="H890" s="45"/>
      <c r="I890" s="47"/>
      <c r="J890" s="48"/>
      <c r="K890" s="48"/>
      <c r="L890" s="49"/>
      <c r="M890" s="49"/>
      <c r="N890" s="50"/>
      <c r="O890" s="51"/>
      <c r="P890" s="52"/>
      <c r="Q890" s="53"/>
      <c r="R890" s="77"/>
      <c r="S890" s="78"/>
      <c r="T890" s="56"/>
      <c r="U890" s="80"/>
      <c r="V890" s="56"/>
      <c r="W890" s="56"/>
      <c r="Y890" s="57"/>
      <c r="Z890" s="58"/>
      <c r="AA890" s="82"/>
      <c r="AB890" s="83"/>
      <c r="AC890" s="83"/>
      <c r="AD890" s="77"/>
      <c r="AE890" s="84"/>
      <c r="AF890" s="84"/>
      <c r="AG890" s="62"/>
      <c r="AH890" s="63"/>
    </row>
    <row r="891" spans="1:34" ht="16.5" thickTop="1" thickBot="1">
      <c r="A891" s="41"/>
      <c r="B891" s="42"/>
      <c r="C891" s="43"/>
      <c r="D891" s="44"/>
      <c r="E891" s="45"/>
      <c r="F891" s="46"/>
      <c r="G891" s="45"/>
      <c r="H891" s="45"/>
      <c r="I891" s="47"/>
      <c r="J891" s="48"/>
      <c r="K891" s="48"/>
      <c r="L891" s="49"/>
      <c r="M891" s="49"/>
      <c r="N891" s="50"/>
      <c r="O891" s="51"/>
      <c r="P891" s="52"/>
      <c r="Q891" s="53"/>
      <c r="R891" s="77"/>
      <c r="S891" s="78"/>
      <c r="T891" s="56"/>
      <c r="U891" s="80"/>
      <c r="V891" s="56"/>
      <c r="W891" s="56"/>
      <c r="Y891" s="57"/>
      <c r="Z891" s="58"/>
      <c r="AA891" s="82"/>
      <c r="AB891" s="83"/>
      <c r="AC891" s="83"/>
      <c r="AD891" s="77"/>
      <c r="AE891" s="84"/>
      <c r="AF891" s="84"/>
      <c r="AG891" s="62"/>
      <c r="AH891" s="63"/>
    </row>
    <row r="892" spans="1:34" ht="16.5" thickTop="1" thickBot="1">
      <c r="A892" s="41"/>
      <c r="B892" s="42"/>
      <c r="C892" s="43"/>
      <c r="D892" s="44"/>
      <c r="E892" s="45"/>
      <c r="F892" s="46"/>
      <c r="G892" s="45"/>
      <c r="H892" s="45"/>
      <c r="I892" s="47"/>
      <c r="J892" s="48"/>
      <c r="K892" s="48"/>
      <c r="L892" s="49"/>
      <c r="M892" s="49"/>
      <c r="N892" s="50"/>
      <c r="O892" s="51"/>
      <c r="P892" s="52"/>
      <c r="Q892" s="53"/>
      <c r="R892" s="77"/>
      <c r="S892" s="78"/>
      <c r="T892" s="56"/>
      <c r="U892" s="80"/>
      <c r="V892" s="56"/>
      <c r="W892" s="56"/>
      <c r="Y892" s="57"/>
      <c r="Z892" s="58"/>
      <c r="AA892" s="82"/>
      <c r="AB892" s="83"/>
      <c r="AC892" s="83"/>
      <c r="AD892" s="77"/>
      <c r="AE892" s="84"/>
      <c r="AF892" s="84"/>
      <c r="AG892" s="62"/>
      <c r="AH892" s="63"/>
    </row>
    <row r="893" spans="1:34" ht="16.5" thickTop="1" thickBot="1">
      <c r="A893" s="41"/>
      <c r="B893" s="42"/>
      <c r="C893" s="43"/>
      <c r="D893" s="44"/>
      <c r="E893" s="45"/>
      <c r="F893" s="46"/>
      <c r="G893" s="45"/>
      <c r="H893" s="45"/>
      <c r="I893" s="47"/>
      <c r="J893" s="48"/>
      <c r="K893" s="48"/>
      <c r="L893" s="49"/>
      <c r="M893" s="49"/>
      <c r="N893" s="50"/>
      <c r="O893" s="51"/>
      <c r="P893" s="52"/>
      <c r="Q893" s="53"/>
      <c r="R893" s="77"/>
      <c r="S893" s="78"/>
      <c r="T893" s="56"/>
      <c r="U893" s="80"/>
      <c r="V893" s="56"/>
      <c r="W893" s="56"/>
      <c r="Y893" s="57"/>
      <c r="Z893" s="58"/>
      <c r="AA893" s="82"/>
      <c r="AB893" s="83"/>
      <c r="AC893" s="83"/>
      <c r="AD893" s="77"/>
      <c r="AE893" s="84"/>
      <c r="AF893" s="84"/>
      <c r="AG893" s="62"/>
      <c r="AH893" s="63"/>
    </row>
    <row r="894" spans="1:34" ht="16.5" thickTop="1" thickBot="1">
      <c r="A894" s="41"/>
      <c r="B894" s="42"/>
      <c r="C894" s="43"/>
      <c r="D894" s="44"/>
      <c r="E894" s="45"/>
      <c r="F894" s="46"/>
      <c r="G894" s="45"/>
      <c r="H894" s="45"/>
      <c r="I894" s="47"/>
      <c r="J894" s="48"/>
      <c r="K894" s="48"/>
      <c r="L894" s="49"/>
      <c r="M894" s="49"/>
      <c r="N894" s="50"/>
      <c r="O894" s="51"/>
      <c r="P894" s="52"/>
      <c r="Q894" s="53"/>
      <c r="R894" s="77"/>
      <c r="S894" s="78"/>
      <c r="T894" s="56"/>
      <c r="U894" s="80"/>
      <c r="V894" s="56"/>
      <c r="W894" s="56"/>
      <c r="Y894" s="57"/>
      <c r="Z894" s="58"/>
      <c r="AA894" s="82"/>
      <c r="AB894" s="83"/>
      <c r="AC894" s="83"/>
      <c r="AD894" s="77"/>
      <c r="AE894" s="84"/>
      <c r="AF894" s="84"/>
      <c r="AG894" s="62"/>
      <c r="AH894" s="63"/>
    </row>
    <row r="895" spans="1:34" ht="16.5" thickTop="1" thickBot="1">
      <c r="A895" s="41"/>
      <c r="B895" s="42"/>
      <c r="C895" s="43"/>
      <c r="D895" s="44"/>
      <c r="E895" s="45"/>
      <c r="F895" s="46"/>
      <c r="G895" s="45"/>
      <c r="H895" s="45"/>
      <c r="I895" s="47"/>
      <c r="J895" s="48"/>
      <c r="K895" s="48"/>
      <c r="L895" s="49"/>
      <c r="M895" s="49"/>
      <c r="N895" s="50"/>
      <c r="O895" s="51"/>
      <c r="P895" s="52"/>
      <c r="Q895" s="53"/>
      <c r="R895" s="77"/>
      <c r="S895" s="78"/>
      <c r="T895" s="56"/>
      <c r="U895" s="80"/>
      <c r="V895" s="56"/>
      <c r="W895" s="56"/>
      <c r="Y895" s="57"/>
      <c r="Z895" s="58"/>
      <c r="AA895" s="82"/>
      <c r="AB895" s="83"/>
      <c r="AC895" s="83"/>
      <c r="AD895" s="77"/>
      <c r="AE895" s="84"/>
      <c r="AF895" s="84"/>
      <c r="AG895" s="62"/>
      <c r="AH895" s="63"/>
    </row>
    <row r="896" spans="1:34" ht="16.5" thickTop="1" thickBot="1">
      <c r="A896" s="41"/>
      <c r="B896" s="42"/>
      <c r="C896" s="43"/>
      <c r="D896" s="44"/>
      <c r="E896" s="45"/>
      <c r="F896" s="46"/>
      <c r="G896" s="45"/>
      <c r="H896" s="45"/>
      <c r="I896" s="47"/>
      <c r="J896" s="48"/>
      <c r="K896" s="48"/>
      <c r="L896" s="49"/>
      <c r="M896" s="49"/>
      <c r="N896" s="50"/>
      <c r="O896" s="51"/>
      <c r="P896" s="52"/>
      <c r="Q896" s="53"/>
      <c r="R896" s="77"/>
      <c r="S896" s="78"/>
      <c r="T896" s="56"/>
      <c r="U896" s="80"/>
      <c r="V896" s="56"/>
      <c r="W896" s="56"/>
      <c r="Y896" s="57"/>
      <c r="Z896" s="58"/>
      <c r="AA896" s="82"/>
      <c r="AB896" s="83"/>
      <c r="AC896" s="83"/>
      <c r="AD896" s="77"/>
      <c r="AE896" s="84"/>
      <c r="AF896" s="84"/>
      <c r="AG896" s="62"/>
      <c r="AH896" s="63"/>
    </row>
    <row r="897" spans="1:34" ht="16.5" thickTop="1" thickBot="1">
      <c r="A897" s="41"/>
      <c r="B897" s="42"/>
      <c r="C897" s="43"/>
      <c r="D897" s="44"/>
      <c r="E897" s="45"/>
      <c r="F897" s="46"/>
      <c r="G897" s="45"/>
      <c r="H897" s="45"/>
      <c r="I897" s="47"/>
      <c r="J897" s="48"/>
      <c r="K897" s="48"/>
      <c r="L897" s="49"/>
      <c r="M897" s="49"/>
      <c r="N897" s="50"/>
      <c r="O897" s="51"/>
      <c r="P897" s="52"/>
      <c r="Q897" s="53"/>
      <c r="R897" s="77"/>
      <c r="S897" s="78"/>
      <c r="T897" s="56"/>
      <c r="U897" s="80"/>
      <c r="V897" s="56"/>
      <c r="W897" s="56"/>
      <c r="Y897" s="57"/>
      <c r="Z897" s="58"/>
      <c r="AA897" s="82"/>
      <c r="AB897" s="83"/>
      <c r="AC897" s="83"/>
      <c r="AD897" s="77"/>
      <c r="AE897" s="84"/>
      <c r="AF897" s="84"/>
      <c r="AG897" s="62"/>
      <c r="AH897" s="63"/>
    </row>
    <row r="898" spans="1:34" ht="16.5" thickTop="1" thickBot="1">
      <c r="A898" s="41"/>
      <c r="B898" s="42"/>
      <c r="C898" s="43"/>
      <c r="D898" s="44"/>
      <c r="E898" s="45"/>
      <c r="F898" s="46"/>
      <c r="G898" s="45"/>
      <c r="H898" s="45"/>
      <c r="I898" s="47"/>
      <c r="J898" s="48"/>
      <c r="K898" s="48"/>
      <c r="L898" s="49"/>
      <c r="M898" s="49"/>
      <c r="N898" s="50"/>
      <c r="O898" s="51"/>
      <c r="P898" s="52"/>
      <c r="Q898" s="53"/>
      <c r="R898" s="77"/>
      <c r="S898" s="78"/>
      <c r="T898" s="56"/>
      <c r="U898" s="80"/>
      <c r="V898" s="56"/>
      <c r="W898" s="56"/>
      <c r="Y898" s="57"/>
      <c r="Z898" s="58"/>
      <c r="AA898" s="82"/>
      <c r="AB898" s="83"/>
      <c r="AC898" s="83"/>
      <c r="AD898" s="77"/>
      <c r="AE898" s="84"/>
      <c r="AF898" s="84"/>
      <c r="AG898" s="62"/>
      <c r="AH898" s="63"/>
    </row>
    <row r="899" spans="1:34" ht="16.5" thickTop="1" thickBot="1">
      <c r="A899" s="41"/>
      <c r="B899" s="42"/>
      <c r="C899" s="43"/>
      <c r="D899" s="44"/>
      <c r="E899" s="45"/>
      <c r="F899" s="46"/>
      <c r="G899" s="45"/>
      <c r="H899" s="45"/>
      <c r="I899" s="47"/>
      <c r="J899" s="48"/>
      <c r="K899" s="48"/>
      <c r="L899" s="49"/>
      <c r="M899" s="49"/>
      <c r="N899" s="50"/>
      <c r="O899" s="51"/>
      <c r="P899" s="52"/>
      <c r="Q899" s="53"/>
      <c r="R899" s="77"/>
      <c r="S899" s="78"/>
      <c r="T899" s="56"/>
      <c r="U899" s="80"/>
      <c r="V899" s="56"/>
      <c r="W899" s="56"/>
      <c r="Y899" s="57"/>
      <c r="Z899" s="58"/>
      <c r="AA899" s="82"/>
      <c r="AB899" s="83"/>
      <c r="AC899" s="83"/>
      <c r="AD899" s="77"/>
      <c r="AE899" s="84"/>
      <c r="AF899" s="84"/>
      <c r="AG899" s="62"/>
      <c r="AH899" s="63"/>
    </row>
    <row r="900" spans="1:34" ht="16.5" thickTop="1" thickBot="1">
      <c r="A900" s="41"/>
      <c r="B900" s="42"/>
      <c r="C900" s="43"/>
      <c r="D900" s="44"/>
      <c r="E900" s="45"/>
      <c r="F900" s="46"/>
      <c r="G900" s="45"/>
      <c r="H900" s="45"/>
      <c r="I900" s="47"/>
      <c r="J900" s="48"/>
      <c r="K900" s="48"/>
      <c r="L900" s="49"/>
      <c r="M900" s="49"/>
      <c r="N900" s="50"/>
      <c r="O900" s="51"/>
      <c r="P900" s="52"/>
      <c r="Q900" s="53"/>
      <c r="R900" s="77"/>
      <c r="S900" s="78"/>
      <c r="T900" s="56"/>
      <c r="U900" s="80"/>
      <c r="V900" s="56"/>
      <c r="W900" s="56"/>
      <c r="Y900" s="57"/>
      <c r="Z900" s="58"/>
      <c r="AA900" s="82"/>
      <c r="AB900" s="83"/>
      <c r="AC900" s="83"/>
      <c r="AD900" s="77"/>
      <c r="AE900" s="84"/>
      <c r="AF900" s="84"/>
      <c r="AG900" s="62"/>
      <c r="AH900" s="63"/>
    </row>
    <row r="901" spans="1:34" ht="16.5" thickTop="1" thickBot="1">
      <c r="A901" s="41"/>
      <c r="B901" s="42"/>
      <c r="C901" s="43"/>
      <c r="D901" s="44"/>
      <c r="E901" s="45"/>
      <c r="F901" s="46"/>
      <c r="G901" s="45"/>
      <c r="H901" s="45"/>
      <c r="I901" s="47"/>
      <c r="J901" s="48"/>
      <c r="K901" s="48"/>
      <c r="L901" s="49"/>
      <c r="M901" s="49"/>
      <c r="N901" s="50"/>
      <c r="O901" s="51"/>
      <c r="P901" s="52"/>
      <c r="Q901" s="53"/>
      <c r="R901" s="77"/>
      <c r="S901" s="78"/>
      <c r="T901" s="56"/>
      <c r="U901" s="80"/>
      <c r="V901" s="56"/>
      <c r="W901" s="56"/>
      <c r="Y901" s="57"/>
      <c r="Z901" s="58"/>
      <c r="AA901" s="82"/>
      <c r="AB901" s="83"/>
      <c r="AC901" s="83"/>
      <c r="AD901" s="77"/>
      <c r="AE901" s="84"/>
      <c r="AF901" s="84"/>
      <c r="AG901" s="62"/>
      <c r="AH901" s="63"/>
    </row>
    <row r="902" spans="1:34" ht="16.5" thickTop="1" thickBot="1">
      <c r="A902" s="41"/>
      <c r="B902" s="42"/>
      <c r="C902" s="43"/>
      <c r="D902" s="44"/>
      <c r="E902" s="45"/>
      <c r="F902" s="46"/>
      <c r="G902" s="45"/>
      <c r="H902" s="45"/>
      <c r="I902" s="47"/>
      <c r="J902" s="48"/>
      <c r="K902" s="48"/>
      <c r="L902" s="49"/>
      <c r="M902" s="49"/>
      <c r="N902" s="50"/>
      <c r="O902" s="51"/>
      <c r="P902" s="52"/>
      <c r="Q902" s="53"/>
      <c r="R902" s="77"/>
      <c r="S902" s="78"/>
      <c r="T902" s="56"/>
      <c r="U902" s="80"/>
      <c r="V902" s="56"/>
      <c r="W902" s="56"/>
      <c r="Y902" s="57"/>
      <c r="Z902" s="58"/>
      <c r="AA902" s="82"/>
      <c r="AB902" s="83"/>
      <c r="AC902" s="83"/>
      <c r="AD902" s="77"/>
      <c r="AE902" s="84"/>
      <c r="AF902" s="84"/>
      <c r="AG902" s="62"/>
      <c r="AH902" s="63"/>
    </row>
    <row r="903" spans="1:34" ht="16.5" thickTop="1" thickBot="1">
      <c r="A903" s="41"/>
      <c r="B903" s="42"/>
      <c r="C903" s="43"/>
      <c r="D903" s="44"/>
      <c r="E903" s="45"/>
      <c r="F903" s="46"/>
      <c r="G903" s="45"/>
      <c r="H903" s="45"/>
      <c r="I903" s="47"/>
      <c r="J903" s="48"/>
      <c r="K903" s="48"/>
      <c r="L903" s="49"/>
      <c r="M903" s="49"/>
      <c r="N903" s="50"/>
      <c r="O903" s="51"/>
      <c r="P903" s="52"/>
      <c r="Q903" s="53"/>
      <c r="R903" s="77"/>
      <c r="S903" s="78"/>
      <c r="T903" s="56"/>
      <c r="U903" s="80"/>
      <c r="V903" s="56"/>
      <c r="W903" s="56"/>
      <c r="Y903" s="57"/>
      <c r="Z903" s="58"/>
      <c r="AA903" s="82"/>
      <c r="AB903" s="83"/>
      <c r="AC903" s="83"/>
      <c r="AD903" s="77"/>
      <c r="AE903" s="84"/>
      <c r="AF903" s="84"/>
      <c r="AG903" s="62"/>
      <c r="AH903" s="63"/>
    </row>
    <row r="904" spans="1:34" ht="16.5" thickTop="1" thickBot="1">
      <c r="A904" s="41"/>
      <c r="B904" s="42"/>
      <c r="C904" s="43"/>
      <c r="D904" s="44"/>
      <c r="E904" s="45"/>
      <c r="F904" s="46"/>
      <c r="G904" s="45"/>
      <c r="H904" s="45"/>
      <c r="I904" s="47"/>
      <c r="J904" s="48"/>
      <c r="K904" s="48"/>
      <c r="L904" s="49"/>
      <c r="M904" s="49"/>
      <c r="N904" s="50"/>
      <c r="O904" s="51"/>
      <c r="P904" s="52"/>
      <c r="Q904" s="53"/>
      <c r="R904" s="77"/>
      <c r="S904" s="78"/>
      <c r="T904" s="56"/>
      <c r="U904" s="80"/>
      <c r="V904" s="56"/>
      <c r="W904" s="56"/>
      <c r="Y904" s="57"/>
      <c r="Z904" s="58"/>
      <c r="AA904" s="82"/>
      <c r="AB904" s="83"/>
      <c r="AC904" s="83"/>
      <c r="AD904" s="77"/>
      <c r="AE904" s="84"/>
      <c r="AF904" s="84"/>
      <c r="AG904" s="62"/>
      <c r="AH904" s="63"/>
    </row>
    <row r="905" spans="1:34" ht="16.5" thickTop="1" thickBot="1">
      <c r="A905" s="41"/>
      <c r="B905" s="42"/>
      <c r="C905" s="43"/>
      <c r="D905" s="44"/>
      <c r="E905" s="45"/>
      <c r="F905" s="46"/>
      <c r="G905" s="45"/>
      <c r="H905" s="45"/>
      <c r="I905" s="47"/>
      <c r="J905" s="48"/>
      <c r="K905" s="48"/>
      <c r="L905" s="49"/>
      <c r="M905" s="49"/>
      <c r="N905" s="50"/>
      <c r="O905" s="51"/>
      <c r="P905" s="52"/>
      <c r="Q905" s="53"/>
      <c r="R905" s="77"/>
      <c r="S905" s="78"/>
      <c r="T905" s="56"/>
      <c r="U905" s="80"/>
      <c r="V905" s="56"/>
      <c r="W905" s="56"/>
      <c r="Y905" s="57"/>
      <c r="Z905" s="58"/>
      <c r="AA905" s="82"/>
      <c r="AB905" s="83"/>
      <c r="AC905" s="83"/>
      <c r="AD905" s="77"/>
      <c r="AE905" s="84"/>
      <c r="AF905" s="84"/>
      <c r="AG905" s="62"/>
      <c r="AH905" s="63"/>
    </row>
    <row r="906" spans="1:34" ht="16.5" thickTop="1" thickBot="1">
      <c r="A906" s="41"/>
      <c r="B906" s="42"/>
      <c r="C906" s="43"/>
      <c r="D906" s="44"/>
      <c r="E906" s="45"/>
      <c r="F906" s="46"/>
      <c r="G906" s="45"/>
      <c r="H906" s="45"/>
      <c r="I906" s="47"/>
      <c r="J906" s="48"/>
      <c r="K906" s="48"/>
      <c r="L906" s="49"/>
      <c r="M906" s="49"/>
      <c r="N906" s="50"/>
      <c r="O906" s="51"/>
      <c r="P906" s="52"/>
      <c r="Q906" s="53"/>
      <c r="R906" s="77"/>
      <c r="S906" s="78"/>
      <c r="T906" s="56"/>
      <c r="U906" s="80"/>
      <c r="V906" s="56"/>
      <c r="W906" s="56"/>
      <c r="Y906" s="57"/>
      <c r="Z906" s="58"/>
      <c r="AA906" s="82"/>
      <c r="AB906" s="83"/>
      <c r="AC906" s="83"/>
      <c r="AD906" s="77"/>
      <c r="AE906" s="84"/>
      <c r="AF906" s="84"/>
      <c r="AG906" s="62"/>
      <c r="AH906" s="63"/>
    </row>
    <row r="907" spans="1:34" ht="16.5" thickTop="1" thickBot="1">
      <c r="A907" s="41"/>
      <c r="B907" s="42"/>
      <c r="C907" s="43"/>
      <c r="D907" s="44"/>
      <c r="E907" s="45"/>
      <c r="F907" s="46"/>
      <c r="G907" s="45"/>
      <c r="H907" s="45"/>
      <c r="I907" s="47"/>
      <c r="J907" s="48"/>
      <c r="K907" s="48"/>
      <c r="L907" s="49"/>
      <c r="M907" s="49"/>
      <c r="N907" s="50"/>
      <c r="O907" s="51"/>
      <c r="P907" s="52"/>
      <c r="Q907" s="53"/>
      <c r="R907" s="77"/>
      <c r="S907" s="78"/>
      <c r="T907" s="56"/>
      <c r="U907" s="80"/>
      <c r="V907" s="56"/>
      <c r="W907" s="56"/>
      <c r="Y907" s="57"/>
      <c r="Z907" s="58"/>
      <c r="AA907" s="82"/>
      <c r="AB907" s="83"/>
      <c r="AC907" s="83"/>
      <c r="AD907" s="77"/>
      <c r="AE907" s="84"/>
      <c r="AF907" s="84"/>
      <c r="AG907" s="62"/>
      <c r="AH907" s="63"/>
    </row>
    <row r="908" spans="1:34" ht="16.5" thickTop="1" thickBot="1">
      <c r="A908" s="41"/>
      <c r="B908" s="42"/>
      <c r="C908" s="43"/>
      <c r="D908" s="44"/>
      <c r="E908" s="45"/>
      <c r="F908" s="46"/>
      <c r="G908" s="45"/>
      <c r="H908" s="45"/>
      <c r="I908" s="47"/>
      <c r="J908" s="48"/>
      <c r="K908" s="48"/>
      <c r="L908" s="49"/>
      <c r="M908" s="49"/>
      <c r="N908" s="50"/>
      <c r="O908" s="51"/>
      <c r="P908" s="52"/>
      <c r="Q908" s="53"/>
      <c r="R908" s="77"/>
      <c r="S908" s="78"/>
      <c r="T908" s="56"/>
      <c r="U908" s="80"/>
      <c r="V908" s="56"/>
      <c r="W908" s="56"/>
      <c r="Y908" s="57"/>
      <c r="Z908" s="58"/>
      <c r="AA908" s="82"/>
      <c r="AB908" s="83"/>
      <c r="AC908" s="83"/>
      <c r="AD908" s="77"/>
      <c r="AE908" s="84"/>
      <c r="AF908" s="84"/>
      <c r="AG908" s="62"/>
      <c r="AH908" s="63"/>
    </row>
    <row r="909" spans="1:34" ht="16.5" thickTop="1" thickBot="1">
      <c r="A909" s="41"/>
      <c r="B909" s="42"/>
      <c r="C909" s="43"/>
      <c r="D909" s="44"/>
      <c r="E909" s="45"/>
      <c r="F909" s="46"/>
      <c r="G909" s="45"/>
      <c r="H909" s="45"/>
      <c r="I909" s="47"/>
      <c r="J909" s="48"/>
      <c r="K909" s="48"/>
      <c r="L909" s="49"/>
      <c r="M909" s="49"/>
      <c r="N909" s="50"/>
      <c r="O909" s="51"/>
      <c r="P909" s="52"/>
      <c r="Q909" s="53"/>
      <c r="R909" s="77"/>
      <c r="S909" s="78"/>
      <c r="T909" s="56"/>
      <c r="U909" s="80"/>
      <c r="V909" s="56"/>
      <c r="W909" s="56"/>
      <c r="Y909" s="57"/>
      <c r="Z909" s="58"/>
      <c r="AA909" s="82"/>
      <c r="AB909" s="83"/>
      <c r="AC909" s="83"/>
      <c r="AD909" s="77"/>
      <c r="AE909" s="84"/>
      <c r="AF909" s="84"/>
      <c r="AG909" s="62"/>
      <c r="AH909" s="63"/>
    </row>
    <row r="910" spans="1:34" ht="16.5" thickTop="1" thickBot="1">
      <c r="A910" s="41"/>
      <c r="B910" s="42"/>
      <c r="C910" s="43"/>
      <c r="D910" s="44"/>
      <c r="E910" s="45"/>
      <c r="F910" s="46"/>
      <c r="G910" s="45"/>
      <c r="H910" s="45"/>
      <c r="I910" s="47"/>
      <c r="J910" s="48"/>
      <c r="K910" s="48"/>
      <c r="L910" s="49"/>
      <c r="M910" s="49"/>
      <c r="N910" s="50"/>
      <c r="O910" s="51"/>
      <c r="P910" s="52"/>
      <c r="Q910" s="53"/>
      <c r="R910" s="77"/>
      <c r="S910" s="78"/>
      <c r="T910" s="56"/>
      <c r="U910" s="80"/>
      <c r="V910" s="56"/>
      <c r="W910" s="56"/>
      <c r="Y910" s="57"/>
      <c r="Z910" s="58"/>
      <c r="AA910" s="82"/>
      <c r="AB910" s="83"/>
      <c r="AC910" s="83"/>
      <c r="AD910" s="77"/>
      <c r="AE910" s="84"/>
      <c r="AF910" s="84"/>
      <c r="AG910" s="62"/>
      <c r="AH910" s="63"/>
    </row>
    <row r="911" spans="1:34" ht="16.5" thickTop="1" thickBot="1">
      <c r="A911" s="41"/>
      <c r="B911" s="42"/>
      <c r="C911" s="43"/>
      <c r="D911" s="44"/>
      <c r="E911" s="45"/>
      <c r="F911" s="46"/>
      <c r="G911" s="45"/>
      <c r="H911" s="45"/>
      <c r="I911" s="47"/>
      <c r="J911" s="48"/>
      <c r="K911" s="48"/>
      <c r="L911" s="49"/>
      <c r="M911" s="49"/>
      <c r="N911" s="50"/>
      <c r="O911" s="51"/>
      <c r="P911" s="52"/>
      <c r="Q911" s="53"/>
      <c r="R911" s="77"/>
      <c r="S911" s="78"/>
      <c r="T911" s="56"/>
      <c r="U911" s="80"/>
      <c r="V911" s="56"/>
      <c r="W911" s="56"/>
      <c r="Y911" s="57"/>
      <c r="Z911" s="58"/>
      <c r="AA911" s="82"/>
      <c r="AB911" s="83"/>
      <c r="AC911" s="83"/>
      <c r="AD911" s="77"/>
      <c r="AE911" s="84"/>
      <c r="AF911" s="84"/>
      <c r="AG911" s="62"/>
      <c r="AH911" s="63"/>
    </row>
    <row r="912" spans="1:34" ht="16.5" thickTop="1" thickBot="1">
      <c r="A912" s="41"/>
      <c r="B912" s="42"/>
      <c r="C912" s="43"/>
      <c r="D912" s="44"/>
      <c r="E912" s="45"/>
      <c r="F912" s="46"/>
      <c r="G912" s="45"/>
      <c r="H912" s="45"/>
      <c r="I912" s="47"/>
      <c r="J912" s="48"/>
      <c r="K912" s="48"/>
      <c r="L912" s="49"/>
      <c r="M912" s="49"/>
      <c r="N912" s="50"/>
      <c r="O912" s="51"/>
      <c r="P912" s="52"/>
      <c r="Q912" s="53"/>
      <c r="R912" s="77"/>
      <c r="S912" s="78"/>
      <c r="T912" s="56"/>
      <c r="U912" s="80"/>
      <c r="V912" s="56"/>
      <c r="W912" s="56"/>
      <c r="Y912" s="57"/>
      <c r="Z912" s="58"/>
      <c r="AA912" s="82"/>
      <c r="AB912" s="83"/>
      <c r="AC912" s="83"/>
      <c r="AD912" s="77"/>
      <c r="AE912" s="84"/>
      <c r="AF912" s="84"/>
      <c r="AG912" s="62"/>
      <c r="AH912" s="63"/>
    </row>
    <row r="913" spans="1:34" ht="16.5" thickTop="1" thickBot="1">
      <c r="A913" s="41"/>
      <c r="B913" s="42"/>
      <c r="C913" s="43"/>
      <c r="D913" s="44"/>
      <c r="E913" s="45"/>
      <c r="F913" s="46"/>
      <c r="G913" s="45"/>
      <c r="H913" s="45"/>
      <c r="I913" s="47"/>
      <c r="J913" s="48"/>
      <c r="K913" s="48"/>
      <c r="L913" s="49"/>
      <c r="M913" s="49"/>
      <c r="N913" s="50"/>
      <c r="O913" s="51"/>
      <c r="P913" s="52"/>
      <c r="Q913" s="53"/>
      <c r="R913" s="77"/>
      <c r="S913" s="78"/>
      <c r="T913" s="56"/>
      <c r="U913" s="80"/>
      <c r="V913" s="56"/>
      <c r="W913" s="56"/>
      <c r="Y913" s="57"/>
      <c r="Z913" s="58"/>
      <c r="AA913" s="82"/>
      <c r="AB913" s="83"/>
      <c r="AC913" s="83"/>
      <c r="AD913" s="77"/>
      <c r="AE913" s="84"/>
      <c r="AF913" s="84"/>
      <c r="AG913" s="62"/>
      <c r="AH913" s="63"/>
    </row>
    <row r="914" spans="1:34" ht="16.5" thickTop="1" thickBot="1">
      <c r="A914" s="41"/>
      <c r="B914" s="42"/>
      <c r="C914" s="43"/>
      <c r="D914" s="44"/>
      <c r="E914" s="45"/>
      <c r="F914" s="46"/>
      <c r="G914" s="45"/>
      <c r="H914" s="45"/>
      <c r="I914" s="47"/>
      <c r="J914" s="48"/>
      <c r="K914" s="48"/>
      <c r="L914" s="49"/>
      <c r="M914" s="49"/>
      <c r="N914" s="50"/>
      <c r="O914" s="51"/>
      <c r="P914" s="52"/>
      <c r="Q914" s="53"/>
      <c r="R914" s="77"/>
      <c r="S914" s="78"/>
      <c r="T914" s="56"/>
      <c r="U914" s="80"/>
      <c r="V914" s="56"/>
      <c r="W914" s="56"/>
      <c r="Y914" s="57"/>
      <c r="Z914" s="58"/>
      <c r="AA914" s="82"/>
      <c r="AB914" s="83"/>
      <c r="AC914" s="83"/>
      <c r="AD914" s="77"/>
      <c r="AE914" s="84"/>
      <c r="AF914" s="84"/>
      <c r="AG914" s="62"/>
      <c r="AH914" s="63"/>
    </row>
    <row r="915" spans="1:34" ht="16.5" thickTop="1" thickBot="1">
      <c r="A915" s="41"/>
      <c r="B915" s="42"/>
      <c r="C915" s="43"/>
      <c r="D915" s="44"/>
      <c r="E915" s="45"/>
      <c r="F915" s="46"/>
      <c r="G915" s="45"/>
      <c r="H915" s="45"/>
      <c r="I915" s="47"/>
      <c r="J915" s="48"/>
      <c r="K915" s="48"/>
      <c r="L915" s="49"/>
      <c r="M915" s="49"/>
      <c r="N915" s="50"/>
      <c r="O915" s="51"/>
      <c r="P915" s="52"/>
      <c r="Q915" s="53"/>
      <c r="R915" s="77"/>
      <c r="S915" s="78"/>
      <c r="T915" s="56"/>
      <c r="U915" s="80"/>
      <c r="V915" s="56"/>
      <c r="W915" s="56"/>
      <c r="Y915" s="57"/>
      <c r="Z915" s="58"/>
      <c r="AA915" s="82"/>
      <c r="AB915" s="83"/>
      <c r="AC915" s="83"/>
      <c r="AD915" s="77"/>
      <c r="AE915" s="84"/>
      <c r="AF915" s="84"/>
      <c r="AG915" s="62"/>
      <c r="AH915" s="63"/>
    </row>
    <row r="916" spans="1:34" ht="16.5" thickTop="1" thickBot="1">
      <c r="A916" s="41"/>
      <c r="B916" s="42"/>
      <c r="C916" s="43"/>
      <c r="D916" s="44"/>
      <c r="E916" s="45"/>
      <c r="F916" s="46"/>
      <c r="G916" s="45"/>
      <c r="H916" s="45"/>
      <c r="I916" s="47"/>
      <c r="J916" s="48"/>
      <c r="K916" s="48"/>
      <c r="L916" s="49"/>
      <c r="M916" s="49"/>
      <c r="N916" s="50"/>
      <c r="O916" s="51"/>
      <c r="P916" s="52"/>
      <c r="Q916" s="53"/>
      <c r="R916" s="77"/>
      <c r="S916" s="78"/>
      <c r="T916" s="56"/>
      <c r="U916" s="80"/>
      <c r="V916" s="56"/>
      <c r="W916" s="56"/>
      <c r="Y916" s="57"/>
      <c r="Z916" s="58"/>
      <c r="AA916" s="82"/>
      <c r="AB916" s="83"/>
      <c r="AC916" s="83"/>
      <c r="AD916" s="77"/>
      <c r="AE916" s="84"/>
      <c r="AF916" s="84"/>
      <c r="AG916" s="62"/>
      <c r="AH916" s="63"/>
    </row>
    <row r="917" spans="1:34" ht="16.5" thickTop="1" thickBot="1">
      <c r="A917" s="41"/>
      <c r="B917" s="42"/>
      <c r="C917" s="43"/>
      <c r="D917" s="44"/>
      <c r="E917" s="45"/>
      <c r="F917" s="46"/>
      <c r="G917" s="45"/>
      <c r="H917" s="45"/>
      <c r="I917" s="47"/>
      <c r="J917" s="48"/>
      <c r="K917" s="48"/>
      <c r="L917" s="49"/>
      <c r="M917" s="49"/>
      <c r="N917" s="50"/>
      <c r="O917" s="51"/>
      <c r="P917" s="52"/>
      <c r="Q917" s="53"/>
      <c r="R917" s="77"/>
      <c r="S917" s="78"/>
      <c r="T917" s="56"/>
      <c r="U917" s="80"/>
      <c r="V917" s="56"/>
      <c r="W917" s="56"/>
      <c r="Y917" s="57"/>
      <c r="Z917" s="58"/>
      <c r="AA917" s="82"/>
      <c r="AB917" s="83"/>
      <c r="AC917" s="83"/>
      <c r="AD917" s="77"/>
      <c r="AE917" s="84"/>
      <c r="AF917" s="84"/>
      <c r="AG917" s="62"/>
      <c r="AH917" s="63"/>
    </row>
    <row r="918" spans="1:34" ht="16.5" thickTop="1" thickBot="1">
      <c r="A918" s="41"/>
      <c r="B918" s="42"/>
      <c r="C918" s="43"/>
      <c r="D918" s="44"/>
      <c r="E918" s="45"/>
      <c r="F918" s="46"/>
      <c r="G918" s="45"/>
      <c r="H918" s="45"/>
      <c r="I918" s="47"/>
      <c r="J918" s="48"/>
      <c r="K918" s="48"/>
      <c r="L918" s="49"/>
      <c r="M918" s="49"/>
      <c r="N918" s="50"/>
      <c r="O918" s="51"/>
      <c r="P918" s="52"/>
      <c r="Q918" s="53"/>
      <c r="R918" s="77"/>
      <c r="S918" s="78"/>
      <c r="T918" s="56"/>
      <c r="U918" s="80"/>
      <c r="V918" s="56"/>
      <c r="W918" s="56"/>
      <c r="Y918" s="57"/>
      <c r="Z918" s="58"/>
      <c r="AA918" s="82"/>
      <c r="AB918" s="83"/>
      <c r="AC918" s="83"/>
      <c r="AD918" s="77"/>
      <c r="AE918" s="84"/>
      <c r="AF918" s="84"/>
      <c r="AG918" s="62"/>
      <c r="AH918" s="63"/>
    </row>
    <row r="919" spans="1:34" ht="16.5" thickTop="1" thickBot="1">
      <c r="A919" s="41"/>
      <c r="B919" s="42"/>
      <c r="C919" s="43"/>
      <c r="D919" s="44"/>
      <c r="E919" s="45"/>
      <c r="F919" s="46"/>
      <c r="G919" s="45"/>
      <c r="H919" s="45"/>
      <c r="I919" s="47"/>
      <c r="J919" s="48"/>
      <c r="K919" s="48"/>
      <c r="L919" s="49"/>
      <c r="M919" s="49"/>
      <c r="N919" s="50"/>
      <c r="O919" s="51"/>
      <c r="P919" s="52"/>
      <c r="Q919" s="53"/>
      <c r="R919" s="77"/>
      <c r="S919" s="78"/>
      <c r="T919" s="56"/>
      <c r="U919" s="80"/>
      <c r="V919" s="56"/>
      <c r="W919" s="56"/>
      <c r="Y919" s="57"/>
      <c r="Z919" s="58"/>
      <c r="AA919" s="82"/>
      <c r="AB919" s="83"/>
      <c r="AC919" s="83"/>
      <c r="AD919" s="77"/>
      <c r="AE919" s="84"/>
      <c r="AF919" s="84"/>
      <c r="AG919" s="62"/>
      <c r="AH919" s="63"/>
    </row>
    <row r="920" spans="1:34" ht="16.5" thickTop="1" thickBot="1">
      <c r="A920" s="41"/>
      <c r="B920" s="42"/>
      <c r="C920" s="43"/>
      <c r="D920" s="44"/>
      <c r="E920" s="45"/>
      <c r="F920" s="46"/>
      <c r="G920" s="45"/>
      <c r="H920" s="45"/>
      <c r="I920" s="47"/>
      <c r="J920" s="48"/>
      <c r="K920" s="48"/>
      <c r="L920" s="49"/>
      <c r="M920" s="49"/>
      <c r="N920" s="50"/>
      <c r="O920" s="51"/>
      <c r="P920" s="52"/>
      <c r="Q920" s="53"/>
      <c r="R920" s="77"/>
      <c r="S920" s="78"/>
      <c r="T920" s="56"/>
      <c r="U920" s="80"/>
      <c r="V920" s="56"/>
      <c r="W920" s="56"/>
      <c r="Y920" s="57"/>
      <c r="Z920" s="58"/>
      <c r="AA920" s="82"/>
      <c r="AB920" s="83"/>
      <c r="AC920" s="83"/>
      <c r="AD920" s="77"/>
      <c r="AE920" s="84"/>
      <c r="AF920" s="84"/>
      <c r="AG920" s="62"/>
      <c r="AH920" s="63"/>
    </row>
    <row r="921" spans="1:34" ht="16.5" thickTop="1" thickBot="1">
      <c r="A921" s="41"/>
      <c r="B921" s="42"/>
      <c r="C921" s="43"/>
      <c r="D921" s="44"/>
      <c r="E921" s="45"/>
      <c r="F921" s="46"/>
      <c r="G921" s="45"/>
      <c r="H921" s="45"/>
      <c r="I921" s="47"/>
      <c r="J921" s="48"/>
      <c r="K921" s="48"/>
      <c r="L921" s="49"/>
      <c r="M921" s="49"/>
      <c r="N921" s="50"/>
      <c r="O921" s="51"/>
      <c r="P921" s="52"/>
      <c r="Q921" s="53"/>
      <c r="R921" s="77"/>
      <c r="S921" s="78"/>
      <c r="T921" s="56"/>
      <c r="U921" s="80"/>
      <c r="V921" s="56"/>
      <c r="W921" s="56"/>
      <c r="Y921" s="57"/>
      <c r="Z921" s="58"/>
      <c r="AA921" s="82"/>
      <c r="AB921" s="83"/>
      <c r="AC921" s="83"/>
      <c r="AD921" s="77"/>
      <c r="AE921" s="84"/>
      <c r="AF921" s="84"/>
      <c r="AG921" s="62"/>
      <c r="AH921" s="63"/>
    </row>
    <row r="922" spans="1:34" ht="16.5" thickTop="1" thickBot="1">
      <c r="A922" s="41"/>
      <c r="B922" s="42"/>
      <c r="C922" s="43"/>
      <c r="D922" s="44"/>
      <c r="E922" s="45"/>
      <c r="F922" s="46"/>
      <c r="G922" s="45"/>
      <c r="H922" s="45"/>
      <c r="I922" s="47"/>
      <c r="J922" s="48"/>
      <c r="K922" s="48"/>
      <c r="L922" s="49"/>
      <c r="M922" s="49"/>
      <c r="N922" s="50"/>
      <c r="O922" s="51"/>
      <c r="P922" s="52"/>
      <c r="Q922" s="53"/>
      <c r="R922" s="77"/>
      <c r="S922" s="78"/>
      <c r="T922" s="56"/>
      <c r="U922" s="80"/>
      <c r="V922" s="56"/>
      <c r="W922" s="56"/>
      <c r="Y922" s="57"/>
      <c r="Z922" s="58"/>
      <c r="AA922" s="82"/>
      <c r="AB922" s="83"/>
      <c r="AC922" s="83"/>
      <c r="AD922" s="77"/>
      <c r="AE922" s="84"/>
      <c r="AF922" s="84"/>
      <c r="AG922" s="62"/>
      <c r="AH922" s="63"/>
    </row>
    <row r="923" spans="1:34" ht="16.5" thickTop="1" thickBot="1">
      <c r="A923" s="41"/>
      <c r="B923" s="42"/>
      <c r="C923" s="43"/>
      <c r="D923" s="44"/>
      <c r="E923" s="45"/>
      <c r="F923" s="46"/>
      <c r="G923" s="45"/>
      <c r="H923" s="45"/>
      <c r="I923" s="47"/>
      <c r="J923" s="48"/>
      <c r="K923" s="48"/>
      <c r="L923" s="49"/>
      <c r="M923" s="49"/>
      <c r="N923" s="50"/>
      <c r="O923" s="51"/>
      <c r="P923" s="52"/>
      <c r="Q923" s="53"/>
      <c r="R923" s="77"/>
      <c r="S923" s="78"/>
      <c r="T923" s="56"/>
      <c r="U923" s="80"/>
      <c r="V923" s="56"/>
      <c r="W923" s="56"/>
      <c r="Y923" s="57"/>
      <c r="Z923" s="58"/>
      <c r="AA923" s="82"/>
      <c r="AB923" s="83"/>
      <c r="AC923" s="83"/>
      <c r="AD923" s="77"/>
      <c r="AE923" s="84"/>
      <c r="AF923" s="84"/>
      <c r="AG923" s="62"/>
      <c r="AH923" s="63"/>
    </row>
    <row r="924" spans="1:34" ht="16.5" thickTop="1" thickBot="1">
      <c r="A924" s="41"/>
      <c r="B924" s="42"/>
      <c r="C924" s="43"/>
      <c r="D924" s="44"/>
      <c r="E924" s="45"/>
      <c r="F924" s="46"/>
      <c r="G924" s="45"/>
      <c r="H924" s="45"/>
      <c r="I924" s="47"/>
      <c r="J924" s="48"/>
      <c r="K924" s="48"/>
      <c r="L924" s="49"/>
      <c r="M924" s="49"/>
      <c r="N924" s="50"/>
      <c r="O924" s="51"/>
      <c r="P924" s="52"/>
      <c r="Q924" s="53"/>
      <c r="R924" s="54"/>
      <c r="S924" s="55"/>
      <c r="T924" s="56"/>
      <c r="U924" s="57"/>
      <c r="V924" s="56"/>
      <c r="W924" s="56"/>
      <c r="Y924" s="57"/>
      <c r="Z924" s="58"/>
      <c r="AA924" s="59"/>
      <c r="AB924" s="60"/>
      <c r="AC924" s="60"/>
      <c r="AD924" s="54"/>
      <c r="AE924" s="61"/>
      <c r="AF924" s="61"/>
      <c r="AG924" s="62"/>
      <c r="AH924" s="63"/>
    </row>
    <row r="925" spans="1:34" ht="16.5" thickTop="1" thickBot="1">
      <c r="A925" s="41"/>
      <c r="B925" s="42"/>
      <c r="C925" s="43"/>
      <c r="D925" s="44"/>
      <c r="E925" s="45"/>
      <c r="F925" s="46"/>
      <c r="G925" s="45"/>
      <c r="H925" s="45"/>
      <c r="I925" s="47"/>
      <c r="J925" s="48"/>
      <c r="K925" s="48"/>
      <c r="L925" s="49"/>
      <c r="M925" s="49"/>
      <c r="N925" s="50"/>
      <c r="O925" s="51"/>
      <c r="P925" s="52"/>
      <c r="Q925" s="53"/>
      <c r="R925" s="77"/>
      <c r="S925" s="78"/>
      <c r="T925" s="56"/>
      <c r="U925" s="80"/>
      <c r="V925" s="56"/>
      <c r="W925" s="56"/>
      <c r="Y925" s="57"/>
      <c r="Z925" s="58"/>
      <c r="AA925" s="82"/>
      <c r="AB925" s="83"/>
      <c r="AC925" s="83"/>
      <c r="AD925" s="77"/>
      <c r="AE925" s="84"/>
      <c r="AF925" s="84"/>
      <c r="AG925" s="62"/>
      <c r="AH925" s="63"/>
    </row>
    <row r="926" spans="1:34" ht="16.5" thickTop="1" thickBot="1">
      <c r="A926" s="41"/>
      <c r="B926" s="42"/>
      <c r="C926" s="43"/>
      <c r="D926" s="44"/>
      <c r="E926" s="45"/>
      <c r="F926" s="46"/>
      <c r="G926" s="45"/>
      <c r="H926" s="45"/>
      <c r="I926" s="47"/>
      <c r="J926" s="48"/>
      <c r="K926" s="48"/>
      <c r="L926" s="49"/>
      <c r="M926" s="49"/>
      <c r="N926" s="50"/>
      <c r="O926" s="51"/>
      <c r="P926" s="52"/>
      <c r="Q926" s="53"/>
      <c r="R926" s="77"/>
      <c r="S926" s="78"/>
      <c r="T926" s="56"/>
      <c r="U926" s="80"/>
      <c r="V926" s="56"/>
      <c r="W926" s="56"/>
      <c r="Y926" s="57"/>
      <c r="Z926" s="58"/>
      <c r="AA926" s="82"/>
      <c r="AB926" s="83"/>
      <c r="AC926" s="83"/>
      <c r="AD926" s="77"/>
      <c r="AE926" s="84"/>
      <c r="AF926" s="84"/>
      <c r="AG926" s="62"/>
      <c r="AH926" s="63"/>
    </row>
    <row r="927" spans="1:34" ht="16.5" thickTop="1" thickBot="1">
      <c r="A927" s="41"/>
      <c r="B927" s="42"/>
      <c r="C927" s="43"/>
      <c r="D927" s="44"/>
      <c r="E927" s="45"/>
      <c r="F927" s="46"/>
      <c r="G927" s="45"/>
      <c r="H927" s="45"/>
      <c r="I927" s="47"/>
      <c r="J927" s="48"/>
      <c r="K927" s="48"/>
      <c r="L927" s="49"/>
      <c r="M927" s="49"/>
      <c r="N927" s="50"/>
      <c r="O927" s="51"/>
      <c r="P927" s="52"/>
      <c r="Q927" s="53"/>
      <c r="R927" s="77"/>
      <c r="S927" s="78"/>
      <c r="T927" s="56"/>
      <c r="U927" s="80"/>
      <c r="V927" s="56"/>
      <c r="W927" s="56"/>
      <c r="Y927" s="57"/>
      <c r="Z927" s="58"/>
      <c r="AA927" s="82"/>
      <c r="AB927" s="83"/>
      <c r="AC927" s="83"/>
      <c r="AD927" s="77"/>
      <c r="AE927" s="84"/>
      <c r="AF927" s="84"/>
      <c r="AG927" s="62"/>
      <c r="AH927" s="63"/>
    </row>
    <row r="928" spans="1:34" ht="16.5" thickTop="1" thickBot="1">
      <c r="A928" s="41"/>
      <c r="B928" s="42"/>
      <c r="C928" s="43"/>
      <c r="D928" s="44"/>
      <c r="E928" s="45"/>
      <c r="F928" s="46"/>
      <c r="G928" s="45"/>
      <c r="H928" s="45"/>
      <c r="I928" s="47"/>
      <c r="J928" s="48"/>
      <c r="K928" s="48"/>
      <c r="L928" s="49"/>
      <c r="M928" s="49"/>
      <c r="N928" s="50"/>
      <c r="O928" s="51"/>
      <c r="P928" s="52"/>
      <c r="Q928" s="53"/>
      <c r="R928" s="54"/>
      <c r="S928" s="55"/>
      <c r="T928" s="56"/>
      <c r="U928" s="57"/>
      <c r="V928" s="56"/>
      <c r="W928" s="56"/>
      <c r="Y928" s="57"/>
      <c r="Z928" s="58"/>
      <c r="AA928" s="59"/>
      <c r="AB928" s="60"/>
      <c r="AC928" s="60"/>
      <c r="AD928" s="54"/>
      <c r="AE928" s="61"/>
      <c r="AF928" s="61"/>
      <c r="AG928" s="62"/>
      <c r="AH928" s="63"/>
    </row>
    <row r="929" spans="1:34" ht="16.5" thickTop="1" thickBot="1">
      <c r="A929" s="41"/>
      <c r="B929" s="42"/>
      <c r="C929" s="43"/>
      <c r="D929" s="44"/>
      <c r="E929" s="45"/>
      <c r="F929" s="46"/>
      <c r="G929" s="45"/>
      <c r="H929" s="45"/>
      <c r="I929" s="47"/>
      <c r="J929" s="48"/>
      <c r="K929" s="48"/>
      <c r="L929" s="49"/>
      <c r="M929" s="49"/>
      <c r="N929" s="50"/>
      <c r="O929" s="51"/>
      <c r="P929" s="52"/>
      <c r="Q929" s="53"/>
      <c r="R929" s="54"/>
      <c r="S929" s="55"/>
      <c r="T929" s="56"/>
      <c r="U929" s="57"/>
      <c r="V929" s="56"/>
      <c r="W929" s="56"/>
      <c r="Y929" s="57"/>
      <c r="Z929" s="58"/>
      <c r="AA929" s="59"/>
      <c r="AB929" s="60"/>
      <c r="AC929" s="60"/>
      <c r="AD929" s="54"/>
      <c r="AE929" s="61"/>
      <c r="AF929" s="61"/>
      <c r="AG929" s="62"/>
      <c r="AH929" s="63"/>
    </row>
    <row r="930" spans="1:34" ht="16.5" thickTop="1" thickBot="1">
      <c r="A930" s="41"/>
      <c r="B930" s="42"/>
      <c r="C930" s="43"/>
      <c r="D930" s="44"/>
      <c r="E930" s="45"/>
      <c r="F930" s="46"/>
      <c r="G930" s="45"/>
      <c r="H930" s="45"/>
      <c r="I930" s="47"/>
      <c r="J930" s="48"/>
      <c r="K930" s="48"/>
      <c r="L930" s="49"/>
      <c r="M930" s="49"/>
      <c r="N930" s="50"/>
      <c r="O930" s="51"/>
      <c r="P930" s="52"/>
      <c r="Q930" s="53"/>
      <c r="R930" s="54"/>
      <c r="S930" s="55"/>
      <c r="T930" s="56"/>
      <c r="U930" s="57"/>
      <c r="V930" s="56"/>
      <c r="W930" s="56"/>
      <c r="X930" s="57"/>
      <c r="Y930" s="57"/>
      <c r="Z930" s="58"/>
      <c r="AA930" s="59"/>
      <c r="AB930" s="60"/>
      <c r="AC930" s="60"/>
      <c r="AD930" s="54"/>
      <c r="AE930" s="61"/>
      <c r="AF930" s="61"/>
      <c r="AG930" s="62"/>
      <c r="AH930" s="63"/>
    </row>
    <row r="931" spans="1:34" ht="16.5" thickTop="1" thickBot="1">
      <c r="A931" s="41"/>
      <c r="B931" s="42"/>
      <c r="C931" s="43"/>
      <c r="D931" s="44"/>
      <c r="E931" s="45"/>
      <c r="F931" s="46"/>
      <c r="G931" s="45"/>
      <c r="H931" s="45"/>
      <c r="I931" s="47"/>
      <c r="J931" s="48"/>
      <c r="K931" s="48"/>
      <c r="L931" s="49"/>
      <c r="M931" s="49"/>
      <c r="N931" s="50"/>
      <c r="O931" s="51"/>
      <c r="P931" s="52"/>
      <c r="Q931" s="53"/>
      <c r="R931" s="54"/>
      <c r="S931" s="55"/>
      <c r="T931" s="56"/>
      <c r="U931" s="57"/>
      <c r="V931" s="56"/>
      <c r="W931" s="56"/>
      <c r="X931" s="57"/>
      <c r="Y931" s="57"/>
      <c r="Z931" s="58"/>
      <c r="AA931" s="59"/>
      <c r="AB931" s="60"/>
      <c r="AC931" s="60"/>
      <c r="AD931" s="54"/>
      <c r="AE931" s="61"/>
      <c r="AF931" s="61"/>
      <c r="AG931" s="62"/>
      <c r="AH931" s="63"/>
    </row>
    <row r="932" spans="1:34" ht="16.5" thickTop="1" thickBot="1">
      <c r="A932" s="41"/>
      <c r="B932" s="42"/>
      <c r="C932" s="43"/>
      <c r="D932" s="44"/>
      <c r="E932" s="45"/>
      <c r="F932" s="46"/>
      <c r="G932" s="45"/>
      <c r="H932" s="45"/>
      <c r="I932" s="47"/>
      <c r="J932" s="48"/>
      <c r="K932" s="48"/>
      <c r="L932" s="49"/>
      <c r="M932" s="49"/>
      <c r="N932" s="50"/>
      <c r="O932" s="51"/>
      <c r="P932" s="52"/>
      <c r="Q932" s="53"/>
      <c r="R932" s="77"/>
      <c r="S932" s="78"/>
      <c r="T932" s="56"/>
      <c r="U932" s="80"/>
      <c r="V932" s="56"/>
      <c r="W932" s="56"/>
      <c r="X932" s="80"/>
      <c r="Y932" s="57"/>
      <c r="Z932" s="58"/>
      <c r="AA932" s="82"/>
      <c r="AB932" s="83"/>
      <c r="AC932" s="83"/>
      <c r="AD932" s="77"/>
      <c r="AE932" s="84"/>
      <c r="AF932" s="84"/>
      <c r="AG932" s="62"/>
      <c r="AH932" s="63"/>
    </row>
    <row r="933" spans="1:34" ht="16.5" thickTop="1" thickBot="1">
      <c r="A933" s="41"/>
      <c r="B933" s="42"/>
      <c r="C933" s="43"/>
      <c r="D933" s="44"/>
      <c r="E933" s="45"/>
      <c r="F933" s="46"/>
      <c r="G933" s="45"/>
      <c r="H933" s="45"/>
      <c r="I933" s="47"/>
      <c r="J933" s="48"/>
      <c r="K933" s="48"/>
      <c r="L933" s="49"/>
      <c r="M933" s="49"/>
      <c r="N933" s="50"/>
      <c r="O933" s="51"/>
      <c r="P933" s="52"/>
      <c r="Q933" s="53"/>
      <c r="R933" s="77"/>
      <c r="S933" s="78"/>
      <c r="T933" s="56"/>
      <c r="U933" s="80"/>
      <c r="V933" s="56"/>
      <c r="W933" s="56"/>
      <c r="X933" s="80"/>
      <c r="Y933" s="57"/>
      <c r="Z933" s="58"/>
      <c r="AA933" s="82"/>
      <c r="AB933" s="83"/>
      <c r="AC933" s="83"/>
      <c r="AD933" s="77"/>
      <c r="AE933" s="84"/>
      <c r="AF933" s="84"/>
      <c r="AG933" s="62"/>
      <c r="AH933" s="63"/>
    </row>
    <row r="934" spans="1:34" ht="16.5" thickTop="1" thickBot="1">
      <c r="A934" s="41"/>
      <c r="B934" s="42"/>
      <c r="C934" s="43"/>
      <c r="D934" s="44"/>
      <c r="E934" s="45"/>
      <c r="F934" s="46"/>
      <c r="G934" s="45"/>
      <c r="H934" s="45"/>
      <c r="I934" s="47"/>
      <c r="J934" s="48"/>
      <c r="K934" s="48"/>
      <c r="L934" s="49"/>
      <c r="M934" s="49"/>
      <c r="N934" s="50"/>
      <c r="O934" s="51"/>
      <c r="P934" s="52"/>
      <c r="Q934" s="53"/>
      <c r="R934" s="77"/>
      <c r="S934" s="78"/>
      <c r="T934" s="56"/>
      <c r="U934" s="80"/>
      <c r="V934" s="56"/>
      <c r="W934" s="56"/>
      <c r="X934" s="80"/>
      <c r="Y934" s="57"/>
      <c r="Z934" s="58"/>
      <c r="AA934" s="82"/>
      <c r="AB934" s="83"/>
      <c r="AC934" s="83"/>
      <c r="AD934" s="77"/>
      <c r="AE934" s="84"/>
      <c r="AF934" s="84"/>
      <c r="AG934" s="62"/>
      <c r="AH934" s="63"/>
    </row>
    <row r="935" spans="1:34" ht="16.5" thickTop="1" thickBot="1">
      <c r="A935" s="41"/>
      <c r="B935" s="42"/>
      <c r="C935" s="43"/>
      <c r="D935" s="44"/>
      <c r="E935" s="45"/>
      <c r="F935" s="46"/>
      <c r="G935" s="45"/>
      <c r="H935" s="45"/>
      <c r="I935" s="47"/>
      <c r="J935" s="48"/>
      <c r="K935" s="48"/>
      <c r="L935" s="49"/>
      <c r="M935" s="49"/>
      <c r="N935" s="50"/>
      <c r="O935" s="51"/>
      <c r="P935" s="52"/>
      <c r="Q935" s="53"/>
      <c r="R935" s="77"/>
      <c r="S935" s="78"/>
      <c r="T935" s="56"/>
      <c r="U935" s="80"/>
      <c r="V935" s="56"/>
      <c r="W935" s="56"/>
      <c r="X935" s="80"/>
      <c r="Y935" s="57"/>
      <c r="Z935" s="58"/>
      <c r="AA935" s="82"/>
      <c r="AB935" s="83"/>
      <c r="AC935" s="83"/>
      <c r="AD935" s="77"/>
      <c r="AE935" s="84"/>
      <c r="AF935" s="84"/>
      <c r="AG935" s="62"/>
      <c r="AH935" s="63"/>
    </row>
    <row r="936" spans="1:34" ht="16.5" thickTop="1" thickBot="1">
      <c r="A936" s="41"/>
      <c r="B936" s="42"/>
      <c r="C936" s="43"/>
      <c r="D936" s="44"/>
      <c r="E936" s="45"/>
      <c r="F936" s="46"/>
      <c r="G936" s="45"/>
      <c r="H936" s="45"/>
      <c r="I936" s="47"/>
      <c r="J936" s="48"/>
      <c r="K936" s="48"/>
      <c r="L936" s="49"/>
      <c r="M936" s="49"/>
      <c r="N936" s="50"/>
      <c r="O936" s="51"/>
      <c r="P936" s="52"/>
      <c r="Q936" s="53"/>
      <c r="R936" s="77"/>
      <c r="S936" s="78"/>
      <c r="T936" s="56"/>
      <c r="U936" s="80"/>
      <c r="V936" s="56"/>
      <c r="W936" s="56"/>
      <c r="X936" s="80"/>
      <c r="Y936" s="57"/>
      <c r="Z936" s="58"/>
      <c r="AA936" s="82"/>
      <c r="AB936" s="83"/>
      <c r="AC936" s="83"/>
      <c r="AD936" s="77"/>
      <c r="AE936" s="84"/>
      <c r="AF936" s="84"/>
      <c r="AG936" s="62"/>
      <c r="AH936" s="63"/>
    </row>
    <row r="937" spans="1:34" ht="16.5" thickTop="1" thickBot="1">
      <c r="A937" s="41"/>
      <c r="B937" s="42"/>
      <c r="C937" s="43"/>
      <c r="D937" s="44"/>
      <c r="E937" s="45"/>
      <c r="F937" s="46"/>
      <c r="G937" s="45"/>
      <c r="H937" s="45"/>
      <c r="I937" s="47"/>
      <c r="J937" s="48"/>
      <c r="K937" s="48"/>
      <c r="L937" s="49"/>
      <c r="M937" s="49"/>
      <c r="N937" s="50"/>
      <c r="O937" s="51"/>
      <c r="P937" s="52"/>
      <c r="Q937" s="53"/>
      <c r="R937" s="77"/>
      <c r="S937" s="78"/>
      <c r="T937" s="56"/>
      <c r="U937" s="80"/>
      <c r="V937" s="56"/>
      <c r="W937" s="56"/>
      <c r="X937" s="80"/>
      <c r="Y937" s="57"/>
      <c r="Z937" s="58"/>
      <c r="AA937" s="82"/>
      <c r="AB937" s="83"/>
      <c r="AC937" s="83"/>
      <c r="AD937" s="77"/>
      <c r="AE937" s="84"/>
      <c r="AF937" s="84"/>
      <c r="AG937" s="62"/>
      <c r="AH937" s="63"/>
    </row>
    <row r="938" spans="1:34" ht="16.5" thickTop="1" thickBot="1">
      <c r="A938" s="41"/>
      <c r="B938" s="42"/>
      <c r="C938" s="43"/>
      <c r="D938" s="44"/>
      <c r="E938" s="45"/>
      <c r="F938" s="46"/>
      <c r="G938" s="45"/>
      <c r="H938" s="45"/>
      <c r="I938" s="47"/>
      <c r="J938" s="48"/>
      <c r="K938" s="48"/>
      <c r="L938" s="49"/>
      <c r="M938" s="49"/>
      <c r="N938" s="50"/>
      <c r="O938" s="51"/>
      <c r="P938" s="52"/>
      <c r="Q938" s="53"/>
      <c r="R938" s="77"/>
      <c r="S938" s="78"/>
      <c r="T938" s="56"/>
      <c r="U938" s="80"/>
      <c r="V938" s="56"/>
      <c r="W938" s="56"/>
      <c r="X938" s="80"/>
      <c r="Y938" s="57"/>
      <c r="Z938" s="58"/>
      <c r="AA938" s="82"/>
      <c r="AB938" s="83"/>
      <c r="AC938" s="83"/>
      <c r="AD938" s="77"/>
      <c r="AE938" s="84"/>
      <c r="AF938" s="84"/>
      <c r="AG938" s="62"/>
      <c r="AH938" s="63"/>
    </row>
    <row r="939" spans="1:34" ht="16.5" thickTop="1" thickBot="1">
      <c r="A939" s="41"/>
      <c r="B939" s="42"/>
      <c r="C939" s="43"/>
      <c r="D939" s="44"/>
      <c r="E939" s="45"/>
      <c r="F939" s="46"/>
      <c r="G939" s="45"/>
      <c r="H939" s="45"/>
      <c r="I939" s="47"/>
      <c r="J939" s="48"/>
      <c r="K939" s="48"/>
      <c r="L939" s="49"/>
      <c r="M939" s="49"/>
      <c r="N939" s="50"/>
      <c r="O939" s="51"/>
      <c r="P939" s="52"/>
      <c r="Q939" s="53"/>
      <c r="R939" s="77"/>
      <c r="S939" s="78"/>
      <c r="T939" s="56"/>
      <c r="U939" s="80"/>
      <c r="V939" s="56"/>
      <c r="W939" s="56"/>
      <c r="X939" s="80"/>
      <c r="Y939" s="57"/>
      <c r="Z939" s="58"/>
      <c r="AA939" s="82"/>
      <c r="AB939" s="83"/>
      <c r="AC939" s="83"/>
      <c r="AD939" s="77"/>
      <c r="AE939" s="84"/>
      <c r="AF939" s="84"/>
      <c r="AG939" s="62"/>
      <c r="AH939" s="63"/>
    </row>
    <row r="940" spans="1:34" ht="16.5" thickTop="1" thickBot="1">
      <c r="A940" s="41"/>
      <c r="B940" s="42"/>
      <c r="C940" s="43"/>
      <c r="D940" s="44"/>
      <c r="E940" s="45"/>
      <c r="F940" s="46"/>
      <c r="G940" s="45"/>
      <c r="H940" s="45"/>
      <c r="I940" s="47"/>
      <c r="J940" s="48"/>
      <c r="K940" s="48"/>
      <c r="L940" s="49"/>
      <c r="M940" s="49"/>
      <c r="N940" s="50"/>
      <c r="O940" s="51"/>
      <c r="P940" s="52"/>
      <c r="Q940" s="53"/>
      <c r="R940" s="77"/>
      <c r="S940" s="78"/>
      <c r="T940" s="56"/>
      <c r="U940" s="80"/>
      <c r="V940" s="56"/>
      <c r="W940" s="56"/>
      <c r="X940" s="80"/>
      <c r="Y940" s="57"/>
      <c r="Z940" s="58"/>
      <c r="AA940" s="82"/>
      <c r="AB940" s="83"/>
      <c r="AC940" s="83"/>
      <c r="AD940" s="77"/>
      <c r="AE940" s="84"/>
      <c r="AF940" s="84"/>
      <c r="AG940" s="62"/>
      <c r="AH940" s="63"/>
    </row>
    <row r="941" spans="1:34" ht="16.5" thickTop="1" thickBot="1">
      <c r="A941" s="41"/>
      <c r="B941" s="42"/>
      <c r="C941" s="43"/>
      <c r="D941" s="44"/>
      <c r="E941" s="45"/>
      <c r="F941" s="46"/>
      <c r="G941" s="45"/>
      <c r="H941" s="45"/>
      <c r="I941" s="47"/>
      <c r="J941" s="48"/>
      <c r="K941" s="48"/>
      <c r="L941" s="49"/>
      <c r="M941" s="49"/>
      <c r="N941" s="50"/>
      <c r="O941" s="51"/>
      <c r="P941" s="52"/>
      <c r="Q941" s="53"/>
      <c r="R941" s="77"/>
      <c r="S941" s="78"/>
      <c r="T941" s="56"/>
      <c r="U941" s="80"/>
      <c r="V941" s="56"/>
      <c r="W941" s="56"/>
      <c r="X941" s="80"/>
      <c r="Y941" s="57"/>
      <c r="Z941" s="58"/>
      <c r="AA941" s="82"/>
      <c r="AB941" s="83"/>
      <c r="AC941" s="83"/>
      <c r="AD941" s="77"/>
      <c r="AE941" s="84"/>
      <c r="AF941" s="84"/>
      <c r="AG941" s="62"/>
      <c r="AH941" s="63"/>
    </row>
    <row r="942" spans="1:34" ht="16.5" thickTop="1" thickBot="1">
      <c r="A942" s="41"/>
      <c r="B942" s="42"/>
      <c r="C942" s="43"/>
      <c r="D942" s="44"/>
      <c r="E942" s="45"/>
      <c r="F942" s="46"/>
      <c r="G942" s="45"/>
      <c r="H942" s="45"/>
      <c r="I942" s="47"/>
      <c r="J942" s="48"/>
      <c r="K942" s="48"/>
      <c r="L942" s="49"/>
      <c r="M942" s="49"/>
      <c r="N942" s="50"/>
      <c r="O942" s="51"/>
      <c r="P942" s="52"/>
      <c r="Q942" s="53"/>
      <c r="R942" s="77"/>
      <c r="S942" s="78"/>
      <c r="T942" s="56"/>
      <c r="U942" s="80"/>
      <c r="V942" s="56"/>
      <c r="W942" s="56"/>
      <c r="X942" s="80"/>
      <c r="Y942" s="57"/>
      <c r="Z942" s="58"/>
      <c r="AA942" s="82"/>
      <c r="AB942" s="83"/>
      <c r="AC942" s="83"/>
      <c r="AD942" s="77"/>
      <c r="AE942" s="84"/>
      <c r="AF942" s="84"/>
      <c r="AG942" s="62"/>
      <c r="AH942" s="63"/>
    </row>
    <row r="943" spans="1:34" ht="16.5" thickTop="1" thickBot="1">
      <c r="A943" s="41"/>
      <c r="B943" s="42"/>
      <c r="C943" s="43"/>
      <c r="D943" s="44"/>
      <c r="E943" s="45"/>
      <c r="F943" s="46"/>
      <c r="G943" s="45"/>
      <c r="H943" s="45"/>
      <c r="I943" s="47"/>
      <c r="J943" s="48"/>
      <c r="K943" s="48"/>
      <c r="L943" s="49"/>
      <c r="M943" s="49"/>
      <c r="N943" s="50"/>
      <c r="O943" s="51"/>
      <c r="P943" s="52"/>
      <c r="Q943" s="53"/>
      <c r="R943" s="77"/>
      <c r="S943" s="78"/>
      <c r="T943" s="56"/>
      <c r="U943" s="80"/>
      <c r="V943" s="56"/>
      <c r="W943" s="56"/>
      <c r="X943" s="80"/>
      <c r="Y943" s="57"/>
      <c r="Z943" s="58"/>
      <c r="AA943" s="82"/>
      <c r="AB943" s="83"/>
      <c r="AC943" s="83"/>
      <c r="AD943" s="77"/>
      <c r="AE943" s="84"/>
      <c r="AF943" s="84"/>
      <c r="AG943" s="62"/>
      <c r="AH943" s="63"/>
    </row>
    <row r="944" spans="1:34" ht="16.5" thickTop="1" thickBot="1">
      <c r="A944" s="41"/>
      <c r="B944" s="42"/>
      <c r="C944" s="43"/>
      <c r="D944" s="44"/>
      <c r="E944" s="45"/>
      <c r="F944" s="46"/>
      <c r="G944" s="45"/>
      <c r="H944" s="45"/>
      <c r="I944" s="47"/>
      <c r="J944" s="48"/>
      <c r="K944" s="48"/>
      <c r="L944" s="49"/>
      <c r="M944" s="49"/>
      <c r="N944" s="50"/>
      <c r="O944" s="51"/>
      <c r="P944" s="52"/>
      <c r="Q944" s="53"/>
      <c r="R944" s="77"/>
      <c r="S944" s="78"/>
      <c r="T944" s="56"/>
      <c r="U944" s="80"/>
      <c r="V944" s="56"/>
      <c r="W944" s="56"/>
      <c r="X944" s="80"/>
      <c r="Y944" s="57"/>
      <c r="Z944" s="58"/>
      <c r="AA944" s="82"/>
      <c r="AB944" s="83"/>
      <c r="AC944" s="83"/>
      <c r="AD944" s="77"/>
      <c r="AE944" s="84"/>
      <c r="AF944" s="84"/>
      <c r="AG944" s="62"/>
      <c r="AH944" s="63"/>
    </row>
    <row r="945" spans="1:34" ht="16.5" thickTop="1" thickBot="1">
      <c r="A945" s="41"/>
      <c r="B945" s="42"/>
      <c r="C945" s="43"/>
      <c r="D945" s="44"/>
      <c r="E945" s="45"/>
      <c r="F945" s="46"/>
      <c r="G945" s="45"/>
      <c r="H945" s="45"/>
      <c r="I945" s="47"/>
      <c r="J945" s="48"/>
      <c r="K945" s="48"/>
      <c r="L945" s="49"/>
      <c r="M945" s="49"/>
      <c r="N945" s="50"/>
      <c r="O945" s="51"/>
      <c r="P945" s="52"/>
      <c r="Q945" s="53"/>
      <c r="R945" s="77"/>
      <c r="S945" s="78"/>
      <c r="T945" s="56"/>
      <c r="U945" s="80"/>
      <c r="V945" s="56"/>
      <c r="W945" s="56"/>
      <c r="X945" s="80"/>
      <c r="Y945" s="57"/>
      <c r="Z945" s="58"/>
      <c r="AA945" s="82"/>
      <c r="AB945" s="83"/>
      <c r="AC945" s="83"/>
      <c r="AD945" s="77"/>
      <c r="AE945" s="84"/>
      <c r="AF945" s="84"/>
      <c r="AG945" s="62"/>
      <c r="AH945" s="63"/>
    </row>
    <row r="946" spans="1:34" ht="16.5" thickTop="1" thickBot="1">
      <c r="A946" s="41"/>
      <c r="B946" s="42"/>
      <c r="C946" s="43"/>
      <c r="D946" s="44"/>
      <c r="E946" s="45"/>
      <c r="F946" s="46"/>
      <c r="G946" s="45"/>
      <c r="H946" s="45"/>
      <c r="I946" s="47"/>
      <c r="J946" s="48"/>
      <c r="K946" s="48"/>
      <c r="L946" s="49"/>
      <c r="M946" s="49"/>
      <c r="N946" s="50"/>
      <c r="O946" s="51"/>
      <c r="P946" s="52"/>
      <c r="Q946" s="53"/>
      <c r="R946" s="77"/>
      <c r="S946" s="78"/>
      <c r="T946" s="56"/>
      <c r="U946" s="80"/>
      <c r="V946" s="56"/>
      <c r="W946" s="56"/>
      <c r="X946" s="80"/>
      <c r="Y946" s="57"/>
      <c r="Z946" s="58"/>
      <c r="AA946" s="82"/>
      <c r="AB946" s="83"/>
      <c r="AC946" s="83"/>
      <c r="AD946" s="77"/>
      <c r="AE946" s="84"/>
      <c r="AF946" s="84"/>
      <c r="AG946" s="62"/>
      <c r="AH946" s="63"/>
    </row>
    <row r="947" spans="1:34" ht="16.5" thickTop="1" thickBot="1">
      <c r="A947" s="41"/>
      <c r="B947" s="42"/>
      <c r="C947" s="43"/>
      <c r="D947" s="44"/>
      <c r="E947" s="45"/>
      <c r="F947" s="46"/>
      <c r="G947" s="45"/>
      <c r="H947" s="45"/>
      <c r="I947" s="47"/>
      <c r="J947" s="48"/>
      <c r="K947" s="48"/>
      <c r="L947" s="49"/>
      <c r="M947" s="49"/>
      <c r="N947" s="50"/>
      <c r="O947" s="51"/>
      <c r="P947" s="52"/>
      <c r="Q947" s="53"/>
      <c r="R947" s="77"/>
      <c r="S947" s="78"/>
      <c r="T947" s="56"/>
      <c r="U947" s="80"/>
      <c r="V947" s="56"/>
      <c r="W947" s="56"/>
      <c r="X947" s="80"/>
      <c r="Y947" s="57"/>
      <c r="Z947" s="58"/>
      <c r="AA947" s="82"/>
      <c r="AB947" s="83"/>
      <c r="AC947" s="83"/>
      <c r="AD947" s="77"/>
      <c r="AE947" s="84"/>
      <c r="AF947" s="84"/>
      <c r="AG947" s="62"/>
      <c r="AH947" s="63"/>
    </row>
    <row r="948" spans="1:34" ht="16.5" thickTop="1" thickBot="1">
      <c r="A948" s="41"/>
      <c r="B948" s="42"/>
      <c r="C948" s="43"/>
      <c r="D948" s="44"/>
      <c r="E948" s="45"/>
      <c r="F948" s="46"/>
      <c r="G948" s="45"/>
      <c r="H948" s="45"/>
      <c r="I948" s="47"/>
      <c r="J948" s="48"/>
      <c r="K948" s="48"/>
      <c r="L948" s="49"/>
      <c r="M948" s="49"/>
      <c r="N948" s="50"/>
      <c r="O948" s="51"/>
      <c r="P948" s="52"/>
      <c r="Q948" s="53"/>
      <c r="R948" s="77"/>
      <c r="S948" s="78"/>
      <c r="T948" s="56"/>
      <c r="U948" s="80"/>
      <c r="V948" s="56"/>
      <c r="W948" s="56"/>
      <c r="X948" s="80"/>
      <c r="Y948" s="57"/>
      <c r="Z948" s="58"/>
      <c r="AA948" s="82"/>
      <c r="AB948" s="83"/>
      <c r="AC948" s="83"/>
      <c r="AD948" s="77"/>
      <c r="AE948" s="84"/>
      <c r="AF948" s="84"/>
      <c r="AG948" s="62"/>
      <c r="AH948" s="63"/>
    </row>
    <row r="949" spans="1:34" ht="16.5" thickTop="1" thickBot="1">
      <c r="A949" s="41"/>
      <c r="B949" s="42"/>
      <c r="C949" s="43"/>
      <c r="D949" s="44"/>
      <c r="E949" s="45"/>
      <c r="F949" s="46"/>
      <c r="G949" s="45"/>
      <c r="H949" s="45"/>
      <c r="I949" s="47"/>
      <c r="J949" s="48"/>
      <c r="K949" s="48"/>
      <c r="L949" s="49"/>
      <c r="M949" s="49"/>
      <c r="N949" s="50"/>
      <c r="O949" s="51"/>
      <c r="P949" s="52"/>
      <c r="Q949" s="53"/>
      <c r="R949" s="77"/>
      <c r="S949" s="78"/>
      <c r="T949" s="56"/>
      <c r="U949" s="80"/>
      <c r="V949" s="56"/>
      <c r="W949" s="56"/>
      <c r="X949" s="80"/>
      <c r="Y949" s="57"/>
      <c r="Z949" s="58"/>
      <c r="AA949" s="82"/>
      <c r="AB949" s="83"/>
      <c r="AC949" s="83"/>
      <c r="AD949" s="77"/>
      <c r="AE949" s="84"/>
      <c r="AF949" s="84"/>
      <c r="AG949" s="62"/>
      <c r="AH949" s="63"/>
    </row>
    <row r="950" spans="1:34" ht="16.5" thickTop="1" thickBot="1">
      <c r="A950" s="41"/>
      <c r="B950" s="42"/>
      <c r="C950" s="43"/>
      <c r="D950" s="44"/>
      <c r="E950" s="45"/>
      <c r="F950" s="46"/>
      <c r="G950" s="45"/>
      <c r="H950" s="45"/>
      <c r="I950" s="47"/>
      <c r="J950" s="48"/>
      <c r="K950" s="48"/>
      <c r="L950" s="49"/>
      <c r="M950" s="49"/>
      <c r="N950" s="50"/>
      <c r="O950" s="51"/>
      <c r="P950" s="52"/>
      <c r="Q950" s="53"/>
      <c r="R950" s="77"/>
      <c r="S950" s="78"/>
      <c r="T950" s="56"/>
      <c r="U950" s="80"/>
      <c r="V950" s="56"/>
      <c r="W950" s="56"/>
      <c r="X950" s="80"/>
      <c r="Y950" s="57"/>
      <c r="Z950" s="58"/>
      <c r="AA950" s="82"/>
      <c r="AB950" s="83"/>
      <c r="AC950" s="83"/>
      <c r="AD950" s="77"/>
      <c r="AE950" s="84"/>
      <c r="AF950" s="84"/>
      <c r="AG950" s="62"/>
      <c r="AH950" s="63"/>
    </row>
    <row r="951" spans="1:34" ht="16.5" thickTop="1" thickBot="1">
      <c r="A951" s="41"/>
      <c r="B951" s="42"/>
      <c r="C951" s="43"/>
      <c r="D951" s="44"/>
      <c r="E951" s="45"/>
      <c r="F951" s="46"/>
      <c r="G951" s="45"/>
      <c r="H951" s="45"/>
      <c r="I951" s="47"/>
      <c r="J951" s="48"/>
      <c r="K951" s="48"/>
      <c r="L951" s="49"/>
      <c r="M951" s="49"/>
      <c r="N951" s="50"/>
      <c r="O951" s="51"/>
      <c r="P951" s="52"/>
      <c r="Q951" s="53"/>
      <c r="R951" s="77"/>
      <c r="S951" s="78"/>
      <c r="T951" s="56"/>
      <c r="U951" s="80"/>
      <c r="V951" s="56"/>
      <c r="W951" s="56"/>
      <c r="X951" s="80"/>
      <c r="Y951" s="57"/>
      <c r="Z951" s="58"/>
      <c r="AA951" s="82"/>
      <c r="AB951" s="83"/>
      <c r="AC951" s="83"/>
      <c r="AD951" s="77"/>
      <c r="AE951" s="84"/>
      <c r="AF951" s="84"/>
      <c r="AG951" s="62"/>
      <c r="AH951" s="63"/>
    </row>
    <row r="952" spans="1:34" ht="16.5" thickTop="1" thickBot="1">
      <c r="A952" s="41"/>
      <c r="B952" s="42"/>
      <c r="C952" s="43"/>
      <c r="D952" s="44"/>
      <c r="E952" s="45"/>
      <c r="F952" s="46"/>
      <c r="G952" s="45"/>
      <c r="H952" s="45"/>
      <c r="I952" s="47"/>
      <c r="J952" s="48"/>
      <c r="K952" s="48"/>
      <c r="L952" s="49"/>
      <c r="M952" s="49"/>
      <c r="N952" s="50"/>
      <c r="O952" s="51"/>
      <c r="P952" s="52"/>
      <c r="Q952" s="53"/>
      <c r="R952" s="77"/>
      <c r="S952" s="78"/>
      <c r="T952" s="56"/>
      <c r="U952" s="80"/>
      <c r="V952" s="56"/>
      <c r="W952" s="56"/>
      <c r="X952" s="80"/>
      <c r="Y952" s="57"/>
      <c r="Z952" s="58"/>
      <c r="AA952" s="82"/>
      <c r="AB952" s="83"/>
      <c r="AC952" s="83"/>
      <c r="AD952" s="77"/>
      <c r="AE952" s="84"/>
      <c r="AF952" s="84"/>
      <c r="AG952" s="62"/>
      <c r="AH952" s="63"/>
    </row>
    <row r="953" spans="1:34" ht="16.5" thickTop="1" thickBot="1">
      <c r="A953" s="41"/>
      <c r="B953" s="42"/>
      <c r="C953" s="43"/>
      <c r="D953" s="44"/>
      <c r="E953" s="45"/>
      <c r="F953" s="46"/>
      <c r="G953" s="45"/>
      <c r="H953" s="45"/>
      <c r="I953" s="47"/>
      <c r="J953" s="48"/>
      <c r="K953" s="48"/>
      <c r="L953" s="49"/>
      <c r="M953" s="49"/>
      <c r="N953" s="50"/>
      <c r="O953" s="51"/>
      <c r="P953" s="52"/>
      <c r="Q953" s="53"/>
      <c r="R953" s="77"/>
      <c r="S953" s="78"/>
      <c r="T953" s="56"/>
      <c r="U953" s="80"/>
      <c r="V953" s="56"/>
      <c r="W953" s="56"/>
      <c r="X953" s="80"/>
      <c r="Y953" s="57"/>
      <c r="Z953" s="58"/>
      <c r="AA953" s="82"/>
      <c r="AB953" s="83"/>
      <c r="AC953" s="83"/>
      <c r="AD953" s="77"/>
      <c r="AE953" s="84"/>
      <c r="AF953" s="84"/>
      <c r="AG953" s="62"/>
      <c r="AH953" s="63"/>
    </row>
    <row r="954" spans="1:34" ht="16.5" thickTop="1" thickBot="1">
      <c r="A954" s="41"/>
      <c r="B954" s="42"/>
      <c r="C954" s="43"/>
      <c r="D954" s="44"/>
      <c r="E954" s="45"/>
      <c r="F954" s="46"/>
      <c r="G954" s="45"/>
      <c r="H954" s="45"/>
      <c r="I954" s="47"/>
      <c r="J954" s="48"/>
      <c r="K954" s="48"/>
      <c r="L954" s="49"/>
      <c r="M954" s="49"/>
      <c r="N954" s="50"/>
      <c r="O954" s="51"/>
      <c r="P954" s="52"/>
      <c r="Q954" s="53"/>
      <c r="R954" s="77"/>
      <c r="S954" s="78"/>
      <c r="T954" s="56"/>
      <c r="U954" s="80"/>
      <c r="V954" s="56"/>
      <c r="W954" s="56"/>
      <c r="X954" s="80"/>
      <c r="Y954" s="57"/>
      <c r="Z954" s="58"/>
      <c r="AA954" s="82"/>
      <c r="AB954" s="83"/>
      <c r="AC954" s="83"/>
      <c r="AD954" s="77"/>
      <c r="AE954" s="84"/>
      <c r="AF954" s="84"/>
      <c r="AG954" s="62"/>
      <c r="AH954" s="63"/>
    </row>
    <row r="955" spans="1:34" ht="16.5" thickTop="1" thickBot="1">
      <c r="A955" s="41"/>
      <c r="B955" s="42"/>
      <c r="C955" s="43"/>
      <c r="D955" s="44"/>
      <c r="E955" s="45"/>
      <c r="F955" s="46"/>
      <c r="G955" s="45"/>
      <c r="H955" s="45"/>
      <c r="I955" s="47"/>
      <c r="J955" s="48"/>
      <c r="K955" s="48"/>
      <c r="L955" s="49"/>
      <c r="M955" s="49"/>
      <c r="N955" s="50"/>
      <c r="O955" s="51"/>
      <c r="P955" s="52"/>
      <c r="Q955" s="53"/>
      <c r="R955" s="77"/>
      <c r="S955" s="78"/>
      <c r="T955" s="56"/>
      <c r="U955" s="80"/>
      <c r="V955" s="56"/>
      <c r="W955" s="56"/>
      <c r="X955" s="80"/>
      <c r="Y955" s="57"/>
      <c r="Z955" s="58"/>
      <c r="AA955" s="82"/>
      <c r="AB955" s="83"/>
      <c r="AC955" s="83"/>
      <c r="AD955" s="77"/>
      <c r="AE955" s="84"/>
      <c r="AF955" s="84"/>
      <c r="AG955" s="62"/>
      <c r="AH955" s="63"/>
    </row>
    <row r="956" spans="1:34" ht="16.5" thickTop="1" thickBot="1">
      <c r="A956" s="41"/>
      <c r="B956" s="42"/>
      <c r="C956" s="43"/>
      <c r="D956" s="44"/>
      <c r="E956" s="45"/>
      <c r="F956" s="46"/>
      <c r="G956" s="45"/>
      <c r="H956" s="45"/>
      <c r="I956" s="47"/>
      <c r="J956" s="48"/>
      <c r="K956" s="48"/>
      <c r="L956" s="49"/>
      <c r="M956" s="49"/>
      <c r="N956" s="50"/>
      <c r="O956" s="51"/>
      <c r="P956" s="52"/>
      <c r="Q956" s="53"/>
      <c r="R956" s="77"/>
      <c r="S956" s="78"/>
      <c r="T956" s="56"/>
      <c r="U956" s="80"/>
      <c r="V956" s="56"/>
      <c r="W956" s="56"/>
      <c r="X956" s="80"/>
      <c r="Y956" s="57"/>
      <c r="Z956" s="58"/>
      <c r="AA956" s="82"/>
      <c r="AB956" s="83"/>
      <c r="AC956" s="83"/>
      <c r="AD956" s="77"/>
      <c r="AE956" s="84"/>
      <c r="AF956" s="84"/>
      <c r="AG956" s="62"/>
      <c r="AH956" s="63"/>
    </row>
    <row r="957" spans="1:34" ht="16.5" thickTop="1" thickBot="1">
      <c r="A957" s="41"/>
      <c r="B957" s="42"/>
      <c r="C957" s="43"/>
      <c r="D957" s="44"/>
      <c r="E957" s="45"/>
      <c r="F957" s="46"/>
      <c r="G957" s="45"/>
      <c r="H957" s="45"/>
      <c r="I957" s="47"/>
      <c r="J957" s="48"/>
      <c r="K957" s="48"/>
      <c r="L957" s="49"/>
      <c r="M957" s="49"/>
      <c r="N957" s="50"/>
      <c r="O957" s="51"/>
      <c r="P957" s="52"/>
      <c r="Q957" s="53"/>
      <c r="R957" s="77"/>
      <c r="S957" s="78"/>
      <c r="T957" s="56"/>
      <c r="U957" s="80"/>
      <c r="V957" s="56"/>
      <c r="W957" s="56"/>
      <c r="X957" s="80"/>
      <c r="Y957" s="57"/>
      <c r="Z957" s="58"/>
      <c r="AA957" s="82"/>
      <c r="AB957" s="83"/>
      <c r="AC957" s="83"/>
      <c r="AD957" s="77"/>
      <c r="AE957" s="84"/>
      <c r="AF957" s="84"/>
      <c r="AG957" s="62"/>
      <c r="AH957" s="63"/>
    </row>
    <row r="958" spans="1:34" ht="16.5" thickTop="1" thickBot="1">
      <c r="A958" s="41"/>
      <c r="B958" s="42"/>
      <c r="C958" s="43"/>
      <c r="D958" s="44"/>
      <c r="E958" s="45"/>
      <c r="F958" s="46"/>
      <c r="G958" s="45"/>
      <c r="H958" s="45"/>
      <c r="I958" s="47"/>
      <c r="J958" s="48"/>
      <c r="K958" s="48"/>
      <c r="L958" s="49"/>
      <c r="M958" s="49"/>
      <c r="N958" s="50"/>
      <c r="O958" s="51"/>
      <c r="P958" s="52"/>
      <c r="Q958" s="53"/>
      <c r="R958" s="77"/>
      <c r="S958" s="78"/>
      <c r="T958" s="56"/>
      <c r="U958" s="80"/>
      <c r="V958" s="56"/>
      <c r="W958" s="56"/>
      <c r="X958" s="80"/>
      <c r="Y958" s="57"/>
      <c r="Z958" s="58"/>
      <c r="AA958" s="82"/>
      <c r="AB958" s="83"/>
      <c r="AC958" s="83"/>
      <c r="AD958" s="77"/>
      <c r="AE958" s="84"/>
      <c r="AF958" s="84"/>
      <c r="AG958" s="62"/>
      <c r="AH958" s="63"/>
    </row>
    <row r="959" spans="1:34" ht="16.5" thickTop="1" thickBot="1">
      <c r="A959" s="41"/>
      <c r="B959" s="42"/>
      <c r="C959" s="43"/>
      <c r="D959" s="44"/>
      <c r="E959" s="45"/>
      <c r="F959" s="46"/>
      <c r="G959" s="45"/>
      <c r="H959" s="45"/>
      <c r="I959" s="47"/>
      <c r="J959" s="48"/>
      <c r="K959" s="48"/>
      <c r="L959" s="49"/>
      <c r="M959" s="49"/>
      <c r="N959" s="50"/>
      <c r="O959" s="51"/>
      <c r="P959" s="52"/>
      <c r="Q959" s="53"/>
      <c r="R959" s="77"/>
      <c r="S959" s="78"/>
      <c r="T959" s="56"/>
      <c r="U959" s="80"/>
      <c r="V959" s="56"/>
      <c r="W959" s="56"/>
      <c r="X959" s="80"/>
      <c r="Y959" s="57"/>
      <c r="Z959" s="58"/>
      <c r="AA959" s="82"/>
      <c r="AB959" s="83"/>
      <c r="AC959" s="83"/>
      <c r="AD959" s="77"/>
      <c r="AE959" s="84"/>
      <c r="AF959" s="84"/>
      <c r="AG959" s="62"/>
      <c r="AH959" s="63"/>
    </row>
    <row r="960" spans="1:34" ht="16.5" thickTop="1" thickBot="1">
      <c r="A960" s="41"/>
      <c r="B960" s="42"/>
      <c r="C960" s="43"/>
      <c r="D960" s="44"/>
      <c r="E960" s="45"/>
      <c r="F960" s="46"/>
      <c r="G960" s="45"/>
      <c r="H960" s="45"/>
      <c r="I960" s="47"/>
      <c r="J960" s="48"/>
      <c r="K960" s="48"/>
      <c r="L960" s="49"/>
      <c r="M960" s="49"/>
      <c r="N960" s="50"/>
      <c r="O960" s="51"/>
      <c r="P960" s="52"/>
      <c r="Q960" s="53"/>
      <c r="R960" s="77"/>
      <c r="S960" s="78"/>
      <c r="T960" s="56"/>
      <c r="U960" s="80"/>
      <c r="V960" s="56"/>
      <c r="W960" s="56"/>
      <c r="X960" s="80"/>
      <c r="Y960" s="57"/>
      <c r="Z960" s="58"/>
      <c r="AA960" s="82"/>
      <c r="AB960" s="83"/>
      <c r="AC960" s="83"/>
      <c r="AD960" s="77"/>
      <c r="AE960" s="84"/>
      <c r="AF960" s="84"/>
      <c r="AG960" s="62"/>
      <c r="AH960" s="63"/>
    </row>
    <row r="961" spans="1:34" ht="16.5" thickTop="1" thickBot="1">
      <c r="A961" s="41"/>
      <c r="B961" s="42"/>
      <c r="C961" s="43"/>
      <c r="D961" s="44"/>
      <c r="E961" s="45"/>
      <c r="F961" s="46"/>
      <c r="G961" s="45"/>
      <c r="H961" s="45"/>
      <c r="I961" s="47"/>
      <c r="J961" s="48"/>
      <c r="K961" s="48"/>
      <c r="L961" s="49"/>
      <c r="M961" s="49"/>
      <c r="N961" s="50"/>
      <c r="O961" s="51"/>
      <c r="P961" s="52"/>
      <c r="Q961" s="53"/>
      <c r="R961" s="77"/>
      <c r="S961" s="78"/>
      <c r="T961" s="56"/>
      <c r="U961" s="80"/>
      <c r="V961" s="56"/>
      <c r="W961" s="56"/>
      <c r="X961" s="80"/>
      <c r="Y961" s="57"/>
      <c r="Z961" s="58"/>
      <c r="AA961" s="82"/>
      <c r="AB961" s="83"/>
      <c r="AC961" s="83"/>
      <c r="AD961" s="77"/>
      <c r="AE961" s="84"/>
      <c r="AF961" s="84"/>
      <c r="AG961" s="62"/>
      <c r="AH961" s="63"/>
    </row>
    <row r="962" spans="1:34" ht="16.5" thickTop="1" thickBot="1">
      <c r="A962" s="41"/>
      <c r="B962" s="42"/>
      <c r="C962" s="43"/>
      <c r="D962" s="44"/>
      <c r="E962" s="45"/>
      <c r="F962" s="46"/>
      <c r="G962" s="45"/>
      <c r="H962" s="45"/>
      <c r="I962" s="47"/>
      <c r="J962" s="48"/>
      <c r="K962" s="48"/>
      <c r="L962" s="49"/>
      <c r="M962" s="49"/>
      <c r="N962" s="50"/>
      <c r="O962" s="51"/>
      <c r="P962" s="52"/>
      <c r="Q962" s="53"/>
      <c r="R962" s="77"/>
      <c r="S962" s="78"/>
      <c r="T962" s="56"/>
      <c r="U962" s="80"/>
      <c r="V962" s="56"/>
      <c r="W962" s="56"/>
      <c r="X962" s="80"/>
      <c r="Y962" s="57"/>
      <c r="Z962" s="58"/>
      <c r="AA962" s="82"/>
      <c r="AB962" s="83"/>
      <c r="AC962" s="83"/>
      <c r="AD962" s="77"/>
      <c r="AE962" s="84"/>
      <c r="AF962" s="84"/>
      <c r="AG962" s="62"/>
      <c r="AH962" s="63"/>
    </row>
    <row r="963" spans="1:34" ht="16.5" thickTop="1" thickBot="1">
      <c r="A963" s="41"/>
      <c r="B963" s="42"/>
      <c r="C963" s="43"/>
      <c r="D963" s="44"/>
      <c r="E963" s="45"/>
      <c r="F963" s="46"/>
      <c r="G963" s="45"/>
      <c r="H963" s="45"/>
      <c r="I963" s="47"/>
      <c r="J963" s="48"/>
      <c r="K963" s="48"/>
      <c r="L963" s="49"/>
      <c r="M963" s="49"/>
      <c r="N963" s="50"/>
      <c r="O963" s="51"/>
      <c r="P963" s="52"/>
      <c r="Q963" s="53"/>
      <c r="R963" s="77"/>
      <c r="S963" s="78"/>
      <c r="T963" s="56"/>
      <c r="U963" s="80"/>
      <c r="V963" s="56"/>
      <c r="W963" s="56"/>
      <c r="X963" s="80"/>
      <c r="Y963" s="57"/>
      <c r="Z963" s="58"/>
      <c r="AA963" s="82"/>
      <c r="AB963" s="83"/>
      <c r="AC963" s="83"/>
      <c r="AD963" s="77"/>
      <c r="AE963" s="84"/>
      <c r="AF963" s="84"/>
      <c r="AG963" s="62"/>
      <c r="AH963" s="63"/>
    </row>
    <row r="964" spans="1:34" ht="16.5" thickTop="1" thickBot="1">
      <c r="A964" s="41"/>
      <c r="B964" s="42"/>
      <c r="C964" s="43"/>
      <c r="D964" s="44"/>
      <c r="E964" s="45"/>
      <c r="F964" s="46"/>
      <c r="G964" s="45"/>
      <c r="H964" s="45"/>
      <c r="I964" s="47"/>
      <c r="J964" s="48"/>
      <c r="K964" s="48"/>
      <c r="L964" s="49"/>
      <c r="M964" s="49"/>
      <c r="N964" s="50"/>
      <c r="O964" s="51"/>
      <c r="P964" s="52"/>
      <c r="Q964" s="53"/>
      <c r="R964" s="77"/>
      <c r="S964" s="78"/>
      <c r="T964" s="56"/>
      <c r="U964" s="80"/>
      <c r="V964" s="56"/>
      <c r="W964" s="56"/>
      <c r="X964" s="80"/>
      <c r="Y964" s="57"/>
      <c r="Z964" s="58"/>
      <c r="AA964" s="82"/>
      <c r="AB964" s="83"/>
      <c r="AC964" s="83"/>
      <c r="AD964" s="77"/>
      <c r="AE964" s="84"/>
      <c r="AF964" s="84"/>
      <c r="AG964" s="62"/>
      <c r="AH964" s="63"/>
    </row>
    <row r="965" spans="1:34" ht="16.5" thickTop="1" thickBot="1">
      <c r="A965" s="41"/>
      <c r="B965" s="42"/>
      <c r="C965" s="43"/>
      <c r="D965" s="44"/>
      <c r="E965" s="45"/>
      <c r="F965" s="46"/>
      <c r="G965" s="45"/>
      <c r="H965" s="45"/>
      <c r="I965" s="47"/>
      <c r="J965" s="48"/>
      <c r="K965" s="48"/>
      <c r="L965" s="49"/>
      <c r="M965" s="49"/>
      <c r="N965" s="50"/>
      <c r="O965" s="51"/>
      <c r="P965" s="52"/>
      <c r="Q965" s="53"/>
      <c r="R965" s="77"/>
      <c r="S965" s="78"/>
      <c r="T965" s="56"/>
      <c r="U965" s="80"/>
      <c r="V965" s="56"/>
      <c r="W965" s="56"/>
      <c r="X965" s="80"/>
      <c r="Y965" s="57"/>
      <c r="Z965" s="58"/>
      <c r="AA965" s="82"/>
      <c r="AB965" s="83"/>
      <c r="AC965" s="83"/>
      <c r="AD965" s="77"/>
      <c r="AE965" s="84"/>
      <c r="AF965" s="84"/>
      <c r="AG965" s="62"/>
      <c r="AH965" s="63"/>
    </row>
    <row r="966" spans="1:34" ht="16.5" thickTop="1" thickBot="1">
      <c r="A966" s="41"/>
      <c r="B966" s="42"/>
      <c r="C966" s="43"/>
      <c r="D966" s="44"/>
      <c r="E966" s="45"/>
      <c r="F966" s="46"/>
      <c r="G966" s="45"/>
      <c r="H966" s="45"/>
      <c r="I966" s="47"/>
      <c r="J966" s="48"/>
      <c r="K966" s="48"/>
      <c r="L966" s="49"/>
      <c r="M966" s="49"/>
      <c r="N966" s="50"/>
      <c r="O966" s="51"/>
      <c r="P966" s="52"/>
      <c r="Q966" s="53"/>
      <c r="R966" s="77"/>
      <c r="S966" s="78"/>
      <c r="T966" s="56"/>
      <c r="U966" s="80"/>
      <c r="V966" s="56"/>
      <c r="W966" s="56"/>
      <c r="X966" s="80"/>
      <c r="Y966" s="57"/>
      <c r="Z966" s="58"/>
      <c r="AA966" s="82"/>
      <c r="AB966" s="83"/>
      <c r="AC966" s="83"/>
      <c r="AD966" s="77"/>
      <c r="AE966" s="84"/>
      <c r="AF966" s="84"/>
      <c r="AG966" s="62"/>
      <c r="AH966" s="63"/>
    </row>
    <row r="967" spans="1:34" ht="16.5" thickTop="1" thickBot="1">
      <c r="A967" s="41"/>
      <c r="B967" s="42"/>
      <c r="C967" s="43"/>
      <c r="D967" s="44"/>
      <c r="E967" s="45"/>
      <c r="F967" s="46"/>
      <c r="G967" s="45"/>
      <c r="H967" s="45"/>
      <c r="I967" s="47"/>
      <c r="J967" s="48"/>
      <c r="K967" s="48"/>
      <c r="L967" s="49"/>
      <c r="M967" s="49"/>
      <c r="N967" s="50"/>
      <c r="O967" s="51"/>
      <c r="P967" s="52"/>
      <c r="Q967" s="53"/>
      <c r="R967" s="77"/>
      <c r="S967" s="78"/>
      <c r="T967" s="56"/>
      <c r="U967" s="80"/>
      <c r="V967" s="56"/>
      <c r="W967" s="56"/>
      <c r="X967" s="80"/>
      <c r="Y967" s="57"/>
      <c r="Z967" s="58"/>
      <c r="AA967" s="82"/>
      <c r="AB967" s="83"/>
      <c r="AC967" s="83"/>
      <c r="AD967" s="77"/>
      <c r="AE967" s="84"/>
      <c r="AF967" s="84"/>
      <c r="AG967" s="62"/>
      <c r="AH967" s="63"/>
    </row>
    <row r="968" spans="1:34" ht="16.5" thickTop="1" thickBot="1">
      <c r="A968" s="41"/>
      <c r="B968" s="42"/>
      <c r="C968" s="43"/>
      <c r="D968" s="44"/>
      <c r="E968" s="45"/>
      <c r="F968" s="46"/>
      <c r="G968" s="45"/>
      <c r="H968" s="45"/>
      <c r="I968" s="47"/>
      <c r="J968" s="48"/>
      <c r="K968" s="48"/>
      <c r="L968" s="49"/>
      <c r="M968" s="49"/>
      <c r="N968" s="50"/>
      <c r="O968" s="51"/>
      <c r="P968" s="52"/>
      <c r="Q968" s="53"/>
      <c r="R968" s="77"/>
      <c r="S968" s="78"/>
      <c r="T968" s="56"/>
      <c r="U968" s="80"/>
      <c r="V968" s="56"/>
      <c r="W968" s="56"/>
      <c r="X968" s="80"/>
      <c r="Y968" s="57"/>
      <c r="Z968" s="58"/>
      <c r="AA968" s="82"/>
      <c r="AB968" s="83"/>
      <c r="AC968" s="83"/>
      <c r="AD968" s="77"/>
      <c r="AE968" s="84"/>
      <c r="AF968" s="84"/>
      <c r="AG968" s="62"/>
      <c r="AH968" s="63"/>
    </row>
    <row r="969" spans="1:34" ht="16.5" thickTop="1" thickBot="1">
      <c r="A969" s="41"/>
      <c r="B969" s="42"/>
      <c r="C969" s="43"/>
      <c r="D969" s="44"/>
      <c r="E969" s="45"/>
      <c r="F969" s="46"/>
      <c r="G969" s="45"/>
      <c r="H969" s="45"/>
      <c r="I969" s="47"/>
      <c r="J969" s="48"/>
      <c r="K969" s="48"/>
      <c r="L969" s="49"/>
      <c r="M969" s="49"/>
      <c r="N969" s="50"/>
      <c r="O969" s="51"/>
      <c r="P969" s="52"/>
      <c r="Q969" s="53"/>
      <c r="R969" s="77"/>
      <c r="S969" s="78"/>
      <c r="T969" s="56"/>
      <c r="U969" s="80"/>
      <c r="V969" s="56"/>
      <c r="W969" s="56"/>
      <c r="X969" s="80"/>
      <c r="Y969" s="57"/>
      <c r="Z969" s="58"/>
      <c r="AA969" s="82"/>
      <c r="AB969" s="83"/>
      <c r="AC969" s="83"/>
      <c r="AD969" s="77"/>
      <c r="AE969" s="84"/>
      <c r="AF969" s="84"/>
      <c r="AG969" s="62"/>
      <c r="AH969" s="63"/>
    </row>
    <row r="970" spans="1:34" ht="16.5" thickTop="1" thickBot="1">
      <c r="A970" s="41"/>
      <c r="B970" s="42"/>
      <c r="C970" s="43"/>
      <c r="D970" s="44"/>
      <c r="E970" s="45"/>
      <c r="F970" s="46"/>
      <c r="G970" s="45"/>
      <c r="H970" s="45"/>
      <c r="I970" s="47"/>
      <c r="J970" s="48"/>
      <c r="K970" s="48"/>
      <c r="L970" s="49"/>
      <c r="M970" s="49"/>
      <c r="N970" s="50"/>
      <c r="O970" s="51"/>
      <c r="P970" s="52"/>
      <c r="Q970" s="53"/>
      <c r="R970" s="77"/>
      <c r="S970" s="78"/>
      <c r="T970" s="56"/>
      <c r="U970" s="80"/>
      <c r="V970" s="56"/>
      <c r="W970" s="56"/>
      <c r="X970" s="80"/>
      <c r="Y970" s="57"/>
      <c r="Z970" s="58"/>
      <c r="AA970" s="82"/>
      <c r="AB970" s="83"/>
      <c r="AC970" s="83"/>
      <c r="AD970" s="77"/>
      <c r="AE970" s="84"/>
      <c r="AF970" s="84"/>
      <c r="AG970" s="62"/>
      <c r="AH970" s="63"/>
    </row>
    <row r="971" spans="1:34" ht="16.5" thickTop="1" thickBot="1">
      <c r="A971" s="41"/>
      <c r="B971" s="42"/>
      <c r="C971" s="43"/>
      <c r="D971" s="44"/>
      <c r="E971" s="45"/>
      <c r="F971" s="46"/>
      <c r="G971" s="45"/>
      <c r="H971" s="45"/>
      <c r="I971" s="47"/>
      <c r="J971" s="48"/>
      <c r="K971" s="48"/>
      <c r="L971" s="49"/>
      <c r="M971" s="49"/>
      <c r="N971" s="50"/>
      <c r="O971" s="51"/>
      <c r="P971" s="52"/>
      <c r="Q971" s="53"/>
      <c r="R971" s="77"/>
      <c r="S971" s="78"/>
      <c r="T971" s="56"/>
      <c r="U971" s="80"/>
      <c r="V971" s="56"/>
      <c r="W971" s="56"/>
      <c r="X971" s="80"/>
      <c r="Y971" s="57"/>
      <c r="Z971" s="58"/>
      <c r="AA971" s="82"/>
      <c r="AB971" s="83"/>
      <c r="AC971" s="83"/>
      <c r="AD971" s="77"/>
      <c r="AE971" s="84"/>
      <c r="AF971" s="84"/>
      <c r="AG971" s="62"/>
      <c r="AH971" s="63"/>
    </row>
    <row r="972" spans="1:34" ht="16.5" thickTop="1" thickBot="1">
      <c r="A972" s="41"/>
      <c r="B972" s="42"/>
      <c r="C972" s="43"/>
      <c r="D972" s="44"/>
      <c r="E972" s="45"/>
      <c r="F972" s="46"/>
      <c r="G972" s="45"/>
      <c r="H972" s="45"/>
      <c r="I972" s="47"/>
      <c r="J972" s="48"/>
      <c r="K972" s="48"/>
      <c r="L972" s="49"/>
      <c r="M972" s="49"/>
      <c r="N972" s="50"/>
      <c r="O972" s="51"/>
      <c r="P972" s="52"/>
      <c r="Q972" s="53"/>
      <c r="R972" s="77"/>
      <c r="S972" s="78"/>
      <c r="T972" s="56"/>
      <c r="U972" s="80"/>
      <c r="V972" s="56"/>
      <c r="W972" s="56"/>
      <c r="X972" s="80"/>
      <c r="Y972" s="57"/>
      <c r="Z972" s="58"/>
      <c r="AA972" s="82"/>
      <c r="AB972" s="83"/>
      <c r="AC972" s="83"/>
      <c r="AD972" s="77"/>
      <c r="AE972" s="84"/>
      <c r="AF972" s="84"/>
      <c r="AG972" s="62"/>
      <c r="AH972" s="63"/>
    </row>
    <row r="973" spans="1:34" ht="16.5" thickTop="1" thickBot="1">
      <c r="A973" s="41"/>
      <c r="B973" s="42"/>
      <c r="C973" s="43"/>
      <c r="D973" s="44"/>
      <c r="E973" s="45"/>
      <c r="F973" s="46"/>
      <c r="G973" s="45"/>
      <c r="H973" s="45"/>
      <c r="I973" s="47"/>
      <c r="J973" s="48"/>
      <c r="K973" s="48"/>
      <c r="L973" s="49"/>
      <c r="M973" s="49"/>
      <c r="N973" s="50"/>
      <c r="O973" s="51"/>
      <c r="P973" s="52"/>
      <c r="Q973" s="53"/>
      <c r="R973" s="77"/>
      <c r="S973" s="78"/>
      <c r="T973" s="56"/>
      <c r="U973" s="80"/>
      <c r="V973" s="56"/>
      <c r="W973" s="56"/>
      <c r="X973" s="80"/>
      <c r="Y973" s="57"/>
      <c r="Z973" s="58"/>
      <c r="AA973" s="82"/>
      <c r="AB973" s="83"/>
      <c r="AC973" s="83"/>
      <c r="AD973" s="77"/>
      <c r="AE973" s="84"/>
      <c r="AF973" s="84"/>
      <c r="AG973" s="62"/>
      <c r="AH973" s="63"/>
    </row>
    <row r="974" spans="1:34" ht="16.5" thickTop="1" thickBot="1">
      <c r="A974" s="41"/>
      <c r="B974" s="42"/>
      <c r="C974" s="43"/>
      <c r="D974" s="44"/>
      <c r="E974" s="45"/>
      <c r="F974" s="46"/>
      <c r="G974" s="45"/>
      <c r="H974" s="45"/>
      <c r="I974" s="47"/>
      <c r="J974" s="48"/>
      <c r="K974" s="48"/>
      <c r="L974" s="49"/>
      <c r="M974" s="49"/>
      <c r="N974" s="50"/>
      <c r="O974" s="51"/>
      <c r="P974" s="52"/>
      <c r="Q974" s="53"/>
      <c r="R974" s="77"/>
      <c r="S974" s="78"/>
      <c r="T974" s="56"/>
      <c r="U974" s="80"/>
      <c r="V974" s="56"/>
      <c r="W974" s="56"/>
      <c r="X974" s="80"/>
      <c r="Y974" s="57"/>
      <c r="Z974" s="58"/>
      <c r="AA974" s="82"/>
      <c r="AB974" s="83"/>
      <c r="AC974" s="83"/>
      <c r="AD974" s="77"/>
      <c r="AE974" s="84"/>
      <c r="AF974" s="84"/>
      <c r="AG974" s="62"/>
      <c r="AH974" s="63"/>
    </row>
    <row r="975" spans="1:34" ht="16.5" thickTop="1" thickBot="1">
      <c r="A975" s="41"/>
      <c r="B975" s="42"/>
      <c r="C975" s="43"/>
      <c r="D975" s="44"/>
      <c r="E975" s="45"/>
      <c r="F975" s="46"/>
      <c r="G975" s="45"/>
      <c r="H975" s="45"/>
      <c r="I975" s="47"/>
      <c r="J975" s="48"/>
      <c r="K975" s="48"/>
      <c r="L975" s="49"/>
      <c r="M975" s="49"/>
      <c r="N975" s="50"/>
      <c r="O975" s="51"/>
      <c r="P975" s="52"/>
      <c r="Q975" s="53"/>
      <c r="R975" s="77"/>
      <c r="S975" s="78"/>
      <c r="T975" s="56"/>
      <c r="U975" s="80"/>
      <c r="V975" s="56"/>
      <c r="W975" s="56"/>
      <c r="X975" s="80"/>
      <c r="Y975" s="57"/>
      <c r="Z975" s="58"/>
      <c r="AA975" s="82"/>
      <c r="AB975" s="83"/>
      <c r="AC975" s="83"/>
      <c r="AD975" s="77"/>
      <c r="AE975" s="84"/>
      <c r="AF975" s="84"/>
      <c r="AG975" s="62"/>
      <c r="AH975" s="63"/>
    </row>
    <row r="976" spans="1:34" ht="16.5" thickTop="1" thickBot="1">
      <c r="A976" s="41"/>
      <c r="B976" s="42"/>
      <c r="C976" s="43"/>
      <c r="D976" s="44"/>
      <c r="E976" s="45"/>
      <c r="F976" s="46"/>
      <c r="G976" s="45"/>
      <c r="H976" s="45"/>
      <c r="I976" s="47"/>
      <c r="J976" s="48"/>
      <c r="K976" s="48"/>
      <c r="L976" s="49"/>
      <c r="M976" s="49"/>
      <c r="N976" s="50"/>
      <c r="O976" s="51"/>
      <c r="P976" s="52"/>
      <c r="Q976" s="53"/>
      <c r="R976" s="77"/>
      <c r="S976" s="78"/>
      <c r="T976" s="56"/>
      <c r="U976" s="80"/>
      <c r="V976" s="56"/>
      <c r="W976" s="56"/>
      <c r="X976" s="80"/>
      <c r="Y976" s="57"/>
      <c r="Z976" s="58"/>
      <c r="AA976" s="82"/>
      <c r="AB976" s="83"/>
      <c r="AC976" s="83"/>
      <c r="AD976" s="77"/>
      <c r="AE976" s="84"/>
      <c r="AF976" s="84"/>
      <c r="AG976" s="62"/>
      <c r="AH976" s="63"/>
    </row>
    <row r="977" spans="1:34" ht="16.5" thickTop="1" thickBot="1">
      <c r="A977" s="41"/>
      <c r="B977" s="42"/>
      <c r="C977" s="43"/>
      <c r="D977" s="44"/>
      <c r="E977" s="45"/>
      <c r="F977" s="46"/>
      <c r="G977" s="45"/>
      <c r="H977" s="45"/>
      <c r="I977" s="47"/>
      <c r="J977" s="48"/>
      <c r="K977" s="48"/>
      <c r="L977" s="49"/>
      <c r="M977" s="49"/>
      <c r="N977" s="50"/>
      <c r="O977" s="51"/>
      <c r="P977" s="52"/>
      <c r="Q977" s="53"/>
      <c r="R977" s="77"/>
      <c r="S977" s="78"/>
      <c r="T977" s="56"/>
      <c r="U977" s="80"/>
      <c r="V977" s="56"/>
      <c r="W977" s="56"/>
      <c r="X977" s="80"/>
      <c r="Y977" s="57"/>
      <c r="Z977" s="58"/>
      <c r="AA977" s="82"/>
      <c r="AB977" s="83"/>
      <c r="AC977" s="83"/>
      <c r="AD977" s="77"/>
      <c r="AE977" s="84"/>
      <c r="AF977" s="84"/>
      <c r="AG977" s="62"/>
      <c r="AH977" s="63"/>
    </row>
    <row r="978" spans="1:34" ht="16.5" thickTop="1" thickBot="1">
      <c r="A978" s="41"/>
      <c r="B978" s="42"/>
      <c r="C978" s="43"/>
      <c r="D978" s="44"/>
      <c r="E978" s="45"/>
      <c r="F978" s="46"/>
      <c r="G978" s="45"/>
      <c r="H978" s="45"/>
      <c r="I978" s="47"/>
      <c r="J978" s="48"/>
      <c r="K978" s="48"/>
      <c r="L978" s="49"/>
      <c r="M978" s="49"/>
      <c r="N978" s="50"/>
      <c r="O978" s="51"/>
      <c r="P978" s="52"/>
      <c r="Q978" s="53"/>
      <c r="R978" s="77"/>
      <c r="S978" s="78"/>
      <c r="T978" s="56"/>
      <c r="U978" s="80"/>
      <c r="V978" s="56"/>
      <c r="W978" s="56"/>
      <c r="X978" s="80"/>
      <c r="Y978" s="57"/>
      <c r="Z978" s="58"/>
      <c r="AA978" s="82"/>
      <c r="AB978" s="83"/>
      <c r="AC978" s="83"/>
      <c r="AD978" s="77"/>
      <c r="AE978" s="84"/>
      <c r="AF978" s="84"/>
      <c r="AG978" s="62"/>
      <c r="AH978" s="63"/>
    </row>
    <row r="979" spans="1:34" ht="16.5" thickTop="1" thickBot="1">
      <c r="A979" s="41"/>
      <c r="B979" s="42"/>
      <c r="C979" s="43"/>
      <c r="D979" s="44"/>
      <c r="E979" s="45"/>
      <c r="F979" s="46"/>
      <c r="G979" s="45"/>
      <c r="H979" s="45"/>
      <c r="I979" s="47"/>
      <c r="J979" s="48"/>
      <c r="K979" s="48"/>
      <c r="L979" s="49"/>
      <c r="M979" s="49"/>
      <c r="N979" s="50"/>
      <c r="O979" s="51"/>
      <c r="P979" s="52"/>
      <c r="Q979" s="53"/>
      <c r="R979" s="77"/>
      <c r="S979" s="78"/>
      <c r="T979" s="56"/>
      <c r="U979" s="80"/>
      <c r="V979" s="56"/>
      <c r="W979" s="56"/>
      <c r="X979" s="80"/>
      <c r="Y979" s="57"/>
      <c r="Z979" s="58"/>
      <c r="AA979" s="82"/>
      <c r="AB979" s="83"/>
      <c r="AC979" s="83"/>
      <c r="AD979" s="77"/>
      <c r="AE979" s="84"/>
      <c r="AF979" s="84"/>
      <c r="AG979" s="62"/>
      <c r="AH979" s="63"/>
    </row>
    <row r="980" spans="1:34" ht="16.5" thickTop="1" thickBot="1">
      <c r="A980" s="41"/>
      <c r="B980" s="42"/>
      <c r="C980" s="43"/>
      <c r="D980" s="44"/>
      <c r="E980" s="45"/>
      <c r="F980" s="46"/>
      <c r="G980" s="45"/>
      <c r="H980" s="45"/>
      <c r="I980" s="47"/>
      <c r="J980" s="48"/>
      <c r="K980" s="48"/>
      <c r="L980" s="49"/>
      <c r="M980" s="49"/>
      <c r="N980" s="50"/>
      <c r="O980" s="51"/>
      <c r="P980" s="52"/>
      <c r="Q980" s="53"/>
      <c r="R980" s="77"/>
      <c r="S980" s="78"/>
      <c r="T980" s="56"/>
      <c r="U980" s="80"/>
      <c r="V980" s="56"/>
      <c r="W980" s="56"/>
      <c r="X980" s="80"/>
      <c r="Y980" s="57"/>
      <c r="Z980" s="58"/>
      <c r="AA980" s="82"/>
      <c r="AB980" s="83"/>
      <c r="AC980" s="83"/>
      <c r="AD980" s="77"/>
      <c r="AE980" s="84"/>
      <c r="AF980" s="84"/>
      <c r="AG980" s="62"/>
      <c r="AH980" s="63"/>
    </row>
    <row r="981" spans="1:34" ht="16.5" thickTop="1" thickBot="1">
      <c r="A981" s="41"/>
      <c r="B981" s="42"/>
      <c r="C981" s="43"/>
      <c r="D981" s="44"/>
      <c r="E981" s="45"/>
      <c r="F981" s="46"/>
      <c r="G981" s="45"/>
      <c r="H981" s="45"/>
      <c r="I981" s="47"/>
      <c r="J981" s="48"/>
      <c r="K981" s="48"/>
      <c r="L981" s="49"/>
      <c r="M981" s="49"/>
      <c r="N981" s="50"/>
      <c r="O981" s="51"/>
      <c r="P981" s="52"/>
      <c r="Q981" s="53"/>
      <c r="R981" s="77"/>
      <c r="S981" s="78"/>
      <c r="T981" s="56"/>
      <c r="U981" s="80"/>
      <c r="V981" s="56"/>
      <c r="W981" s="56"/>
      <c r="X981" s="80"/>
      <c r="Y981" s="57"/>
      <c r="Z981" s="58"/>
      <c r="AA981" s="82"/>
      <c r="AB981" s="83"/>
      <c r="AC981" s="83"/>
      <c r="AD981" s="77"/>
      <c r="AE981" s="84"/>
      <c r="AF981" s="84"/>
      <c r="AG981" s="62"/>
      <c r="AH981" s="63"/>
    </row>
    <row r="982" spans="1:34" ht="16.5" thickTop="1" thickBot="1">
      <c r="A982" s="41"/>
      <c r="B982" s="42"/>
      <c r="C982" s="43"/>
      <c r="D982" s="44"/>
      <c r="E982" s="45"/>
      <c r="F982" s="46"/>
      <c r="G982" s="45"/>
      <c r="H982" s="45"/>
      <c r="I982" s="47"/>
      <c r="J982" s="48"/>
      <c r="K982" s="48"/>
      <c r="L982" s="49"/>
      <c r="M982" s="49"/>
      <c r="N982" s="50"/>
      <c r="O982" s="51"/>
      <c r="P982" s="52"/>
      <c r="Q982" s="53"/>
      <c r="R982" s="77"/>
      <c r="S982" s="78"/>
      <c r="T982" s="56"/>
      <c r="U982" s="80"/>
      <c r="V982" s="56"/>
      <c r="W982" s="56"/>
      <c r="X982" s="80"/>
      <c r="Y982" s="57"/>
      <c r="Z982" s="58"/>
      <c r="AA982" s="82"/>
      <c r="AB982" s="83"/>
      <c r="AC982" s="83"/>
      <c r="AD982" s="77"/>
      <c r="AE982" s="84"/>
      <c r="AF982" s="84"/>
      <c r="AG982" s="62"/>
      <c r="AH982" s="63"/>
    </row>
    <row r="983" spans="1:34" ht="16.5" thickTop="1" thickBot="1">
      <c r="A983" s="41"/>
      <c r="B983" s="42"/>
      <c r="C983" s="43"/>
      <c r="D983" s="44"/>
      <c r="E983" s="45"/>
      <c r="F983" s="46"/>
      <c r="G983" s="45"/>
      <c r="H983" s="45"/>
      <c r="I983" s="47"/>
      <c r="J983" s="48"/>
      <c r="K983" s="48"/>
      <c r="L983" s="49"/>
      <c r="M983" s="49"/>
      <c r="N983" s="50"/>
      <c r="O983" s="51"/>
      <c r="P983" s="52"/>
      <c r="Q983" s="53"/>
      <c r="R983" s="77"/>
      <c r="S983" s="78"/>
      <c r="T983" s="56"/>
      <c r="U983" s="80"/>
      <c r="V983" s="56"/>
      <c r="W983" s="56"/>
      <c r="X983" s="80"/>
      <c r="Y983" s="57"/>
      <c r="Z983" s="58"/>
      <c r="AA983" s="82"/>
      <c r="AB983" s="83"/>
      <c r="AC983" s="83"/>
      <c r="AD983" s="77"/>
      <c r="AE983" s="84"/>
      <c r="AF983" s="84"/>
      <c r="AG983" s="62"/>
      <c r="AH983" s="63"/>
    </row>
    <row r="984" spans="1:34" ht="16.5" thickTop="1" thickBot="1">
      <c r="A984" s="41"/>
      <c r="B984" s="42"/>
      <c r="C984" s="43"/>
      <c r="D984" s="44"/>
      <c r="E984" s="45"/>
      <c r="F984" s="46"/>
      <c r="G984" s="45"/>
      <c r="H984" s="45"/>
      <c r="I984" s="47"/>
      <c r="J984" s="48"/>
      <c r="K984" s="48"/>
      <c r="L984" s="49"/>
      <c r="M984" s="49"/>
      <c r="N984" s="50"/>
      <c r="O984" s="51"/>
      <c r="P984" s="52"/>
      <c r="Q984" s="53"/>
      <c r="R984" s="77"/>
      <c r="S984" s="78"/>
      <c r="T984" s="56"/>
      <c r="U984" s="80"/>
      <c r="V984" s="56"/>
      <c r="W984" s="56"/>
      <c r="X984" s="80"/>
      <c r="Y984" s="57"/>
      <c r="Z984" s="58"/>
      <c r="AA984" s="82"/>
      <c r="AB984" s="83"/>
      <c r="AC984" s="83"/>
      <c r="AD984" s="77"/>
      <c r="AE984" s="84"/>
      <c r="AF984" s="84"/>
      <c r="AG984" s="62"/>
      <c r="AH984" s="63"/>
    </row>
    <row r="985" spans="1:34" ht="16.5" thickTop="1" thickBot="1">
      <c r="A985" s="41"/>
      <c r="B985" s="42"/>
      <c r="C985" s="43"/>
      <c r="D985" s="44"/>
      <c r="E985" s="45"/>
      <c r="F985" s="46"/>
      <c r="G985" s="45"/>
      <c r="H985" s="45"/>
      <c r="I985" s="47"/>
      <c r="J985" s="48"/>
      <c r="K985" s="48"/>
      <c r="L985" s="49"/>
      <c r="M985" s="49"/>
      <c r="N985" s="50"/>
      <c r="O985" s="51"/>
      <c r="P985" s="52"/>
      <c r="Q985" s="53"/>
      <c r="R985" s="77"/>
      <c r="S985" s="78"/>
      <c r="T985" s="56"/>
      <c r="U985" s="80"/>
      <c r="V985" s="56"/>
      <c r="W985" s="56"/>
      <c r="X985" s="80"/>
      <c r="Y985" s="57"/>
      <c r="Z985" s="58"/>
      <c r="AA985" s="82"/>
      <c r="AB985" s="83"/>
      <c r="AC985" s="83"/>
      <c r="AD985" s="77"/>
      <c r="AE985" s="84"/>
      <c r="AF985" s="84"/>
      <c r="AG985" s="62"/>
      <c r="AH985" s="63"/>
    </row>
    <row r="986" spans="1:34" ht="16.5" thickTop="1" thickBot="1">
      <c r="A986" s="41"/>
      <c r="B986" s="42"/>
      <c r="C986" s="43"/>
      <c r="D986" s="44"/>
      <c r="E986" s="45"/>
      <c r="F986" s="46"/>
      <c r="G986" s="45"/>
      <c r="H986" s="45"/>
      <c r="I986" s="47"/>
      <c r="J986" s="48"/>
      <c r="K986" s="48"/>
      <c r="L986" s="49"/>
      <c r="M986" s="49"/>
      <c r="N986" s="50"/>
      <c r="O986" s="51"/>
      <c r="P986" s="52"/>
      <c r="Q986" s="53"/>
      <c r="R986" s="77"/>
      <c r="S986" s="78"/>
      <c r="T986" s="56"/>
      <c r="U986" s="80"/>
      <c r="V986" s="56"/>
      <c r="W986" s="56"/>
      <c r="X986" s="80"/>
      <c r="Y986" s="57"/>
      <c r="Z986" s="58"/>
      <c r="AA986" s="82"/>
      <c r="AB986" s="83"/>
      <c r="AC986" s="83"/>
      <c r="AD986" s="77"/>
      <c r="AE986" s="84"/>
      <c r="AF986" s="84"/>
      <c r="AG986" s="62"/>
      <c r="AH986" s="63"/>
    </row>
    <row r="987" spans="1:34" ht="16.5" thickTop="1" thickBot="1">
      <c r="A987" s="41"/>
      <c r="B987" s="42"/>
      <c r="C987" s="43"/>
      <c r="D987" s="44"/>
      <c r="E987" s="45"/>
      <c r="F987" s="46"/>
      <c r="G987" s="45"/>
      <c r="H987" s="45"/>
      <c r="I987" s="47"/>
      <c r="J987" s="48"/>
      <c r="K987" s="48"/>
      <c r="L987" s="49"/>
      <c r="M987" s="49"/>
      <c r="N987" s="50"/>
      <c r="O987" s="51"/>
      <c r="P987" s="52"/>
      <c r="Q987" s="53"/>
      <c r="R987" s="77"/>
      <c r="S987" s="78"/>
      <c r="T987" s="56"/>
      <c r="U987" s="80"/>
      <c r="V987" s="56"/>
      <c r="W987" s="56"/>
      <c r="X987" s="80"/>
      <c r="Y987" s="57"/>
      <c r="Z987" s="58"/>
      <c r="AA987" s="82"/>
      <c r="AB987" s="83"/>
      <c r="AC987" s="83"/>
      <c r="AD987" s="77"/>
      <c r="AE987" s="84"/>
      <c r="AF987" s="84"/>
      <c r="AG987" s="62"/>
      <c r="AH987" s="63"/>
    </row>
    <row r="988" spans="1:34" ht="16.5" thickTop="1" thickBot="1">
      <c r="A988" s="41"/>
      <c r="B988" s="42"/>
      <c r="C988" s="43"/>
      <c r="D988" s="44"/>
      <c r="E988" s="45"/>
      <c r="F988" s="46"/>
      <c r="G988" s="45"/>
      <c r="H988" s="45"/>
      <c r="I988" s="47"/>
      <c r="J988" s="48"/>
      <c r="K988" s="48"/>
      <c r="L988" s="49"/>
      <c r="M988" s="49"/>
      <c r="N988" s="50"/>
      <c r="O988" s="51"/>
      <c r="P988" s="52"/>
      <c r="Q988" s="53"/>
      <c r="R988" s="77"/>
      <c r="S988" s="78"/>
      <c r="T988" s="56"/>
      <c r="U988" s="80"/>
      <c r="V988" s="56"/>
      <c r="W988" s="56"/>
      <c r="X988" s="80"/>
      <c r="Y988" s="57"/>
      <c r="Z988" s="58"/>
      <c r="AA988" s="82"/>
      <c r="AB988" s="83"/>
      <c r="AC988" s="83"/>
      <c r="AD988" s="77"/>
      <c r="AE988" s="84"/>
      <c r="AF988" s="84"/>
      <c r="AG988" s="62"/>
      <c r="AH988" s="63"/>
    </row>
    <row r="989" spans="1:34" ht="16.5" thickTop="1" thickBot="1">
      <c r="A989" s="41"/>
      <c r="B989" s="42"/>
      <c r="C989" s="43"/>
      <c r="D989" s="44"/>
      <c r="E989" s="45"/>
      <c r="F989" s="46"/>
      <c r="G989" s="45"/>
      <c r="H989" s="45"/>
      <c r="I989" s="47"/>
      <c r="J989" s="48"/>
      <c r="K989" s="48"/>
      <c r="L989" s="49"/>
      <c r="M989" s="49"/>
      <c r="N989" s="50"/>
      <c r="O989" s="51"/>
      <c r="P989" s="52"/>
      <c r="Q989" s="53"/>
      <c r="R989" s="77"/>
      <c r="S989" s="78"/>
      <c r="T989" s="56"/>
      <c r="U989" s="80"/>
      <c r="V989" s="56"/>
      <c r="W989" s="56"/>
      <c r="X989" s="80"/>
      <c r="Y989" s="57"/>
      <c r="Z989" s="58"/>
      <c r="AA989" s="82"/>
      <c r="AB989" s="83"/>
      <c r="AC989" s="83"/>
      <c r="AD989" s="77"/>
      <c r="AE989" s="84"/>
      <c r="AF989" s="84"/>
      <c r="AG989" s="62"/>
      <c r="AH989" s="63"/>
    </row>
    <row r="990" spans="1:34" ht="16.5" thickTop="1" thickBot="1">
      <c r="A990" s="41"/>
      <c r="B990" s="42"/>
      <c r="C990" s="43"/>
      <c r="D990" s="44"/>
      <c r="E990" s="45"/>
      <c r="F990" s="46"/>
      <c r="G990" s="45"/>
      <c r="H990" s="45"/>
      <c r="I990" s="47"/>
      <c r="J990" s="48"/>
      <c r="K990" s="48"/>
      <c r="L990" s="49"/>
      <c r="M990" s="49"/>
      <c r="N990" s="50"/>
      <c r="O990" s="51"/>
      <c r="P990" s="52"/>
      <c r="Q990" s="53"/>
      <c r="R990" s="77"/>
      <c r="S990" s="78"/>
      <c r="T990" s="56"/>
      <c r="U990" s="80"/>
      <c r="V990" s="56"/>
      <c r="W990" s="56"/>
      <c r="X990" s="80"/>
      <c r="Y990" s="57"/>
      <c r="Z990" s="58"/>
      <c r="AA990" s="82"/>
      <c r="AB990" s="83"/>
      <c r="AC990" s="83"/>
      <c r="AD990" s="77"/>
      <c r="AE990" s="84"/>
      <c r="AF990" s="84"/>
      <c r="AG990" s="62"/>
      <c r="AH990" s="63"/>
    </row>
    <row r="991" spans="1:34" ht="16.5" thickTop="1" thickBot="1">
      <c r="A991" s="41"/>
      <c r="B991" s="42"/>
      <c r="C991" s="43"/>
      <c r="D991" s="44"/>
      <c r="E991" s="45"/>
      <c r="F991" s="46"/>
      <c r="G991" s="45"/>
      <c r="H991" s="45"/>
      <c r="I991" s="47"/>
      <c r="J991" s="48"/>
      <c r="K991" s="48"/>
      <c r="L991" s="49"/>
      <c r="M991" s="49"/>
      <c r="N991" s="50"/>
      <c r="O991" s="51"/>
      <c r="P991" s="52"/>
      <c r="Q991" s="53"/>
      <c r="R991" s="77"/>
      <c r="S991" s="78"/>
      <c r="T991" s="56"/>
      <c r="U991" s="80"/>
      <c r="V991" s="56"/>
      <c r="W991" s="56"/>
      <c r="X991" s="80"/>
      <c r="Y991" s="57"/>
      <c r="Z991" s="58"/>
      <c r="AA991" s="82"/>
      <c r="AB991" s="83"/>
      <c r="AC991" s="83"/>
      <c r="AD991" s="77"/>
      <c r="AE991" s="84"/>
      <c r="AF991" s="84"/>
      <c r="AG991" s="62"/>
      <c r="AH991" s="63"/>
    </row>
    <row r="992" spans="1:34" ht="16.5" thickTop="1" thickBot="1">
      <c r="A992" s="41"/>
      <c r="B992" s="42"/>
      <c r="C992" s="43"/>
      <c r="D992" s="44"/>
      <c r="E992" s="45"/>
      <c r="F992" s="46"/>
      <c r="G992" s="45"/>
      <c r="H992" s="45"/>
      <c r="I992" s="47"/>
      <c r="J992" s="48"/>
      <c r="K992" s="48"/>
      <c r="L992" s="49"/>
      <c r="M992" s="49"/>
      <c r="N992" s="50"/>
      <c r="O992" s="51"/>
      <c r="P992" s="52"/>
      <c r="Q992" s="53"/>
      <c r="R992" s="77"/>
      <c r="S992" s="78"/>
      <c r="T992" s="56"/>
      <c r="U992" s="80"/>
      <c r="V992" s="56"/>
      <c r="W992" s="56"/>
      <c r="X992" s="80"/>
      <c r="Y992" s="57"/>
      <c r="Z992" s="58"/>
      <c r="AA992" s="82"/>
      <c r="AB992" s="83"/>
      <c r="AC992" s="83"/>
      <c r="AD992" s="77"/>
      <c r="AE992" s="84"/>
      <c r="AF992" s="84"/>
      <c r="AG992" s="62"/>
      <c r="AH992" s="63"/>
    </row>
    <row r="993" spans="1:34" ht="16.5" thickTop="1" thickBot="1">
      <c r="A993" s="41"/>
      <c r="B993" s="42"/>
      <c r="C993" s="43"/>
      <c r="D993" s="44"/>
      <c r="E993" s="45"/>
      <c r="F993" s="46"/>
      <c r="G993" s="45"/>
      <c r="H993" s="45"/>
      <c r="I993" s="47"/>
      <c r="J993" s="48"/>
      <c r="K993" s="48"/>
      <c r="L993" s="49"/>
      <c r="M993" s="49"/>
      <c r="N993" s="50"/>
      <c r="O993" s="51"/>
      <c r="P993" s="52"/>
      <c r="Q993" s="53"/>
      <c r="R993" s="77"/>
      <c r="S993" s="78"/>
      <c r="T993" s="56"/>
      <c r="U993" s="80"/>
      <c r="V993" s="56"/>
      <c r="W993" s="56"/>
      <c r="X993" s="80"/>
      <c r="Y993" s="57"/>
      <c r="Z993" s="58"/>
      <c r="AA993" s="82"/>
      <c r="AB993" s="83"/>
      <c r="AC993" s="83"/>
      <c r="AD993" s="77"/>
      <c r="AE993" s="84"/>
      <c r="AF993" s="84"/>
      <c r="AG993" s="62"/>
      <c r="AH993" s="63"/>
    </row>
    <row r="994" spans="1:34" ht="16.5" thickTop="1" thickBot="1">
      <c r="A994" s="41"/>
      <c r="B994" s="42"/>
      <c r="C994" s="43"/>
      <c r="D994" s="44"/>
      <c r="E994" s="45"/>
      <c r="F994" s="46"/>
      <c r="G994" s="45"/>
      <c r="H994" s="45"/>
      <c r="I994" s="47"/>
      <c r="J994" s="48"/>
      <c r="K994" s="48"/>
      <c r="L994" s="49"/>
      <c r="M994" s="49"/>
      <c r="N994" s="50"/>
      <c r="O994" s="51"/>
      <c r="P994" s="52"/>
      <c r="Q994" s="53"/>
      <c r="R994" s="54"/>
      <c r="S994" s="55"/>
      <c r="T994" s="56"/>
      <c r="U994" s="57"/>
      <c r="V994" s="56"/>
      <c r="W994" s="56"/>
      <c r="X994" s="57"/>
      <c r="Y994" s="57"/>
      <c r="Z994" s="58"/>
      <c r="AA994" s="59"/>
      <c r="AB994" s="60"/>
      <c r="AC994" s="60"/>
      <c r="AD994" s="54"/>
      <c r="AE994" s="61"/>
      <c r="AF994" s="61"/>
      <c r="AG994" s="62"/>
      <c r="AH994" s="63"/>
    </row>
    <row r="995" spans="1:34" ht="16.5" thickTop="1" thickBot="1">
      <c r="A995" s="41"/>
      <c r="B995" s="42"/>
      <c r="C995" s="43"/>
      <c r="D995" s="44"/>
      <c r="E995" s="45"/>
      <c r="F995" s="46"/>
      <c r="G995" s="45"/>
      <c r="H995" s="45"/>
      <c r="I995" s="47"/>
      <c r="J995" s="48"/>
      <c r="K995" s="48"/>
      <c r="L995" s="49"/>
      <c r="M995" s="49"/>
      <c r="N995" s="50"/>
      <c r="O995" s="51"/>
      <c r="P995" s="52"/>
      <c r="Q995" s="53"/>
      <c r="R995" s="54"/>
      <c r="S995" s="55"/>
      <c r="T995" s="56"/>
      <c r="U995" s="57"/>
      <c r="V995" s="56"/>
      <c r="W995" s="56"/>
      <c r="X995" s="57"/>
      <c r="Y995" s="57"/>
      <c r="Z995" s="58"/>
      <c r="AA995" s="59"/>
      <c r="AB995" s="60"/>
      <c r="AC995" s="60"/>
      <c r="AD995" s="54"/>
      <c r="AE995" s="61"/>
      <c r="AF995" s="61"/>
      <c r="AG995" s="62"/>
      <c r="AH995" s="63"/>
    </row>
    <row r="996" spans="1:34" ht="16.5" thickTop="1" thickBot="1">
      <c r="A996" s="41"/>
      <c r="B996" s="42"/>
      <c r="C996" s="43"/>
      <c r="D996" s="44"/>
      <c r="E996" s="45"/>
      <c r="F996" s="46"/>
      <c r="G996" s="45"/>
      <c r="H996" s="45"/>
      <c r="I996" s="47"/>
      <c r="J996" s="48"/>
      <c r="K996" s="48"/>
      <c r="L996" s="49"/>
      <c r="M996" s="49"/>
      <c r="N996" s="50"/>
      <c r="O996" s="51"/>
      <c r="P996" s="52"/>
      <c r="Q996" s="53"/>
      <c r="R996" s="54"/>
      <c r="S996" s="55"/>
      <c r="T996" s="56"/>
      <c r="U996" s="57"/>
      <c r="V996" s="56"/>
      <c r="W996" s="56"/>
      <c r="X996" s="93"/>
      <c r="Y996" s="57"/>
      <c r="Z996" s="58"/>
      <c r="AA996" s="59"/>
      <c r="AB996" s="60"/>
      <c r="AC996" s="60"/>
      <c r="AD996" s="54"/>
      <c r="AE996" s="61"/>
      <c r="AF996" s="61"/>
      <c r="AG996" s="62"/>
      <c r="AH996" s="63"/>
    </row>
    <row r="997" spans="1:34" ht="16.5" thickTop="1" thickBot="1">
      <c r="A997" s="41"/>
      <c r="B997" s="42"/>
      <c r="C997" s="43"/>
      <c r="D997" s="44"/>
      <c r="E997" s="45"/>
      <c r="F997" s="46"/>
      <c r="G997" s="45"/>
      <c r="H997" s="45"/>
      <c r="I997" s="47"/>
      <c r="J997" s="48"/>
      <c r="K997" s="48"/>
      <c r="L997" s="49"/>
      <c r="M997" s="49"/>
      <c r="N997" s="50"/>
      <c r="O997" s="51"/>
      <c r="P997" s="52"/>
      <c r="Q997" s="53"/>
      <c r="R997" s="54"/>
      <c r="S997" s="55"/>
      <c r="T997" s="56"/>
      <c r="U997" s="57"/>
      <c r="V997" s="56"/>
      <c r="W997" s="56"/>
      <c r="Y997" s="57"/>
      <c r="Z997" s="58"/>
      <c r="AA997" s="59"/>
      <c r="AB997" s="60"/>
      <c r="AC997" s="60"/>
      <c r="AD997" s="54"/>
      <c r="AE997" s="61"/>
      <c r="AF997" s="61"/>
      <c r="AG997" s="62"/>
      <c r="AH997" s="63"/>
    </row>
    <row r="998" spans="1:34" ht="16.5" thickTop="1" thickBot="1">
      <c r="A998" s="41"/>
      <c r="B998" s="42"/>
      <c r="C998" s="43"/>
      <c r="D998" s="44"/>
      <c r="E998" s="45"/>
      <c r="F998" s="46"/>
      <c r="G998" s="45"/>
      <c r="H998" s="45"/>
      <c r="I998" s="47"/>
      <c r="J998" s="48"/>
      <c r="K998" s="48"/>
      <c r="L998" s="49"/>
      <c r="M998" s="49"/>
      <c r="N998" s="50"/>
      <c r="O998" s="51"/>
      <c r="P998" s="52"/>
      <c r="Q998" s="53"/>
      <c r="R998" s="54"/>
      <c r="S998" s="55"/>
      <c r="T998" s="56"/>
      <c r="U998" s="57"/>
      <c r="V998" s="56"/>
      <c r="W998" s="56"/>
      <c r="Y998" s="57"/>
      <c r="Z998" s="58"/>
      <c r="AA998" s="59"/>
      <c r="AB998" s="60"/>
      <c r="AC998" s="60"/>
      <c r="AD998" s="54"/>
      <c r="AE998" s="61"/>
      <c r="AF998" s="61"/>
      <c r="AG998" s="62"/>
      <c r="AH998" s="63"/>
    </row>
    <row r="999" spans="1:34" ht="16.5" thickTop="1" thickBot="1">
      <c r="A999" s="41"/>
      <c r="B999" s="42"/>
      <c r="C999" s="43"/>
      <c r="D999" s="44"/>
      <c r="E999" s="45"/>
      <c r="F999" s="46"/>
      <c r="G999" s="45"/>
      <c r="H999" s="45"/>
      <c r="I999" s="47"/>
      <c r="J999" s="48"/>
      <c r="K999" s="48"/>
      <c r="L999" s="49"/>
      <c r="M999" s="49"/>
      <c r="N999" s="50"/>
      <c r="O999" s="51"/>
      <c r="P999" s="52"/>
      <c r="Q999" s="53"/>
      <c r="R999" s="54"/>
      <c r="S999" s="55"/>
      <c r="T999" s="56"/>
      <c r="U999" s="57"/>
      <c r="V999" s="56"/>
      <c r="W999" s="56"/>
      <c r="X999" s="57"/>
      <c r="Y999" s="57"/>
      <c r="Z999" s="58"/>
      <c r="AA999" s="59"/>
      <c r="AB999" s="60"/>
      <c r="AC999" s="60"/>
      <c r="AD999" s="54"/>
      <c r="AE999" s="61"/>
      <c r="AF999" s="61"/>
      <c r="AG999" s="62"/>
      <c r="AH999" s="63"/>
    </row>
    <row r="1000" spans="1:34" ht="16.5" thickTop="1" thickBot="1">
      <c r="A1000" s="41"/>
      <c r="B1000" s="42"/>
      <c r="C1000" s="43"/>
      <c r="D1000" s="44"/>
      <c r="E1000" s="45"/>
      <c r="F1000" s="46"/>
      <c r="G1000" s="45"/>
      <c r="H1000" s="45"/>
      <c r="I1000" s="47"/>
      <c r="J1000" s="48"/>
      <c r="K1000" s="48"/>
      <c r="L1000" s="49"/>
      <c r="M1000" s="49"/>
      <c r="N1000" s="50"/>
      <c r="O1000" s="51"/>
      <c r="P1000" s="52"/>
      <c r="Q1000" s="53"/>
      <c r="R1000" s="54"/>
      <c r="S1000" s="55"/>
      <c r="T1000" s="56"/>
      <c r="U1000" s="57"/>
      <c r="V1000" s="56"/>
      <c r="W1000" s="56"/>
      <c r="X1000" s="57"/>
      <c r="Y1000" s="57"/>
      <c r="Z1000" s="58"/>
      <c r="AA1000" s="59"/>
      <c r="AB1000" s="60"/>
      <c r="AC1000" s="60"/>
      <c r="AD1000" s="54"/>
      <c r="AE1000" s="61"/>
      <c r="AF1000" s="61"/>
      <c r="AG1000" s="62"/>
      <c r="AH1000" s="63"/>
    </row>
    <row r="1001" spans="1:34" ht="16.5" thickTop="1" thickBot="1">
      <c r="A1001" s="41"/>
      <c r="B1001" s="42"/>
      <c r="C1001" s="43"/>
      <c r="D1001" s="44"/>
      <c r="E1001" s="45"/>
      <c r="F1001" s="46"/>
      <c r="G1001" s="45"/>
      <c r="H1001" s="45"/>
      <c r="I1001" s="47"/>
      <c r="J1001" s="48"/>
      <c r="K1001" s="48"/>
      <c r="L1001" s="49"/>
      <c r="M1001" s="49"/>
      <c r="N1001" s="50"/>
      <c r="O1001" s="51"/>
      <c r="P1001" s="52"/>
      <c r="Q1001" s="53"/>
      <c r="R1001" s="54"/>
      <c r="S1001" s="55"/>
      <c r="T1001" s="56"/>
      <c r="U1001" s="57"/>
      <c r="V1001" s="56"/>
      <c r="W1001" s="56"/>
      <c r="X1001" s="57"/>
      <c r="Y1001" s="57"/>
      <c r="Z1001" s="58"/>
      <c r="AA1001" s="59"/>
      <c r="AB1001" s="60"/>
      <c r="AC1001" s="60"/>
      <c r="AD1001" s="54"/>
      <c r="AE1001" s="61"/>
      <c r="AF1001" s="61"/>
      <c r="AG1001" s="62"/>
      <c r="AH1001" s="63"/>
    </row>
    <row r="1002" spans="1:34" ht="16.5" thickTop="1" thickBot="1">
      <c r="A1002" s="41"/>
      <c r="B1002" s="42"/>
      <c r="C1002" s="43"/>
      <c r="D1002" s="44"/>
      <c r="E1002" s="45"/>
      <c r="F1002" s="46"/>
      <c r="G1002" s="45"/>
      <c r="H1002" s="45"/>
      <c r="I1002" s="47"/>
      <c r="J1002" s="48"/>
      <c r="K1002" s="48"/>
      <c r="L1002" s="49"/>
      <c r="M1002" s="49"/>
      <c r="N1002" s="50"/>
      <c r="O1002" s="51"/>
      <c r="P1002" s="52"/>
      <c r="Q1002" s="53"/>
      <c r="R1002" s="54"/>
      <c r="S1002" s="55"/>
      <c r="T1002" s="56"/>
      <c r="U1002" s="57"/>
      <c r="V1002" s="56"/>
      <c r="W1002" s="56"/>
      <c r="Y1002" s="57"/>
      <c r="Z1002" s="58"/>
      <c r="AA1002" s="59"/>
      <c r="AB1002" s="60"/>
      <c r="AC1002" s="60"/>
      <c r="AD1002" s="54"/>
      <c r="AE1002" s="61"/>
      <c r="AF1002" s="61"/>
      <c r="AG1002" s="62"/>
      <c r="AH1002" s="63"/>
    </row>
    <row r="1003" spans="1:34" ht="16.5" thickTop="1" thickBot="1">
      <c r="A1003" s="41"/>
      <c r="B1003" s="42"/>
      <c r="C1003" s="43"/>
      <c r="D1003" s="44"/>
      <c r="E1003" s="45"/>
      <c r="F1003" s="46"/>
      <c r="G1003" s="45"/>
      <c r="H1003" s="45"/>
      <c r="I1003" s="47"/>
      <c r="J1003" s="48"/>
      <c r="K1003" s="48"/>
      <c r="L1003" s="49"/>
      <c r="M1003" s="49"/>
      <c r="N1003" s="50"/>
      <c r="O1003" s="51"/>
      <c r="P1003" s="52"/>
      <c r="Q1003" s="53"/>
      <c r="R1003" s="54"/>
      <c r="S1003" s="55"/>
      <c r="T1003" s="56"/>
      <c r="U1003" s="57"/>
      <c r="V1003" s="56"/>
      <c r="W1003" s="56"/>
      <c r="X1003" s="57"/>
      <c r="Y1003" s="57"/>
      <c r="Z1003" s="58"/>
      <c r="AA1003" s="59"/>
      <c r="AB1003" s="60"/>
      <c r="AC1003" s="60"/>
      <c r="AD1003" s="54"/>
      <c r="AE1003" s="61"/>
      <c r="AF1003" s="61"/>
      <c r="AG1003" s="62"/>
      <c r="AH1003" s="63"/>
    </row>
    <row r="1004" spans="1:34" ht="16.5" thickTop="1" thickBot="1">
      <c r="A1004" s="41"/>
      <c r="B1004" s="42"/>
      <c r="C1004" s="43"/>
      <c r="D1004" s="44"/>
      <c r="E1004" s="45"/>
      <c r="F1004" s="46"/>
      <c r="G1004" s="45"/>
      <c r="H1004" s="45"/>
      <c r="I1004" s="47"/>
      <c r="J1004" s="48"/>
      <c r="K1004" s="48"/>
      <c r="L1004" s="49"/>
      <c r="M1004" s="49"/>
      <c r="N1004" s="50"/>
      <c r="O1004" s="51"/>
      <c r="P1004" s="52"/>
      <c r="Q1004" s="53"/>
      <c r="R1004" s="77"/>
      <c r="S1004" s="78"/>
      <c r="T1004" s="56"/>
      <c r="U1004" s="80"/>
      <c r="V1004" s="56"/>
      <c r="W1004" s="56"/>
      <c r="Y1004" s="57"/>
      <c r="Z1004" s="58"/>
      <c r="AA1004" s="82"/>
      <c r="AB1004" s="83"/>
      <c r="AC1004" s="83"/>
      <c r="AD1004" s="77"/>
      <c r="AE1004" s="84"/>
      <c r="AF1004" s="84"/>
      <c r="AG1004" s="62"/>
      <c r="AH1004" s="63"/>
    </row>
    <row r="1005" spans="1:34" ht="16.5" thickTop="1" thickBot="1">
      <c r="A1005" s="41"/>
      <c r="B1005" s="42"/>
      <c r="C1005" s="43"/>
      <c r="D1005" s="44"/>
      <c r="E1005" s="45"/>
      <c r="F1005" s="46"/>
      <c r="G1005" s="45"/>
      <c r="H1005" s="45"/>
      <c r="I1005" s="47"/>
      <c r="J1005" s="48"/>
      <c r="K1005" s="48"/>
      <c r="L1005" s="49"/>
      <c r="M1005" s="49"/>
      <c r="N1005" s="50"/>
      <c r="O1005" s="51"/>
      <c r="P1005" s="52"/>
      <c r="Q1005" s="53"/>
      <c r="R1005" s="77"/>
      <c r="S1005" s="78"/>
      <c r="T1005" s="56"/>
      <c r="U1005" s="80"/>
      <c r="V1005" s="56"/>
      <c r="W1005" s="56"/>
      <c r="Y1005" s="57"/>
      <c r="Z1005" s="58"/>
      <c r="AA1005" s="82"/>
      <c r="AB1005" s="83"/>
      <c r="AC1005" s="83"/>
      <c r="AD1005" s="77"/>
      <c r="AE1005" s="84"/>
      <c r="AF1005" s="84"/>
      <c r="AG1005" s="62"/>
      <c r="AH1005" s="63"/>
    </row>
    <row r="1006" spans="1:34" ht="16.5" thickTop="1" thickBot="1">
      <c r="A1006" s="41"/>
      <c r="B1006" s="42"/>
      <c r="C1006" s="43"/>
      <c r="D1006" s="44"/>
      <c r="E1006" s="45"/>
      <c r="F1006" s="46"/>
      <c r="G1006" s="45"/>
      <c r="H1006" s="45"/>
      <c r="I1006" s="47"/>
      <c r="J1006" s="48"/>
      <c r="K1006" s="48"/>
      <c r="L1006" s="49"/>
      <c r="M1006" s="49"/>
      <c r="N1006" s="50"/>
      <c r="O1006" s="51"/>
      <c r="P1006" s="52"/>
      <c r="Q1006" s="53"/>
      <c r="R1006" s="77"/>
      <c r="S1006" s="78"/>
      <c r="T1006" s="56"/>
      <c r="U1006" s="80"/>
      <c r="V1006" s="56"/>
      <c r="W1006" s="56"/>
      <c r="Y1006" s="57"/>
      <c r="Z1006" s="58"/>
      <c r="AA1006" s="82"/>
      <c r="AB1006" s="83"/>
      <c r="AC1006" s="83"/>
      <c r="AD1006" s="77"/>
      <c r="AE1006" s="84"/>
      <c r="AF1006" s="84"/>
      <c r="AG1006" s="62"/>
      <c r="AH1006" s="63"/>
    </row>
    <row r="1007" spans="1:34" ht="16.5" thickTop="1" thickBot="1">
      <c r="A1007" s="41"/>
      <c r="B1007" s="42"/>
      <c r="C1007" s="43"/>
      <c r="D1007" s="44"/>
      <c r="E1007" s="45"/>
      <c r="F1007" s="46"/>
      <c r="G1007" s="45"/>
      <c r="H1007" s="45"/>
      <c r="I1007" s="47"/>
      <c r="J1007" s="48"/>
      <c r="K1007" s="48"/>
      <c r="L1007" s="49"/>
      <c r="M1007" s="49"/>
      <c r="N1007" s="50"/>
      <c r="O1007" s="51"/>
      <c r="P1007" s="52"/>
      <c r="Q1007" s="53"/>
      <c r="R1007" s="77"/>
      <c r="S1007" s="78"/>
      <c r="T1007" s="56"/>
      <c r="U1007" s="80"/>
      <c r="V1007" s="56"/>
      <c r="W1007" s="56"/>
      <c r="Y1007" s="57"/>
      <c r="Z1007" s="58"/>
      <c r="AA1007" s="82"/>
      <c r="AB1007" s="83"/>
      <c r="AC1007" s="83"/>
      <c r="AD1007" s="77"/>
      <c r="AE1007" s="84"/>
      <c r="AF1007" s="84"/>
      <c r="AG1007" s="62"/>
      <c r="AH1007" s="63"/>
    </row>
    <row r="1008" spans="1:34" ht="16.5" thickTop="1" thickBot="1">
      <c r="A1008" s="41"/>
      <c r="B1008" s="42"/>
      <c r="C1008" s="43"/>
      <c r="D1008" s="44"/>
      <c r="E1008" s="45"/>
      <c r="F1008" s="46"/>
      <c r="G1008" s="45"/>
      <c r="H1008" s="45"/>
      <c r="I1008" s="47"/>
      <c r="J1008" s="48"/>
      <c r="K1008" s="48"/>
      <c r="L1008" s="49"/>
      <c r="M1008" s="49"/>
      <c r="N1008" s="50"/>
      <c r="O1008" s="51"/>
      <c r="P1008" s="52"/>
      <c r="Q1008" s="53"/>
      <c r="R1008" s="77"/>
      <c r="S1008" s="78"/>
      <c r="T1008" s="56"/>
      <c r="U1008" s="80"/>
      <c r="V1008" s="56"/>
      <c r="W1008" s="56"/>
      <c r="Y1008" s="57"/>
      <c r="Z1008" s="58"/>
      <c r="AA1008" s="82"/>
      <c r="AB1008" s="83"/>
      <c r="AC1008" s="83"/>
      <c r="AD1008" s="77"/>
      <c r="AE1008" s="84"/>
      <c r="AF1008" s="84"/>
      <c r="AG1008" s="62"/>
      <c r="AH1008" s="63"/>
    </row>
    <row r="1009" spans="1:34" ht="16.5" thickTop="1" thickBot="1">
      <c r="A1009" s="41"/>
      <c r="B1009" s="42"/>
      <c r="C1009" s="43"/>
      <c r="D1009" s="44"/>
      <c r="E1009" s="45"/>
      <c r="F1009" s="46"/>
      <c r="G1009" s="45"/>
      <c r="H1009" s="45"/>
      <c r="I1009" s="47"/>
      <c r="J1009" s="48"/>
      <c r="K1009" s="48"/>
      <c r="L1009" s="49"/>
      <c r="M1009" s="49"/>
      <c r="N1009" s="50"/>
      <c r="O1009" s="51"/>
      <c r="P1009" s="52"/>
      <c r="Q1009" s="53"/>
      <c r="R1009" s="77"/>
      <c r="S1009" s="78"/>
      <c r="T1009" s="56"/>
      <c r="U1009" s="80"/>
      <c r="V1009" s="56"/>
      <c r="W1009" s="56"/>
      <c r="Y1009" s="57"/>
      <c r="Z1009" s="58"/>
      <c r="AA1009" s="82"/>
      <c r="AB1009" s="83"/>
      <c r="AC1009" s="83"/>
      <c r="AD1009" s="77"/>
      <c r="AE1009" s="84"/>
      <c r="AF1009" s="84"/>
      <c r="AG1009" s="62"/>
      <c r="AH1009" s="63"/>
    </row>
    <row r="1010" spans="1:34" ht="16.5" thickTop="1" thickBot="1">
      <c r="A1010" s="41"/>
      <c r="B1010" s="42"/>
      <c r="C1010" s="43"/>
      <c r="D1010" s="44"/>
      <c r="E1010" s="45"/>
      <c r="F1010" s="46"/>
      <c r="G1010" s="45"/>
      <c r="H1010" s="45"/>
      <c r="I1010" s="47"/>
      <c r="J1010" s="48"/>
      <c r="K1010" s="48"/>
      <c r="L1010" s="49"/>
      <c r="M1010" s="49"/>
      <c r="N1010" s="50"/>
      <c r="O1010" s="51"/>
      <c r="P1010" s="52"/>
      <c r="Q1010" s="53"/>
      <c r="R1010" s="77"/>
      <c r="S1010" s="78"/>
      <c r="T1010" s="56"/>
      <c r="U1010" s="80"/>
      <c r="V1010" s="56"/>
      <c r="W1010" s="56"/>
      <c r="Y1010" s="57"/>
      <c r="Z1010" s="58"/>
      <c r="AA1010" s="82"/>
      <c r="AB1010" s="83"/>
      <c r="AC1010" s="83"/>
      <c r="AD1010" s="77"/>
      <c r="AE1010" s="84"/>
      <c r="AF1010" s="84"/>
      <c r="AG1010" s="62"/>
      <c r="AH1010" s="63"/>
    </row>
    <row r="1011" spans="1:34" ht="16.5" thickTop="1" thickBot="1">
      <c r="A1011" s="41"/>
      <c r="B1011" s="42"/>
      <c r="C1011" s="43"/>
      <c r="D1011" s="44"/>
      <c r="E1011" s="45"/>
      <c r="F1011" s="46"/>
      <c r="G1011" s="45"/>
      <c r="H1011" s="45"/>
      <c r="I1011" s="47"/>
      <c r="J1011" s="48"/>
      <c r="K1011" s="48"/>
      <c r="L1011" s="49"/>
      <c r="M1011" s="49"/>
      <c r="N1011" s="50"/>
      <c r="O1011" s="51"/>
      <c r="P1011" s="52"/>
      <c r="Q1011" s="53"/>
      <c r="R1011" s="77"/>
      <c r="S1011" s="78"/>
      <c r="T1011" s="56"/>
      <c r="U1011" s="80"/>
      <c r="V1011" s="56"/>
      <c r="W1011" s="56"/>
      <c r="Y1011" s="57"/>
      <c r="Z1011" s="58"/>
      <c r="AA1011" s="82"/>
      <c r="AB1011" s="83"/>
      <c r="AC1011" s="83"/>
      <c r="AD1011" s="77"/>
      <c r="AE1011" s="84"/>
      <c r="AF1011" s="84"/>
      <c r="AG1011" s="62"/>
      <c r="AH1011" s="63"/>
    </row>
    <row r="1012" spans="1:34" ht="16.5" thickTop="1" thickBot="1">
      <c r="A1012" s="41"/>
      <c r="B1012" s="42"/>
      <c r="C1012" s="43"/>
      <c r="D1012" s="44"/>
      <c r="E1012" s="45"/>
      <c r="F1012" s="46"/>
      <c r="G1012" s="45"/>
      <c r="H1012" s="45"/>
      <c r="I1012" s="47"/>
      <c r="J1012" s="48"/>
      <c r="K1012" s="48"/>
      <c r="L1012" s="49"/>
      <c r="M1012" s="49"/>
      <c r="N1012" s="50"/>
      <c r="O1012" s="51"/>
      <c r="P1012" s="52"/>
      <c r="Q1012" s="53"/>
      <c r="R1012" s="77"/>
      <c r="S1012" s="78"/>
      <c r="T1012" s="56"/>
      <c r="U1012" s="80"/>
      <c r="V1012" s="56"/>
      <c r="W1012" s="56"/>
      <c r="Y1012" s="57"/>
      <c r="Z1012" s="58"/>
      <c r="AA1012" s="82"/>
      <c r="AB1012" s="83"/>
      <c r="AC1012" s="83"/>
      <c r="AD1012" s="77"/>
      <c r="AE1012" s="84"/>
      <c r="AF1012" s="84"/>
      <c r="AG1012" s="62"/>
      <c r="AH1012" s="63"/>
    </row>
    <row r="1013" spans="1:34" ht="16.5" thickTop="1" thickBot="1">
      <c r="A1013" s="41"/>
      <c r="B1013" s="42"/>
      <c r="C1013" s="43"/>
      <c r="D1013" s="44"/>
      <c r="E1013" s="45"/>
      <c r="F1013" s="46"/>
      <c r="G1013" s="45"/>
      <c r="H1013" s="45"/>
      <c r="I1013" s="47"/>
      <c r="J1013" s="48"/>
      <c r="K1013" s="48"/>
      <c r="L1013" s="49"/>
      <c r="M1013" s="49"/>
      <c r="N1013" s="50"/>
      <c r="O1013" s="51"/>
      <c r="P1013" s="52"/>
      <c r="Q1013" s="53"/>
      <c r="R1013" s="77"/>
      <c r="S1013" s="78"/>
      <c r="T1013" s="56"/>
      <c r="U1013" s="80"/>
      <c r="V1013" s="56"/>
      <c r="W1013" s="56"/>
      <c r="Y1013" s="57"/>
      <c r="Z1013" s="58"/>
      <c r="AA1013" s="82"/>
      <c r="AB1013" s="83"/>
      <c r="AC1013" s="83"/>
      <c r="AD1013" s="77"/>
      <c r="AE1013" s="84"/>
      <c r="AF1013" s="84"/>
      <c r="AG1013" s="62"/>
      <c r="AH1013" s="63"/>
    </row>
    <row r="1014" spans="1:34" ht="16.5" thickTop="1" thickBot="1">
      <c r="A1014" s="41"/>
      <c r="B1014" s="42"/>
      <c r="C1014" s="43"/>
      <c r="D1014" s="44"/>
      <c r="E1014" s="45"/>
      <c r="F1014" s="46"/>
      <c r="G1014" s="45"/>
      <c r="H1014" s="45"/>
      <c r="I1014" s="47"/>
      <c r="J1014" s="48"/>
      <c r="K1014" s="48"/>
      <c r="L1014" s="49"/>
      <c r="M1014" s="49"/>
      <c r="N1014" s="50"/>
      <c r="O1014" s="51"/>
      <c r="P1014" s="52"/>
      <c r="Q1014" s="53"/>
      <c r="R1014" s="77"/>
      <c r="S1014" s="78"/>
      <c r="T1014" s="56"/>
      <c r="U1014" s="80"/>
      <c r="V1014" s="56"/>
      <c r="W1014" s="56"/>
      <c r="Y1014" s="57"/>
      <c r="Z1014" s="58"/>
      <c r="AA1014" s="82"/>
      <c r="AB1014" s="83"/>
      <c r="AC1014" s="83"/>
      <c r="AD1014" s="77"/>
      <c r="AE1014" s="84"/>
      <c r="AF1014" s="84"/>
      <c r="AG1014" s="62"/>
      <c r="AH1014" s="63"/>
    </row>
    <row r="1015" spans="1:34" ht="16.5" thickTop="1" thickBot="1">
      <c r="A1015" s="41"/>
      <c r="B1015" s="42"/>
      <c r="C1015" s="43"/>
      <c r="D1015" s="44"/>
      <c r="E1015" s="45"/>
      <c r="F1015" s="46"/>
      <c r="G1015" s="45"/>
      <c r="H1015" s="45"/>
      <c r="I1015" s="47"/>
      <c r="J1015" s="48"/>
      <c r="K1015" s="48"/>
      <c r="L1015" s="49"/>
      <c r="M1015" s="49"/>
      <c r="N1015" s="50"/>
      <c r="O1015" s="51"/>
      <c r="P1015" s="52"/>
      <c r="Q1015" s="53"/>
      <c r="R1015" s="77"/>
      <c r="S1015" s="78"/>
      <c r="T1015" s="56"/>
      <c r="U1015" s="80"/>
      <c r="V1015" s="56"/>
      <c r="W1015" s="56"/>
      <c r="Y1015" s="57"/>
      <c r="Z1015" s="58"/>
      <c r="AA1015" s="82"/>
      <c r="AB1015" s="83"/>
      <c r="AC1015" s="83"/>
      <c r="AD1015" s="77"/>
      <c r="AE1015" s="84"/>
      <c r="AF1015" s="84"/>
      <c r="AG1015" s="62"/>
      <c r="AH1015" s="63"/>
    </row>
    <row r="1016" spans="1:34" ht="16.5" thickTop="1" thickBot="1">
      <c r="A1016" s="41"/>
      <c r="B1016" s="42"/>
      <c r="C1016" s="43"/>
      <c r="D1016" s="44"/>
      <c r="E1016" s="45"/>
      <c r="F1016" s="46"/>
      <c r="G1016" s="45"/>
      <c r="H1016" s="45"/>
      <c r="I1016" s="47"/>
      <c r="J1016" s="48"/>
      <c r="K1016" s="48"/>
      <c r="L1016" s="49"/>
      <c r="M1016" s="49"/>
      <c r="N1016" s="50"/>
      <c r="O1016" s="51"/>
      <c r="P1016" s="52"/>
      <c r="Q1016" s="53"/>
      <c r="R1016" s="77"/>
      <c r="S1016" s="78"/>
      <c r="T1016" s="56"/>
      <c r="U1016" s="80"/>
      <c r="V1016" s="56"/>
      <c r="W1016" s="56"/>
      <c r="Y1016" s="57"/>
      <c r="Z1016" s="58"/>
      <c r="AA1016" s="82"/>
      <c r="AB1016" s="83"/>
      <c r="AC1016" s="83"/>
      <c r="AD1016" s="77"/>
      <c r="AE1016" s="84"/>
      <c r="AF1016" s="84"/>
      <c r="AG1016" s="62"/>
      <c r="AH1016" s="63"/>
    </row>
    <row r="1017" spans="1:34" ht="16.5" thickTop="1" thickBot="1">
      <c r="A1017" s="41"/>
      <c r="B1017" s="42"/>
      <c r="C1017" s="43"/>
      <c r="D1017" s="44"/>
      <c r="E1017" s="45"/>
      <c r="F1017" s="46"/>
      <c r="G1017" s="45"/>
      <c r="H1017" s="45"/>
      <c r="I1017" s="47"/>
      <c r="J1017" s="48"/>
      <c r="K1017" s="48"/>
      <c r="L1017" s="49"/>
      <c r="M1017" s="49"/>
      <c r="N1017" s="50"/>
      <c r="O1017" s="51"/>
      <c r="P1017" s="52"/>
      <c r="Q1017" s="53"/>
      <c r="R1017" s="77"/>
      <c r="S1017" s="78"/>
      <c r="T1017" s="56"/>
      <c r="U1017" s="80"/>
      <c r="V1017" s="56"/>
      <c r="W1017" s="56"/>
      <c r="Y1017" s="57"/>
      <c r="Z1017" s="58"/>
      <c r="AA1017" s="82"/>
      <c r="AB1017" s="83"/>
      <c r="AC1017" s="83"/>
      <c r="AD1017" s="77"/>
      <c r="AE1017" s="84"/>
      <c r="AF1017" s="84"/>
      <c r="AG1017" s="62"/>
      <c r="AH1017" s="63"/>
    </row>
    <row r="1018" spans="1:34" ht="16.5" thickTop="1" thickBot="1">
      <c r="A1018" s="41"/>
      <c r="B1018" s="42"/>
      <c r="C1018" s="43"/>
      <c r="D1018" s="44"/>
      <c r="E1018" s="45"/>
      <c r="F1018" s="46"/>
      <c r="G1018" s="45"/>
      <c r="H1018" s="45"/>
      <c r="I1018" s="47"/>
      <c r="J1018" s="48"/>
      <c r="K1018" s="48"/>
      <c r="L1018" s="49"/>
      <c r="M1018" s="49"/>
      <c r="N1018" s="50"/>
      <c r="O1018" s="51"/>
      <c r="P1018" s="52"/>
      <c r="Q1018" s="53"/>
      <c r="R1018" s="77"/>
      <c r="S1018" s="78"/>
      <c r="T1018" s="56"/>
      <c r="U1018" s="80"/>
      <c r="V1018" s="56"/>
      <c r="W1018" s="56"/>
      <c r="Y1018" s="57"/>
      <c r="Z1018" s="58"/>
      <c r="AA1018" s="82"/>
      <c r="AB1018" s="83"/>
      <c r="AC1018" s="83"/>
      <c r="AD1018" s="77"/>
      <c r="AE1018" s="84"/>
      <c r="AF1018" s="84"/>
      <c r="AG1018" s="62"/>
      <c r="AH1018" s="63"/>
    </row>
    <row r="1019" spans="1:34" ht="16.5" thickTop="1" thickBot="1">
      <c r="A1019" s="41"/>
      <c r="B1019" s="42"/>
      <c r="C1019" s="43"/>
      <c r="D1019" s="44"/>
      <c r="E1019" s="45"/>
      <c r="F1019" s="46"/>
      <c r="G1019" s="45"/>
      <c r="H1019" s="45"/>
      <c r="I1019" s="47"/>
      <c r="J1019" s="48"/>
      <c r="K1019" s="48"/>
      <c r="L1019" s="49"/>
      <c r="M1019" s="49"/>
      <c r="N1019" s="50"/>
      <c r="O1019" s="51"/>
      <c r="P1019" s="52"/>
      <c r="Q1019" s="53"/>
      <c r="R1019" s="54"/>
      <c r="S1019" s="55"/>
      <c r="T1019" s="56"/>
      <c r="U1019" s="57"/>
      <c r="V1019" s="56"/>
      <c r="W1019" s="56"/>
      <c r="X1019" s="57"/>
      <c r="Y1019" s="57"/>
      <c r="Z1019" s="58"/>
      <c r="AA1019" s="59"/>
      <c r="AB1019" s="60"/>
      <c r="AC1019" s="60"/>
      <c r="AD1019" s="54"/>
      <c r="AE1019" s="61"/>
      <c r="AF1019" s="61"/>
      <c r="AG1019" s="62"/>
      <c r="AH1019" s="63"/>
    </row>
    <row r="1020" spans="1:34" ht="16.5" thickTop="1" thickBot="1">
      <c r="A1020" s="41"/>
      <c r="B1020" s="42"/>
      <c r="C1020" s="43"/>
      <c r="D1020" s="44"/>
      <c r="E1020" s="45"/>
      <c r="F1020" s="46"/>
      <c r="G1020" s="45"/>
      <c r="H1020" s="45"/>
      <c r="I1020" s="47"/>
      <c r="J1020" s="48"/>
      <c r="K1020" s="48"/>
      <c r="L1020" s="49"/>
      <c r="M1020" s="49"/>
      <c r="N1020" s="50"/>
      <c r="O1020" s="51"/>
      <c r="P1020" s="52"/>
      <c r="Q1020" s="53"/>
      <c r="R1020" s="77"/>
      <c r="S1020" s="78"/>
      <c r="T1020" s="56"/>
      <c r="U1020" s="80"/>
      <c r="V1020" s="56"/>
      <c r="W1020" s="56"/>
      <c r="X1020" s="80"/>
      <c r="Y1020" s="57"/>
      <c r="Z1020" s="58"/>
      <c r="AA1020" s="82"/>
      <c r="AB1020" s="83"/>
      <c r="AC1020" s="83"/>
      <c r="AD1020" s="77"/>
      <c r="AE1020" s="84"/>
      <c r="AF1020" s="84"/>
      <c r="AG1020" s="62"/>
      <c r="AH1020" s="63"/>
    </row>
    <row r="1021" spans="1:34" ht="16.5" thickTop="1" thickBot="1">
      <c r="A1021" s="41"/>
      <c r="B1021" s="42"/>
      <c r="C1021" s="43"/>
      <c r="D1021" s="44"/>
      <c r="E1021" s="45"/>
      <c r="F1021" s="46"/>
      <c r="G1021" s="45"/>
      <c r="H1021" s="45"/>
      <c r="I1021" s="47"/>
      <c r="J1021" s="48"/>
      <c r="K1021" s="48"/>
      <c r="L1021" s="49"/>
      <c r="M1021" s="49"/>
      <c r="N1021" s="50"/>
      <c r="O1021" s="51"/>
      <c r="P1021" s="52"/>
      <c r="Q1021" s="53"/>
      <c r="R1021" s="77"/>
      <c r="S1021" s="78"/>
      <c r="T1021" s="56"/>
      <c r="U1021" s="80"/>
      <c r="V1021" s="56"/>
      <c r="W1021" s="56"/>
      <c r="X1021" s="80"/>
      <c r="Y1021" s="57"/>
      <c r="Z1021" s="58"/>
      <c r="AA1021" s="82"/>
      <c r="AB1021" s="83"/>
      <c r="AC1021" s="83"/>
      <c r="AD1021" s="77"/>
      <c r="AE1021" s="84"/>
      <c r="AF1021" s="84"/>
      <c r="AG1021" s="62"/>
      <c r="AH1021" s="63"/>
    </row>
    <row r="1022" spans="1:34" ht="16.5" thickTop="1" thickBot="1">
      <c r="A1022" s="41"/>
      <c r="B1022" s="42"/>
      <c r="C1022" s="43"/>
      <c r="D1022" s="44"/>
      <c r="E1022" s="45"/>
      <c r="F1022" s="46"/>
      <c r="G1022" s="45"/>
      <c r="H1022" s="45"/>
      <c r="I1022" s="47"/>
      <c r="J1022" s="48"/>
      <c r="K1022" s="48"/>
      <c r="L1022" s="49"/>
      <c r="M1022" s="49"/>
      <c r="N1022" s="50"/>
      <c r="O1022" s="51"/>
      <c r="P1022" s="52"/>
      <c r="Q1022" s="53"/>
      <c r="R1022" s="77"/>
      <c r="S1022" s="78"/>
      <c r="T1022" s="56"/>
      <c r="U1022" s="80"/>
      <c r="V1022" s="56"/>
      <c r="W1022" s="56"/>
      <c r="X1022" s="80"/>
      <c r="Y1022" s="57"/>
      <c r="Z1022" s="58"/>
      <c r="AA1022" s="82"/>
      <c r="AB1022" s="83"/>
      <c r="AC1022" s="83"/>
      <c r="AD1022" s="77"/>
      <c r="AE1022" s="84"/>
      <c r="AF1022" s="84"/>
      <c r="AG1022" s="62"/>
      <c r="AH1022" s="63"/>
    </row>
    <row r="1023" spans="1:34" ht="16.5" thickTop="1" thickBot="1">
      <c r="A1023" s="41"/>
      <c r="B1023" s="42"/>
      <c r="C1023" s="43"/>
      <c r="D1023" s="44"/>
      <c r="E1023" s="45"/>
      <c r="F1023" s="46"/>
      <c r="G1023" s="45"/>
      <c r="H1023" s="45"/>
      <c r="I1023" s="47"/>
      <c r="J1023" s="48"/>
      <c r="K1023" s="48"/>
      <c r="L1023" s="49"/>
      <c r="M1023" s="49"/>
      <c r="N1023" s="50"/>
      <c r="O1023" s="51"/>
      <c r="P1023" s="52"/>
      <c r="Q1023" s="53"/>
      <c r="R1023" s="77"/>
      <c r="S1023" s="78"/>
      <c r="T1023" s="56"/>
      <c r="U1023" s="80"/>
      <c r="V1023" s="56"/>
      <c r="W1023" s="56"/>
      <c r="X1023" s="80"/>
      <c r="Y1023" s="57"/>
      <c r="Z1023" s="58"/>
      <c r="AA1023" s="82"/>
      <c r="AB1023" s="83"/>
      <c r="AC1023" s="83"/>
      <c r="AD1023" s="77"/>
      <c r="AE1023" s="84"/>
      <c r="AF1023" s="84"/>
      <c r="AG1023" s="62"/>
      <c r="AH1023" s="63"/>
    </row>
    <row r="1024" spans="1:34" ht="16.5" thickTop="1" thickBot="1">
      <c r="A1024" s="41"/>
      <c r="B1024" s="42"/>
      <c r="C1024" s="43"/>
      <c r="D1024" s="44"/>
      <c r="E1024" s="45"/>
      <c r="F1024" s="46"/>
      <c r="G1024" s="45"/>
      <c r="H1024" s="45"/>
      <c r="I1024" s="47"/>
      <c r="J1024" s="48"/>
      <c r="K1024" s="48"/>
      <c r="L1024" s="49"/>
      <c r="M1024" s="49"/>
      <c r="N1024" s="50"/>
      <c r="O1024" s="51"/>
      <c r="P1024" s="52"/>
      <c r="Q1024" s="53"/>
      <c r="R1024" s="77"/>
      <c r="S1024" s="78"/>
      <c r="T1024" s="56"/>
      <c r="U1024" s="80"/>
      <c r="V1024" s="56"/>
      <c r="W1024" s="56"/>
      <c r="X1024" s="80"/>
      <c r="Y1024" s="57"/>
      <c r="Z1024" s="58"/>
      <c r="AA1024" s="82"/>
      <c r="AB1024" s="83"/>
      <c r="AC1024" s="83"/>
      <c r="AD1024" s="77"/>
      <c r="AE1024" s="84"/>
      <c r="AF1024" s="84"/>
      <c r="AG1024" s="62"/>
      <c r="AH1024" s="63"/>
    </row>
    <row r="1025" spans="1:34" ht="16.5" thickTop="1" thickBot="1">
      <c r="A1025" s="41"/>
      <c r="B1025" s="42"/>
      <c r="C1025" s="43"/>
      <c r="D1025" s="44"/>
      <c r="E1025" s="45"/>
      <c r="F1025" s="46"/>
      <c r="G1025" s="45"/>
      <c r="H1025" s="45"/>
      <c r="I1025" s="47"/>
      <c r="J1025" s="48"/>
      <c r="K1025" s="48"/>
      <c r="L1025" s="49"/>
      <c r="M1025" s="49"/>
      <c r="N1025" s="50"/>
      <c r="O1025" s="51"/>
      <c r="P1025" s="52"/>
      <c r="Q1025" s="53"/>
      <c r="R1025" s="77"/>
      <c r="S1025" s="78"/>
      <c r="T1025" s="56"/>
      <c r="U1025" s="80"/>
      <c r="V1025" s="56"/>
      <c r="W1025" s="56"/>
      <c r="X1025" s="80"/>
      <c r="Y1025" s="57"/>
      <c r="Z1025" s="58"/>
      <c r="AA1025" s="82"/>
      <c r="AB1025" s="83"/>
      <c r="AC1025" s="83"/>
      <c r="AD1025" s="77"/>
      <c r="AE1025" s="84"/>
      <c r="AF1025" s="84"/>
      <c r="AG1025" s="62"/>
      <c r="AH1025" s="63"/>
    </row>
    <row r="1026" spans="1:34" ht="16.5" thickTop="1" thickBot="1">
      <c r="A1026" s="41"/>
      <c r="B1026" s="42"/>
      <c r="C1026" s="43"/>
      <c r="D1026" s="44"/>
      <c r="E1026" s="45"/>
      <c r="F1026" s="46"/>
      <c r="G1026" s="45"/>
      <c r="H1026" s="45"/>
      <c r="I1026" s="47"/>
      <c r="J1026" s="48"/>
      <c r="K1026" s="48"/>
      <c r="L1026" s="49"/>
      <c r="M1026" s="49"/>
      <c r="N1026" s="50"/>
      <c r="O1026" s="51"/>
      <c r="P1026" s="52"/>
      <c r="Q1026" s="53"/>
      <c r="R1026" s="77"/>
      <c r="S1026" s="78"/>
      <c r="T1026" s="56"/>
      <c r="U1026" s="80"/>
      <c r="V1026" s="56"/>
      <c r="W1026" s="56"/>
      <c r="X1026" s="80"/>
      <c r="Y1026" s="57"/>
      <c r="Z1026" s="58"/>
      <c r="AA1026" s="82"/>
      <c r="AB1026" s="83"/>
      <c r="AC1026" s="83"/>
      <c r="AD1026" s="77"/>
      <c r="AE1026" s="84"/>
      <c r="AF1026" s="84"/>
      <c r="AG1026" s="62"/>
      <c r="AH1026" s="63"/>
    </row>
    <row r="1027" spans="1:34" ht="16.5" thickTop="1" thickBot="1">
      <c r="A1027" s="41"/>
      <c r="B1027" s="42"/>
      <c r="C1027" s="43"/>
      <c r="D1027" s="44"/>
      <c r="E1027" s="45"/>
      <c r="F1027" s="46"/>
      <c r="G1027" s="45"/>
      <c r="H1027" s="45"/>
      <c r="I1027" s="47"/>
      <c r="J1027" s="48"/>
      <c r="K1027" s="48"/>
      <c r="L1027" s="49"/>
      <c r="M1027" s="49"/>
      <c r="N1027" s="50"/>
      <c r="O1027" s="51"/>
      <c r="P1027" s="52"/>
      <c r="Q1027" s="53"/>
      <c r="R1027" s="77"/>
      <c r="S1027" s="78"/>
      <c r="T1027" s="56"/>
      <c r="U1027" s="80"/>
      <c r="V1027" s="56"/>
      <c r="W1027" s="56"/>
      <c r="X1027" s="80"/>
      <c r="Y1027" s="57"/>
      <c r="Z1027" s="58"/>
      <c r="AA1027" s="82"/>
      <c r="AB1027" s="83"/>
      <c r="AC1027" s="83"/>
      <c r="AD1027" s="77"/>
      <c r="AE1027" s="84"/>
      <c r="AF1027" s="84"/>
      <c r="AG1027" s="62"/>
      <c r="AH1027" s="63"/>
    </row>
    <row r="1028" spans="1:34" ht="16.5" thickTop="1" thickBot="1">
      <c r="A1028" s="41"/>
      <c r="B1028" s="42"/>
      <c r="C1028" s="43"/>
      <c r="D1028" s="44"/>
      <c r="E1028" s="45"/>
      <c r="F1028" s="46"/>
      <c r="G1028" s="45"/>
      <c r="H1028" s="45"/>
      <c r="I1028" s="47"/>
      <c r="J1028" s="48"/>
      <c r="K1028" s="48"/>
      <c r="L1028" s="49"/>
      <c r="M1028" s="49"/>
      <c r="N1028" s="50"/>
      <c r="O1028" s="51"/>
      <c r="P1028" s="52"/>
      <c r="Q1028" s="53"/>
      <c r="R1028" s="77"/>
      <c r="S1028" s="78"/>
      <c r="T1028" s="56"/>
      <c r="U1028" s="80"/>
      <c r="V1028" s="56"/>
      <c r="W1028" s="56"/>
      <c r="X1028" s="80"/>
      <c r="Y1028" s="57"/>
      <c r="Z1028" s="58"/>
      <c r="AA1028" s="82"/>
      <c r="AB1028" s="83"/>
      <c r="AC1028" s="83"/>
      <c r="AD1028" s="77"/>
      <c r="AE1028" s="84"/>
      <c r="AF1028" s="84"/>
      <c r="AG1028" s="62"/>
      <c r="AH1028" s="63"/>
    </row>
    <row r="1029" spans="1:34" ht="16.5" thickTop="1" thickBot="1">
      <c r="A1029" s="41"/>
      <c r="B1029" s="42"/>
      <c r="C1029" s="43"/>
      <c r="D1029" s="44"/>
      <c r="E1029" s="45"/>
      <c r="F1029" s="46"/>
      <c r="G1029" s="45"/>
      <c r="H1029" s="45"/>
      <c r="I1029" s="47"/>
      <c r="J1029" s="48"/>
      <c r="K1029" s="48"/>
      <c r="L1029" s="49"/>
      <c r="M1029" s="49"/>
      <c r="N1029" s="50"/>
      <c r="O1029" s="51"/>
      <c r="P1029" s="52"/>
      <c r="Q1029" s="53"/>
      <c r="R1029" s="77"/>
      <c r="S1029" s="78"/>
      <c r="T1029" s="56"/>
      <c r="U1029" s="80"/>
      <c r="V1029" s="56"/>
      <c r="W1029" s="56"/>
      <c r="X1029" s="80"/>
      <c r="Y1029" s="57"/>
      <c r="Z1029" s="58"/>
      <c r="AA1029" s="82"/>
      <c r="AB1029" s="83"/>
      <c r="AC1029" s="83"/>
      <c r="AD1029" s="77"/>
      <c r="AE1029" s="84"/>
      <c r="AF1029" s="84"/>
      <c r="AG1029" s="62"/>
      <c r="AH1029" s="63"/>
    </row>
    <row r="1030" spans="1:34" ht="16.5" thickTop="1" thickBot="1">
      <c r="A1030" s="41"/>
      <c r="B1030" s="42"/>
      <c r="C1030" s="43"/>
      <c r="D1030" s="44"/>
      <c r="E1030" s="45"/>
      <c r="F1030" s="46"/>
      <c r="G1030" s="45"/>
      <c r="H1030" s="45"/>
      <c r="I1030" s="47"/>
      <c r="J1030" s="48"/>
      <c r="K1030" s="48"/>
      <c r="L1030" s="49"/>
      <c r="M1030" s="49"/>
      <c r="N1030" s="50"/>
      <c r="O1030" s="51"/>
      <c r="P1030" s="52"/>
      <c r="Q1030" s="53"/>
      <c r="R1030" s="77"/>
      <c r="S1030" s="78"/>
      <c r="T1030" s="56"/>
      <c r="U1030" s="80"/>
      <c r="V1030" s="56"/>
      <c r="W1030" s="56"/>
      <c r="X1030" s="80"/>
      <c r="Y1030" s="57"/>
      <c r="Z1030" s="58"/>
      <c r="AA1030" s="82"/>
      <c r="AB1030" s="83"/>
      <c r="AC1030" s="83"/>
      <c r="AD1030" s="77"/>
      <c r="AE1030" s="84"/>
      <c r="AF1030" s="84"/>
      <c r="AG1030" s="62"/>
      <c r="AH1030" s="63"/>
    </row>
    <row r="1031" spans="1:34" ht="16.5" thickTop="1" thickBot="1">
      <c r="A1031" s="41"/>
      <c r="B1031" s="42"/>
      <c r="C1031" s="43"/>
      <c r="D1031" s="44"/>
      <c r="E1031" s="45"/>
      <c r="F1031" s="46"/>
      <c r="G1031" s="45"/>
      <c r="H1031" s="45"/>
      <c r="I1031" s="47"/>
      <c r="J1031" s="48"/>
      <c r="K1031" s="48"/>
      <c r="L1031" s="49"/>
      <c r="M1031" s="49"/>
      <c r="N1031" s="50"/>
      <c r="O1031" s="51"/>
      <c r="P1031" s="52"/>
      <c r="Q1031" s="53"/>
      <c r="R1031" s="77"/>
      <c r="S1031" s="78"/>
      <c r="T1031" s="56"/>
      <c r="U1031" s="80"/>
      <c r="V1031" s="56"/>
      <c r="W1031" s="56"/>
      <c r="X1031" s="80"/>
      <c r="Y1031" s="57"/>
      <c r="Z1031" s="58"/>
      <c r="AA1031" s="82"/>
      <c r="AB1031" s="83"/>
      <c r="AC1031" s="83"/>
      <c r="AD1031" s="77"/>
      <c r="AE1031" s="84"/>
      <c r="AF1031" s="84"/>
      <c r="AG1031" s="62"/>
      <c r="AH1031" s="63"/>
    </row>
    <row r="1032" spans="1:34" ht="16.5" thickTop="1" thickBot="1">
      <c r="A1032" s="41"/>
      <c r="B1032" s="42"/>
      <c r="C1032" s="43"/>
      <c r="D1032" s="44"/>
      <c r="E1032" s="45"/>
      <c r="F1032" s="46"/>
      <c r="G1032" s="45"/>
      <c r="H1032" s="45"/>
      <c r="I1032" s="47"/>
      <c r="J1032" s="48"/>
      <c r="K1032" s="48"/>
      <c r="L1032" s="49"/>
      <c r="M1032" s="49"/>
      <c r="N1032" s="50"/>
      <c r="O1032" s="51"/>
      <c r="P1032" s="52"/>
      <c r="Q1032" s="53"/>
      <c r="R1032" s="77"/>
      <c r="S1032" s="78"/>
      <c r="T1032" s="56"/>
      <c r="U1032" s="80"/>
      <c r="V1032" s="56"/>
      <c r="W1032" s="56"/>
      <c r="X1032" s="80"/>
      <c r="Y1032" s="57"/>
      <c r="Z1032" s="58"/>
      <c r="AA1032" s="82"/>
      <c r="AB1032" s="83"/>
      <c r="AC1032" s="83"/>
      <c r="AD1032" s="77"/>
      <c r="AE1032" s="84"/>
      <c r="AF1032" s="84"/>
      <c r="AG1032" s="62"/>
      <c r="AH1032" s="63"/>
    </row>
    <row r="1033" spans="1:34" ht="16.5" thickTop="1" thickBot="1">
      <c r="A1033" s="41"/>
      <c r="B1033" s="42"/>
      <c r="C1033" s="43"/>
      <c r="D1033" s="44"/>
      <c r="E1033" s="45"/>
      <c r="F1033" s="46"/>
      <c r="G1033" s="45"/>
      <c r="H1033" s="45"/>
      <c r="I1033" s="47"/>
      <c r="J1033" s="48"/>
      <c r="K1033" s="48"/>
      <c r="L1033" s="49"/>
      <c r="M1033" s="49"/>
      <c r="N1033" s="50"/>
      <c r="O1033" s="51"/>
      <c r="P1033" s="52"/>
      <c r="Q1033" s="53"/>
      <c r="R1033" s="77"/>
      <c r="S1033" s="78"/>
      <c r="T1033" s="56"/>
      <c r="U1033" s="80"/>
      <c r="V1033" s="56"/>
      <c r="W1033" s="56"/>
      <c r="X1033" s="80"/>
      <c r="Y1033" s="57"/>
      <c r="Z1033" s="58"/>
      <c r="AA1033" s="82"/>
      <c r="AB1033" s="83"/>
      <c r="AC1033" s="83"/>
      <c r="AD1033" s="77"/>
      <c r="AE1033" s="84"/>
      <c r="AF1033" s="84"/>
      <c r="AG1033" s="62"/>
      <c r="AH1033" s="63"/>
    </row>
    <row r="1034" spans="1:34" ht="16.5" thickTop="1" thickBot="1">
      <c r="A1034" s="41"/>
      <c r="B1034" s="42"/>
      <c r="C1034" s="43"/>
      <c r="D1034" s="44"/>
      <c r="E1034" s="45"/>
      <c r="F1034" s="46"/>
      <c r="G1034" s="45"/>
      <c r="H1034" s="45"/>
      <c r="I1034" s="47"/>
      <c r="J1034" s="48"/>
      <c r="K1034" s="48"/>
      <c r="L1034" s="49"/>
      <c r="M1034" s="49"/>
      <c r="N1034" s="50"/>
      <c r="O1034" s="51"/>
      <c r="P1034" s="52"/>
      <c r="Q1034" s="53"/>
      <c r="R1034" s="77"/>
      <c r="S1034" s="78"/>
      <c r="T1034" s="56"/>
      <c r="U1034" s="80"/>
      <c r="V1034" s="56"/>
      <c r="W1034" s="56"/>
      <c r="X1034" s="80"/>
      <c r="Y1034" s="57"/>
      <c r="Z1034" s="58"/>
      <c r="AA1034" s="82"/>
      <c r="AB1034" s="83"/>
      <c r="AC1034" s="83"/>
      <c r="AD1034" s="77"/>
      <c r="AE1034" s="84"/>
      <c r="AF1034" s="84"/>
      <c r="AG1034" s="62"/>
      <c r="AH1034" s="63"/>
    </row>
    <row r="1035" spans="1:34" ht="16.5" thickTop="1" thickBot="1">
      <c r="A1035" s="41"/>
      <c r="B1035" s="42"/>
      <c r="C1035" s="43"/>
      <c r="D1035" s="44"/>
      <c r="E1035" s="45"/>
      <c r="F1035" s="46"/>
      <c r="G1035" s="45"/>
      <c r="H1035" s="45"/>
      <c r="I1035" s="47"/>
      <c r="J1035" s="48"/>
      <c r="K1035" s="48"/>
      <c r="L1035" s="49"/>
      <c r="M1035" s="49"/>
      <c r="N1035" s="50"/>
      <c r="O1035" s="51"/>
      <c r="P1035" s="52"/>
      <c r="Q1035" s="53"/>
      <c r="R1035" s="77"/>
      <c r="S1035" s="78"/>
      <c r="T1035" s="56"/>
      <c r="U1035" s="80"/>
      <c r="V1035" s="56"/>
      <c r="W1035" s="56"/>
      <c r="X1035" s="80"/>
      <c r="Y1035" s="57"/>
      <c r="Z1035" s="58"/>
      <c r="AA1035" s="82"/>
      <c r="AB1035" s="83"/>
      <c r="AC1035" s="83"/>
      <c r="AD1035" s="77"/>
      <c r="AE1035" s="84"/>
      <c r="AF1035" s="84"/>
      <c r="AG1035" s="62"/>
      <c r="AH1035" s="63"/>
    </row>
    <row r="1036" spans="1:34" ht="16.5" thickTop="1" thickBot="1">
      <c r="A1036" s="41"/>
      <c r="B1036" s="42"/>
      <c r="C1036" s="43"/>
      <c r="D1036" s="44"/>
      <c r="E1036" s="45"/>
      <c r="F1036" s="46"/>
      <c r="G1036" s="45"/>
      <c r="H1036" s="45"/>
      <c r="I1036" s="47"/>
      <c r="J1036" s="48"/>
      <c r="K1036" s="48"/>
      <c r="L1036" s="49"/>
      <c r="M1036" s="49"/>
      <c r="N1036" s="50"/>
      <c r="O1036" s="51"/>
      <c r="P1036" s="52"/>
      <c r="Q1036" s="53"/>
      <c r="R1036" s="77"/>
      <c r="S1036" s="78"/>
      <c r="T1036" s="56"/>
      <c r="U1036" s="80"/>
      <c r="V1036" s="56"/>
      <c r="W1036" s="56"/>
      <c r="X1036" s="80"/>
      <c r="Y1036" s="57"/>
      <c r="Z1036" s="58"/>
      <c r="AA1036" s="82"/>
      <c r="AB1036" s="83"/>
      <c r="AC1036" s="83"/>
      <c r="AD1036" s="77"/>
      <c r="AE1036" s="84"/>
      <c r="AF1036" s="84"/>
      <c r="AG1036" s="62"/>
      <c r="AH1036" s="63"/>
    </row>
    <row r="1037" spans="1:34" ht="16.5" thickTop="1" thickBot="1">
      <c r="A1037" s="41"/>
      <c r="B1037" s="42"/>
      <c r="C1037" s="43"/>
      <c r="D1037" s="44"/>
      <c r="E1037" s="45"/>
      <c r="F1037" s="46"/>
      <c r="G1037" s="45"/>
      <c r="H1037" s="45"/>
      <c r="I1037" s="47"/>
      <c r="J1037" s="48"/>
      <c r="K1037" s="48"/>
      <c r="L1037" s="49"/>
      <c r="M1037" s="49"/>
      <c r="N1037" s="50"/>
      <c r="O1037" s="51"/>
      <c r="P1037" s="52"/>
      <c r="Q1037" s="53"/>
      <c r="R1037" s="77"/>
      <c r="S1037" s="78"/>
      <c r="T1037" s="56"/>
      <c r="U1037" s="80"/>
      <c r="V1037" s="56"/>
      <c r="W1037" s="56"/>
      <c r="X1037" s="80"/>
      <c r="Y1037" s="57"/>
      <c r="Z1037" s="58"/>
      <c r="AA1037" s="82"/>
      <c r="AB1037" s="83"/>
      <c r="AC1037" s="83"/>
      <c r="AD1037" s="77"/>
      <c r="AE1037" s="84"/>
      <c r="AF1037" s="84"/>
      <c r="AG1037" s="62"/>
      <c r="AH1037" s="63"/>
    </row>
    <row r="1038" spans="1:34" ht="16.5" thickTop="1" thickBot="1">
      <c r="A1038" s="41"/>
      <c r="B1038" s="42"/>
      <c r="C1038" s="43"/>
      <c r="D1038" s="44"/>
      <c r="E1038" s="45"/>
      <c r="F1038" s="46"/>
      <c r="G1038" s="45"/>
      <c r="H1038" s="45"/>
      <c r="I1038" s="47"/>
      <c r="J1038" s="48"/>
      <c r="K1038" s="48"/>
      <c r="L1038" s="49"/>
      <c r="M1038" s="49"/>
      <c r="N1038" s="50"/>
      <c r="O1038" s="51"/>
      <c r="P1038" s="52"/>
      <c r="Q1038" s="53"/>
      <c r="R1038" s="77"/>
      <c r="S1038" s="78"/>
      <c r="T1038" s="56"/>
      <c r="U1038" s="80"/>
      <c r="V1038" s="56"/>
      <c r="W1038" s="56"/>
      <c r="X1038" s="80"/>
      <c r="Y1038" s="57"/>
      <c r="Z1038" s="58"/>
      <c r="AA1038" s="82"/>
      <c r="AB1038" s="83"/>
      <c r="AC1038" s="83"/>
      <c r="AD1038" s="77"/>
      <c r="AE1038" s="84"/>
      <c r="AF1038" s="84"/>
      <c r="AG1038" s="62"/>
      <c r="AH1038" s="63"/>
    </row>
    <row r="1039" spans="1:34" ht="16.5" thickTop="1" thickBot="1">
      <c r="A1039" s="41"/>
      <c r="B1039" s="42"/>
      <c r="C1039" s="43"/>
      <c r="D1039" s="44"/>
      <c r="E1039" s="45"/>
      <c r="F1039" s="46"/>
      <c r="G1039" s="45"/>
      <c r="H1039" s="45"/>
      <c r="I1039" s="47"/>
      <c r="J1039" s="48"/>
      <c r="K1039" s="48"/>
      <c r="L1039" s="49"/>
      <c r="M1039" s="49"/>
      <c r="N1039" s="50"/>
      <c r="O1039" s="51"/>
      <c r="P1039" s="52"/>
      <c r="Q1039" s="53"/>
      <c r="R1039" s="77"/>
      <c r="S1039" s="78"/>
      <c r="T1039" s="56"/>
      <c r="U1039" s="80"/>
      <c r="V1039" s="56"/>
      <c r="W1039" s="56"/>
      <c r="X1039" s="80"/>
      <c r="Y1039" s="57"/>
      <c r="Z1039" s="58"/>
      <c r="AA1039" s="82"/>
      <c r="AB1039" s="83"/>
      <c r="AC1039" s="83"/>
      <c r="AD1039" s="77"/>
      <c r="AE1039" s="84"/>
      <c r="AF1039" s="84"/>
      <c r="AG1039" s="62"/>
      <c r="AH1039" s="63"/>
    </row>
    <row r="1040" spans="1:34" ht="16.5" thickTop="1" thickBot="1">
      <c r="A1040" s="41"/>
      <c r="B1040" s="42"/>
      <c r="C1040" s="43"/>
      <c r="D1040" s="44"/>
      <c r="E1040" s="45"/>
      <c r="F1040" s="46"/>
      <c r="G1040" s="45"/>
      <c r="H1040" s="45"/>
      <c r="I1040" s="47"/>
      <c r="J1040" s="48"/>
      <c r="K1040" s="48"/>
      <c r="L1040" s="49"/>
      <c r="M1040" s="49"/>
      <c r="N1040" s="50"/>
      <c r="O1040" s="51"/>
      <c r="P1040" s="52"/>
      <c r="Q1040" s="53"/>
      <c r="R1040" s="77"/>
      <c r="S1040" s="78"/>
      <c r="T1040" s="56"/>
      <c r="U1040" s="80"/>
      <c r="V1040" s="56"/>
      <c r="W1040" s="56"/>
      <c r="X1040" s="80"/>
      <c r="Y1040" s="57"/>
      <c r="Z1040" s="58"/>
      <c r="AA1040" s="82"/>
      <c r="AB1040" s="83"/>
      <c r="AC1040" s="83"/>
      <c r="AD1040" s="77"/>
      <c r="AE1040" s="84"/>
      <c r="AF1040" s="84"/>
      <c r="AG1040" s="62"/>
      <c r="AH1040" s="63"/>
    </row>
    <row r="1041" spans="1:34" ht="16.5" thickTop="1" thickBot="1">
      <c r="A1041" s="41"/>
      <c r="B1041" s="42"/>
      <c r="C1041" s="43"/>
      <c r="D1041" s="44"/>
      <c r="E1041" s="45"/>
      <c r="F1041" s="46"/>
      <c r="G1041" s="45"/>
      <c r="H1041" s="45"/>
      <c r="I1041" s="47"/>
      <c r="J1041" s="48"/>
      <c r="K1041" s="48"/>
      <c r="L1041" s="49"/>
      <c r="M1041" s="49"/>
      <c r="N1041" s="50"/>
      <c r="O1041" s="51"/>
      <c r="P1041" s="52"/>
      <c r="Q1041" s="53"/>
      <c r="R1041" s="77"/>
      <c r="S1041" s="78"/>
      <c r="T1041" s="56"/>
      <c r="U1041" s="80"/>
      <c r="V1041" s="56"/>
      <c r="W1041" s="56"/>
      <c r="X1041" s="80"/>
      <c r="Y1041" s="57"/>
      <c r="Z1041" s="58"/>
      <c r="AA1041" s="82"/>
      <c r="AB1041" s="83"/>
      <c r="AC1041" s="83"/>
      <c r="AD1041" s="77"/>
      <c r="AE1041" s="84"/>
      <c r="AF1041" s="84"/>
      <c r="AG1041" s="62"/>
      <c r="AH1041" s="63"/>
    </row>
    <row r="1042" spans="1:34" ht="16.5" thickTop="1" thickBot="1">
      <c r="A1042" s="41"/>
      <c r="B1042" s="42"/>
      <c r="C1042" s="43"/>
      <c r="D1042" s="44"/>
      <c r="E1042" s="45"/>
      <c r="F1042" s="46"/>
      <c r="G1042" s="45"/>
      <c r="H1042" s="45"/>
      <c r="I1042" s="47"/>
      <c r="J1042" s="48"/>
      <c r="K1042" s="48"/>
      <c r="L1042" s="49"/>
      <c r="M1042" s="49"/>
      <c r="N1042" s="50"/>
      <c r="O1042" s="51"/>
      <c r="P1042" s="52"/>
      <c r="Q1042" s="53"/>
      <c r="R1042" s="77"/>
      <c r="S1042" s="78"/>
      <c r="T1042" s="56"/>
      <c r="U1042" s="80"/>
      <c r="V1042" s="56"/>
      <c r="W1042" s="56"/>
      <c r="X1042" s="80"/>
      <c r="Y1042" s="57"/>
      <c r="Z1042" s="58"/>
      <c r="AA1042" s="82"/>
      <c r="AB1042" s="83"/>
      <c r="AC1042" s="83"/>
      <c r="AD1042" s="77"/>
      <c r="AE1042" s="84"/>
      <c r="AF1042" s="84"/>
      <c r="AG1042" s="62"/>
      <c r="AH1042" s="63"/>
    </row>
    <row r="1043" spans="1:34" ht="16.5" thickTop="1" thickBot="1">
      <c r="A1043" s="41"/>
      <c r="B1043" s="42"/>
      <c r="C1043" s="43"/>
      <c r="D1043" s="44"/>
      <c r="E1043" s="45"/>
      <c r="F1043" s="46"/>
      <c r="G1043" s="45"/>
      <c r="H1043" s="45"/>
      <c r="I1043" s="47"/>
      <c r="J1043" s="48"/>
      <c r="K1043" s="48"/>
      <c r="L1043" s="49"/>
      <c r="M1043" s="49"/>
      <c r="N1043" s="50"/>
      <c r="O1043" s="51"/>
      <c r="P1043" s="52"/>
      <c r="Q1043" s="53"/>
      <c r="R1043" s="77"/>
      <c r="S1043" s="78"/>
      <c r="T1043" s="56"/>
      <c r="U1043" s="80"/>
      <c r="V1043" s="56"/>
      <c r="W1043" s="56"/>
      <c r="X1043" s="80"/>
      <c r="Y1043" s="57"/>
      <c r="Z1043" s="58"/>
      <c r="AA1043" s="82"/>
      <c r="AB1043" s="83"/>
      <c r="AC1043" s="83"/>
      <c r="AD1043" s="77"/>
      <c r="AE1043" s="84"/>
      <c r="AF1043" s="84"/>
      <c r="AG1043" s="62"/>
      <c r="AH1043" s="63"/>
    </row>
    <row r="1044" spans="1:34" ht="16.5" thickTop="1" thickBot="1">
      <c r="A1044" s="41"/>
      <c r="B1044" s="42"/>
      <c r="C1044" s="43"/>
      <c r="D1044" s="44"/>
      <c r="E1044" s="45"/>
      <c r="F1044" s="46"/>
      <c r="G1044" s="45"/>
      <c r="H1044" s="45"/>
      <c r="I1044" s="47"/>
      <c r="J1044" s="48"/>
      <c r="K1044" s="48"/>
      <c r="L1044" s="49"/>
      <c r="M1044" s="49"/>
      <c r="N1044" s="50"/>
      <c r="O1044" s="51"/>
      <c r="P1044" s="52"/>
      <c r="Q1044" s="53"/>
      <c r="R1044" s="77"/>
      <c r="S1044" s="78"/>
      <c r="T1044" s="56"/>
      <c r="U1044" s="80"/>
      <c r="V1044" s="56"/>
      <c r="W1044" s="56"/>
      <c r="X1044" s="80"/>
      <c r="Y1044" s="57"/>
      <c r="Z1044" s="58"/>
      <c r="AA1044" s="82"/>
      <c r="AB1044" s="83"/>
      <c r="AC1044" s="83"/>
      <c r="AD1044" s="77"/>
      <c r="AE1044" s="84"/>
      <c r="AF1044" s="84"/>
      <c r="AG1044" s="62"/>
      <c r="AH1044" s="63"/>
    </row>
    <row r="1045" spans="1:34" ht="16.5" thickTop="1" thickBot="1">
      <c r="A1045" s="41"/>
      <c r="B1045" s="42"/>
      <c r="C1045" s="43"/>
      <c r="D1045" s="44"/>
      <c r="E1045" s="45"/>
      <c r="F1045" s="46"/>
      <c r="G1045" s="45"/>
      <c r="H1045" s="45"/>
      <c r="I1045" s="47"/>
      <c r="J1045" s="48"/>
      <c r="K1045" s="48"/>
      <c r="L1045" s="49"/>
      <c r="M1045" s="49"/>
      <c r="N1045" s="50"/>
      <c r="O1045" s="51"/>
      <c r="P1045" s="52"/>
      <c r="Q1045" s="53"/>
      <c r="R1045" s="77"/>
      <c r="S1045" s="78"/>
      <c r="T1045" s="56"/>
      <c r="U1045" s="80"/>
      <c r="V1045" s="56"/>
      <c r="W1045" s="56"/>
      <c r="X1045" s="80"/>
      <c r="Y1045" s="57"/>
      <c r="Z1045" s="58"/>
      <c r="AA1045" s="82"/>
      <c r="AB1045" s="83"/>
      <c r="AC1045" s="83"/>
      <c r="AD1045" s="77"/>
      <c r="AE1045" s="84"/>
      <c r="AF1045" s="84"/>
      <c r="AG1045" s="62"/>
      <c r="AH1045" s="63"/>
    </row>
    <row r="1046" spans="1:34" ht="16.5" thickTop="1" thickBot="1">
      <c r="A1046" s="41"/>
      <c r="B1046" s="42"/>
      <c r="C1046" s="43"/>
      <c r="D1046" s="44"/>
      <c r="E1046" s="45"/>
      <c r="F1046" s="46"/>
      <c r="G1046" s="45"/>
      <c r="H1046" s="45"/>
      <c r="I1046" s="47"/>
      <c r="J1046" s="48"/>
      <c r="K1046" s="48"/>
      <c r="L1046" s="49"/>
      <c r="M1046" s="49"/>
      <c r="N1046" s="50"/>
      <c r="O1046" s="51"/>
      <c r="P1046" s="52"/>
      <c r="Q1046" s="53"/>
      <c r="R1046" s="77"/>
      <c r="S1046" s="78"/>
      <c r="T1046" s="56"/>
      <c r="U1046" s="80"/>
      <c r="V1046" s="56"/>
      <c r="W1046" s="56"/>
      <c r="X1046" s="80"/>
      <c r="Y1046" s="57"/>
      <c r="Z1046" s="58"/>
      <c r="AA1046" s="82"/>
      <c r="AB1046" s="83"/>
      <c r="AC1046" s="83"/>
      <c r="AD1046" s="77"/>
      <c r="AE1046" s="84"/>
      <c r="AF1046" s="84"/>
      <c r="AG1046" s="62"/>
      <c r="AH1046" s="63"/>
    </row>
    <row r="1047" spans="1:34" ht="16.5" thickTop="1" thickBot="1">
      <c r="A1047" s="41"/>
      <c r="B1047" s="42"/>
      <c r="C1047" s="43"/>
      <c r="D1047" s="44"/>
      <c r="E1047" s="45"/>
      <c r="F1047" s="46"/>
      <c r="G1047" s="45"/>
      <c r="H1047" s="45"/>
      <c r="I1047" s="47"/>
      <c r="J1047" s="48"/>
      <c r="K1047" s="48"/>
      <c r="L1047" s="49"/>
      <c r="M1047" s="49"/>
      <c r="N1047" s="50"/>
      <c r="O1047" s="51"/>
      <c r="P1047" s="52"/>
      <c r="Q1047" s="53"/>
      <c r="R1047" s="77"/>
      <c r="S1047" s="78"/>
      <c r="T1047" s="56"/>
      <c r="U1047" s="80"/>
      <c r="V1047" s="56"/>
      <c r="W1047" s="56"/>
      <c r="X1047" s="80"/>
      <c r="Y1047" s="57"/>
      <c r="Z1047" s="58"/>
      <c r="AA1047" s="82"/>
      <c r="AB1047" s="83"/>
      <c r="AC1047" s="83"/>
      <c r="AD1047" s="77"/>
      <c r="AE1047" s="84"/>
      <c r="AF1047" s="84"/>
      <c r="AG1047" s="62"/>
      <c r="AH1047" s="63"/>
    </row>
    <row r="1048" spans="1:34" ht="16.5" thickTop="1" thickBot="1">
      <c r="A1048" s="41"/>
      <c r="B1048" s="42"/>
      <c r="C1048" s="43"/>
      <c r="D1048" s="44"/>
      <c r="E1048" s="45"/>
      <c r="F1048" s="46"/>
      <c r="G1048" s="45"/>
      <c r="H1048" s="45"/>
      <c r="I1048" s="47"/>
      <c r="J1048" s="48"/>
      <c r="K1048" s="48"/>
      <c r="L1048" s="49"/>
      <c r="M1048" s="49"/>
      <c r="N1048" s="50"/>
      <c r="O1048" s="51"/>
      <c r="P1048" s="52"/>
      <c r="Q1048" s="53"/>
      <c r="R1048" s="77"/>
      <c r="S1048" s="78"/>
      <c r="T1048" s="56"/>
      <c r="U1048" s="80"/>
      <c r="V1048" s="56"/>
      <c r="W1048" s="56"/>
      <c r="X1048" s="80"/>
      <c r="Y1048" s="57"/>
      <c r="Z1048" s="58"/>
      <c r="AA1048" s="82"/>
      <c r="AB1048" s="83"/>
      <c r="AC1048" s="83"/>
      <c r="AD1048" s="77"/>
      <c r="AE1048" s="84"/>
      <c r="AF1048" s="84"/>
      <c r="AG1048" s="62"/>
      <c r="AH1048" s="63"/>
    </row>
    <row r="1049" spans="1:34" ht="16.5" thickTop="1" thickBot="1">
      <c r="A1049" s="41"/>
      <c r="B1049" s="42"/>
      <c r="C1049" s="43"/>
      <c r="D1049" s="44"/>
      <c r="E1049" s="45"/>
      <c r="F1049" s="46"/>
      <c r="G1049" s="45"/>
      <c r="H1049" s="45"/>
      <c r="I1049" s="47"/>
      <c r="J1049" s="48"/>
      <c r="K1049" s="48"/>
      <c r="L1049" s="49"/>
      <c r="M1049" s="49"/>
      <c r="N1049" s="50"/>
      <c r="O1049" s="51"/>
      <c r="P1049" s="52"/>
      <c r="Q1049" s="53"/>
      <c r="R1049" s="77"/>
      <c r="S1049" s="78"/>
      <c r="T1049" s="56"/>
      <c r="U1049" s="80"/>
      <c r="V1049" s="56"/>
      <c r="W1049" s="56"/>
      <c r="X1049" s="80"/>
      <c r="Y1049" s="57"/>
      <c r="Z1049" s="58"/>
      <c r="AA1049" s="82"/>
      <c r="AB1049" s="83"/>
      <c r="AC1049" s="83"/>
      <c r="AD1049" s="77"/>
      <c r="AE1049" s="84"/>
      <c r="AF1049" s="84"/>
      <c r="AG1049" s="62"/>
      <c r="AH1049" s="63"/>
    </row>
    <row r="1050" spans="1:34" ht="16.5" thickTop="1" thickBot="1">
      <c r="A1050" s="41"/>
      <c r="B1050" s="42"/>
      <c r="C1050" s="43"/>
      <c r="D1050" s="44"/>
      <c r="E1050" s="45"/>
      <c r="F1050" s="46"/>
      <c r="G1050" s="45"/>
      <c r="H1050" s="45"/>
      <c r="I1050" s="47"/>
      <c r="J1050" s="48"/>
      <c r="K1050" s="48"/>
      <c r="L1050" s="49"/>
      <c r="M1050" s="49"/>
      <c r="N1050" s="50"/>
      <c r="O1050" s="51"/>
      <c r="P1050" s="52"/>
      <c r="Q1050" s="53"/>
      <c r="R1050" s="77"/>
      <c r="S1050" s="78"/>
      <c r="T1050" s="56"/>
      <c r="U1050" s="80"/>
      <c r="V1050" s="56"/>
      <c r="W1050" s="56"/>
      <c r="X1050" s="80"/>
      <c r="Y1050" s="57"/>
      <c r="Z1050" s="58"/>
      <c r="AA1050" s="82"/>
      <c r="AB1050" s="83"/>
      <c r="AC1050" s="83"/>
      <c r="AD1050" s="77"/>
      <c r="AE1050" s="84"/>
      <c r="AF1050" s="84"/>
      <c r="AG1050" s="62"/>
      <c r="AH1050" s="63"/>
    </row>
    <row r="1051" spans="1:34" ht="16.5" thickTop="1" thickBot="1">
      <c r="A1051" s="41"/>
      <c r="B1051" s="42"/>
      <c r="C1051" s="43"/>
      <c r="D1051" s="44"/>
      <c r="E1051" s="45"/>
      <c r="F1051" s="46"/>
      <c r="G1051" s="45"/>
      <c r="H1051" s="45"/>
      <c r="I1051" s="47"/>
      <c r="J1051" s="48"/>
      <c r="K1051" s="48"/>
      <c r="L1051" s="49"/>
      <c r="M1051" s="49"/>
      <c r="N1051" s="50"/>
      <c r="O1051" s="51"/>
      <c r="P1051" s="52"/>
      <c r="Q1051" s="53"/>
      <c r="R1051" s="77"/>
      <c r="S1051" s="78"/>
      <c r="T1051" s="56"/>
      <c r="U1051" s="80"/>
      <c r="V1051" s="56"/>
      <c r="W1051" s="56"/>
      <c r="X1051" s="80"/>
      <c r="Y1051" s="57"/>
      <c r="Z1051" s="58"/>
      <c r="AA1051" s="82"/>
      <c r="AB1051" s="83"/>
      <c r="AC1051" s="83"/>
      <c r="AD1051" s="77"/>
      <c r="AE1051" s="84"/>
      <c r="AF1051" s="84"/>
      <c r="AG1051" s="62"/>
      <c r="AH1051" s="63"/>
    </row>
    <row r="1052" spans="1:34" ht="16.5" thickTop="1" thickBot="1">
      <c r="A1052" s="41"/>
      <c r="B1052" s="42"/>
      <c r="C1052" s="43"/>
      <c r="D1052" s="44"/>
      <c r="E1052" s="45"/>
      <c r="F1052" s="46"/>
      <c r="G1052" s="45"/>
      <c r="H1052" s="45"/>
      <c r="I1052" s="47"/>
      <c r="J1052" s="48"/>
      <c r="K1052" s="48"/>
      <c r="L1052" s="49"/>
      <c r="M1052" s="49"/>
      <c r="N1052" s="50"/>
      <c r="O1052" s="51"/>
      <c r="P1052" s="52"/>
      <c r="Q1052" s="53"/>
      <c r="R1052" s="77"/>
      <c r="S1052" s="78"/>
      <c r="T1052" s="56"/>
      <c r="U1052" s="80"/>
      <c r="V1052" s="56"/>
      <c r="W1052" s="56"/>
      <c r="X1052" s="80"/>
      <c r="Y1052" s="57"/>
      <c r="Z1052" s="58"/>
      <c r="AA1052" s="82"/>
      <c r="AB1052" s="83"/>
      <c r="AC1052" s="83"/>
      <c r="AD1052" s="77"/>
      <c r="AE1052" s="84"/>
      <c r="AF1052" s="84"/>
      <c r="AG1052" s="62"/>
      <c r="AH1052" s="63"/>
    </row>
    <row r="1053" spans="1:34" ht="16.5" thickTop="1" thickBot="1">
      <c r="A1053" s="41"/>
      <c r="B1053" s="42"/>
      <c r="C1053" s="43"/>
      <c r="D1053" s="44"/>
      <c r="E1053" s="45"/>
      <c r="F1053" s="46"/>
      <c r="G1053" s="45"/>
      <c r="H1053" s="45"/>
      <c r="I1053" s="47"/>
      <c r="J1053" s="48"/>
      <c r="K1053" s="48"/>
      <c r="L1053" s="49"/>
      <c r="M1053" s="49"/>
      <c r="N1053" s="50"/>
      <c r="O1053" s="51"/>
      <c r="P1053" s="52"/>
      <c r="Q1053" s="53"/>
      <c r="R1053" s="77"/>
      <c r="S1053" s="78"/>
      <c r="T1053" s="56"/>
      <c r="U1053" s="80"/>
      <c r="V1053" s="56"/>
      <c r="W1053" s="56"/>
      <c r="X1053" s="80"/>
      <c r="Y1053" s="57"/>
      <c r="Z1053" s="58"/>
      <c r="AA1053" s="82"/>
      <c r="AB1053" s="83"/>
      <c r="AC1053" s="83"/>
      <c r="AD1053" s="77"/>
      <c r="AE1053" s="84"/>
      <c r="AF1053" s="84"/>
      <c r="AG1053" s="62"/>
      <c r="AH1053" s="63"/>
    </row>
    <row r="1054" spans="1:34" ht="16.5" thickTop="1" thickBot="1">
      <c r="A1054" s="41"/>
      <c r="B1054" s="42"/>
      <c r="C1054" s="43"/>
      <c r="D1054" s="44"/>
      <c r="E1054" s="45"/>
      <c r="F1054" s="46"/>
      <c r="G1054" s="45"/>
      <c r="H1054" s="45"/>
      <c r="I1054" s="47"/>
      <c r="J1054" s="48"/>
      <c r="K1054" s="48"/>
      <c r="L1054" s="49"/>
      <c r="M1054" s="49"/>
      <c r="N1054" s="50"/>
      <c r="O1054" s="51"/>
      <c r="P1054" s="52"/>
      <c r="Q1054" s="53"/>
      <c r="R1054" s="77"/>
      <c r="S1054" s="78"/>
      <c r="T1054" s="56"/>
      <c r="U1054" s="80"/>
      <c r="V1054" s="56"/>
      <c r="W1054" s="56"/>
      <c r="X1054" s="80"/>
      <c r="Y1054" s="57"/>
      <c r="Z1054" s="58"/>
      <c r="AA1054" s="82"/>
      <c r="AB1054" s="83"/>
      <c r="AC1054" s="83"/>
      <c r="AD1054" s="77"/>
      <c r="AE1054" s="84"/>
      <c r="AF1054" s="84"/>
      <c r="AG1054" s="62"/>
      <c r="AH1054" s="63"/>
    </row>
    <row r="1055" spans="1:34" ht="16.5" thickTop="1" thickBot="1">
      <c r="A1055" s="41"/>
      <c r="B1055" s="42"/>
      <c r="C1055" s="43"/>
      <c r="D1055" s="44"/>
      <c r="E1055" s="45"/>
      <c r="F1055" s="46"/>
      <c r="G1055" s="45"/>
      <c r="H1055" s="45"/>
      <c r="I1055" s="47"/>
      <c r="J1055" s="48"/>
      <c r="K1055" s="48"/>
      <c r="L1055" s="49"/>
      <c r="M1055" s="49"/>
      <c r="N1055" s="50"/>
      <c r="O1055" s="51"/>
      <c r="P1055" s="52"/>
      <c r="Q1055" s="53"/>
      <c r="R1055" s="77"/>
      <c r="S1055" s="78"/>
      <c r="T1055" s="56"/>
      <c r="U1055" s="80"/>
      <c r="V1055" s="56"/>
      <c r="W1055" s="56"/>
      <c r="X1055" s="80"/>
      <c r="Y1055" s="57"/>
      <c r="Z1055" s="58"/>
      <c r="AA1055" s="82"/>
      <c r="AB1055" s="83"/>
      <c r="AC1055" s="83"/>
      <c r="AD1055" s="77"/>
      <c r="AE1055" s="84"/>
      <c r="AF1055" s="84"/>
      <c r="AG1055" s="62"/>
      <c r="AH1055" s="63"/>
    </row>
    <row r="1056" spans="1:34" ht="16.5" thickTop="1" thickBot="1">
      <c r="A1056" s="41"/>
      <c r="B1056" s="42"/>
      <c r="C1056" s="43"/>
      <c r="D1056" s="44"/>
      <c r="E1056" s="45"/>
      <c r="F1056" s="46"/>
      <c r="G1056" s="45"/>
      <c r="H1056" s="45"/>
      <c r="I1056" s="47"/>
      <c r="J1056" s="48"/>
      <c r="K1056" s="48"/>
      <c r="L1056" s="49"/>
      <c r="M1056" s="49"/>
      <c r="N1056" s="50"/>
      <c r="O1056" s="51"/>
      <c r="P1056" s="52"/>
      <c r="Q1056" s="53"/>
      <c r="R1056" s="77"/>
      <c r="S1056" s="78"/>
      <c r="T1056" s="56"/>
      <c r="U1056" s="80"/>
      <c r="V1056" s="56"/>
      <c r="W1056" s="56"/>
      <c r="X1056" s="80"/>
      <c r="Y1056" s="57"/>
      <c r="Z1056" s="58"/>
      <c r="AA1056" s="82"/>
      <c r="AB1056" s="83"/>
      <c r="AC1056" s="83"/>
      <c r="AD1056" s="77"/>
      <c r="AE1056" s="84"/>
      <c r="AF1056" s="84"/>
      <c r="AG1056" s="62"/>
      <c r="AH1056" s="63"/>
    </row>
    <row r="1057" spans="1:34" ht="16.5" thickTop="1" thickBot="1">
      <c r="A1057" s="41"/>
      <c r="B1057" s="42"/>
      <c r="C1057" s="43"/>
      <c r="D1057" s="44"/>
      <c r="E1057" s="45"/>
      <c r="F1057" s="46"/>
      <c r="G1057" s="45"/>
      <c r="H1057" s="45"/>
      <c r="I1057" s="47"/>
      <c r="J1057" s="48"/>
      <c r="K1057" s="48"/>
      <c r="L1057" s="49"/>
      <c r="M1057" s="49"/>
      <c r="N1057" s="50"/>
      <c r="O1057" s="51"/>
      <c r="P1057" s="52"/>
      <c r="Q1057" s="53"/>
      <c r="R1057" s="77"/>
      <c r="S1057" s="78"/>
      <c r="T1057" s="56"/>
      <c r="U1057" s="80"/>
      <c r="V1057" s="56"/>
      <c r="W1057" s="56"/>
      <c r="X1057" s="80"/>
      <c r="Y1057" s="57"/>
      <c r="Z1057" s="58"/>
      <c r="AA1057" s="82"/>
      <c r="AB1057" s="83"/>
      <c r="AC1057" s="83"/>
      <c r="AD1057" s="77"/>
      <c r="AE1057" s="84"/>
      <c r="AF1057" s="84"/>
      <c r="AG1057" s="62"/>
      <c r="AH1057" s="63"/>
    </row>
    <row r="1058" spans="1:34" ht="16.5" thickTop="1" thickBot="1">
      <c r="A1058" s="41"/>
      <c r="B1058" s="42"/>
      <c r="C1058" s="43"/>
      <c r="D1058" s="44"/>
      <c r="E1058" s="45"/>
      <c r="F1058" s="46"/>
      <c r="G1058" s="45"/>
      <c r="H1058" s="45"/>
      <c r="I1058" s="47"/>
      <c r="J1058" s="48"/>
      <c r="K1058" s="48"/>
      <c r="L1058" s="49"/>
      <c r="M1058" s="49"/>
      <c r="N1058" s="50"/>
      <c r="O1058" s="51"/>
      <c r="P1058" s="52"/>
      <c r="Q1058" s="53"/>
      <c r="R1058" s="77"/>
      <c r="S1058" s="78"/>
      <c r="T1058" s="56"/>
      <c r="U1058" s="80"/>
      <c r="V1058" s="56"/>
      <c r="W1058" s="56"/>
      <c r="X1058" s="80"/>
      <c r="Y1058" s="57"/>
      <c r="Z1058" s="58"/>
      <c r="AA1058" s="82"/>
      <c r="AB1058" s="83"/>
      <c r="AC1058" s="83"/>
      <c r="AD1058" s="77"/>
      <c r="AE1058" s="84"/>
      <c r="AF1058" s="84"/>
      <c r="AG1058" s="62"/>
      <c r="AH1058" s="63"/>
    </row>
    <row r="1059" spans="1:34" ht="16.5" thickTop="1" thickBot="1">
      <c r="A1059" s="41"/>
      <c r="B1059" s="42"/>
      <c r="C1059" s="43"/>
      <c r="D1059" s="44"/>
      <c r="E1059" s="45"/>
      <c r="F1059" s="46"/>
      <c r="G1059" s="45"/>
      <c r="H1059" s="45"/>
      <c r="I1059" s="47"/>
      <c r="J1059" s="48"/>
      <c r="K1059" s="48"/>
      <c r="L1059" s="49"/>
      <c r="M1059" s="49"/>
      <c r="N1059" s="50"/>
      <c r="O1059" s="51"/>
      <c r="P1059" s="52"/>
      <c r="Q1059" s="53"/>
      <c r="R1059" s="77"/>
      <c r="S1059" s="78"/>
      <c r="T1059" s="56"/>
      <c r="U1059" s="80"/>
      <c r="V1059" s="56"/>
      <c r="W1059" s="56"/>
      <c r="X1059" s="80"/>
      <c r="Y1059" s="57"/>
      <c r="Z1059" s="58"/>
      <c r="AA1059" s="82"/>
      <c r="AB1059" s="83"/>
      <c r="AC1059" s="83"/>
      <c r="AD1059" s="77"/>
      <c r="AE1059" s="84"/>
      <c r="AF1059" s="84"/>
      <c r="AG1059" s="62"/>
      <c r="AH1059" s="63"/>
    </row>
    <row r="1060" spans="1:34" ht="16.5" thickTop="1" thickBot="1">
      <c r="A1060" s="41"/>
      <c r="B1060" s="42"/>
      <c r="C1060" s="43"/>
      <c r="D1060" s="44"/>
      <c r="E1060" s="45"/>
      <c r="F1060" s="46"/>
      <c r="G1060" s="45"/>
      <c r="H1060" s="45"/>
      <c r="I1060" s="47"/>
      <c r="J1060" s="48"/>
      <c r="K1060" s="48"/>
      <c r="L1060" s="49"/>
      <c r="M1060" s="49"/>
      <c r="N1060" s="50"/>
      <c r="O1060" s="51"/>
      <c r="P1060" s="52"/>
      <c r="Q1060" s="53"/>
      <c r="R1060" s="77"/>
      <c r="S1060" s="78"/>
      <c r="T1060" s="56"/>
      <c r="U1060" s="80"/>
      <c r="V1060" s="56"/>
      <c r="W1060" s="56"/>
      <c r="X1060" s="80"/>
      <c r="Y1060" s="57"/>
      <c r="Z1060" s="58"/>
      <c r="AA1060" s="82"/>
      <c r="AB1060" s="83"/>
      <c r="AC1060" s="83"/>
      <c r="AD1060" s="77"/>
      <c r="AE1060" s="84"/>
      <c r="AF1060" s="84"/>
      <c r="AG1060" s="62"/>
      <c r="AH1060" s="63"/>
    </row>
    <row r="1061" spans="1:34" ht="16.5" thickTop="1" thickBot="1">
      <c r="A1061" s="41"/>
      <c r="B1061" s="42"/>
      <c r="C1061" s="43"/>
      <c r="D1061" s="44"/>
      <c r="E1061" s="45"/>
      <c r="F1061" s="46"/>
      <c r="G1061" s="45"/>
      <c r="H1061" s="45"/>
      <c r="I1061" s="47"/>
      <c r="J1061" s="48"/>
      <c r="K1061" s="48"/>
      <c r="L1061" s="49"/>
      <c r="M1061" s="49"/>
      <c r="N1061" s="50"/>
      <c r="O1061" s="51"/>
      <c r="P1061" s="52"/>
      <c r="Q1061" s="53"/>
      <c r="R1061" s="77"/>
      <c r="S1061" s="78"/>
      <c r="T1061" s="56"/>
      <c r="U1061" s="80"/>
      <c r="V1061" s="56"/>
      <c r="W1061" s="56"/>
      <c r="X1061" s="80"/>
      <c r="Y1061" s="57"/>
      <c r="Z1061" s="58"/>
      <c r="AA1061" s="82"/>
      <c r="AB1061" s="83"/>
      <c r="AC1061" s="83"/>
      <c r="AD1061" s="77"/>
      <c r="AE1061" s="84"/>
      <c r="AF1061" s="84"/>
      <c r="AG1061" s="62"/>
      <c r="AH1061" s="63"/>
    </row>
    <row r="1062" spans="1:34" ht="16.5" thickTop="1" thickBot="1">
      <c r="A1062" s="41"/>
      <c r="B1062" s="42"/>
      <c r="C1062" s="43"/>
      <c r="D1062" s="44"/>
      <c r="E1062" s="45"/>
      <c r="F1062" s="46"/>
      <c r="G1062" s="45"/>
      <c r="H1062" s="45"/>
      <c r="I1062" s="47"/>
      <c r="J1062" s="48"/>
      <c r="K1062" s="48"/>
      <c r="L1062" s="49"/>
      <c r="M1062" s="49"/>
      <c r="N1062" s="50"/>
      <c r="O1062" s="51"/>
      <c r="P1062" s="52"/>
      <c r="Q1062" s="53"/>
      <c r="R1062" s="77"/>
      <c r="S1062" s="78"/>
      <c r="T1062" s="56"/>
      <c r="U1062" s="80"/>
      <c r="V1062" s="56"/>
      <c r="W1062" s="56"/>
      <c r="X1062" s="80"/>
      <c r="Y1062" s="57"/>
      <c r="Z1062" s="58"/>
      <c r="AA1062" s="82"/>
      <c r="AB1062" s="83"/>
      <c r="AC1062" s="83"/>
      <c r="AD1062" s="77"/>
      <c r="AE1062" s="84"/>
      <c r="AF1062" s="84"/>
      <c r="AG1062" s="62"/>
      <c r="AH1062" s="63"/>
    </row>
    <row r="1063" spans="1:34" ht="16.5" thickTop="1" thickBot="1">
      <c r="A1063" s="41"/>
      <c r="B1063" s="42"/>
      <c r="C1063" s="43"/>
      <c r="D1063" s="44"/>
      <c r="E1063" s="45"/>
      <c r="F1063" s="46"/>
      <c r="G1063" s="45"/>
      <c r="H1063" s="45"/>
      <c r="I1063" s="47"/>
      <c r="J1063" s="48"/>
      <c r="K1063" s="48"/>
      <c r="L1063" s="49"/>
      <c r="M1063" s="49"/>
      <c r="N1063" s="50"/>
      <c r="O1063" s="51"/>
      <c r="P1063" s="52"/>
      <c r="Q1063" s="53"/>
      <c r="R1063" s="77"/>
      <c r="S1063" s="78"/>
      <c r="T1063" s="56"/>
      <c r="U1063" s="80"/>
      <c r="V1063" s="56"/>
      <c r="W1063" s="56"/>
      <c r="X1063" s="80"/>
      <c r="Y1063" s="57"/>
      <c r="Z1063" s="58"/>
      <c r="AA1063" s="82"/>
      <c r="AB1063" s="83"/>
      <c r="AC1063" s="83"/>
      <c r="AD1063" s="77"/>
      <c r="AE1063" s="84"/>
      <c r="AF1063" s="84"/>
      <c r="AG1063" s="62"/>
      <c r="AH1063" s="63"/>
    </row>
    <row r="1064" spans="1:34" ht="16.5" thickTop="1" thickBot="1">
      <c r="A1064" s="41"/>
      <c r="B1064" s="42"/>
      <c r="C1064" s="43"/>
      <c r="D1064" s="44"/>
      <c r="E1064" s="45"/>
      <c r="F1064" s="46"/>
      <c r="G1064" s="45"/>
      <c r="H1064" s="45"/>
      <c r="I1064" s="47"/>
      <c r="J1064" s="48"/>
      <c r="K1064" s="48"/>
      <c r="L1064" s="49"/>
      <c r="M1064" s="49"/>
      <c r="N1064" s="50"/>
      <c r="O1064" s="51"/>
      <c r="P1064" s="52"/>
      <c r="Q1064" s="53"/>
      <c r="R1064" s="77"/>
      <c r="S1064" s="78"/>
      <c r="T1064" s="56"/>
      <c r="U1064" s="80"/>
      <c r="V1064" s="56"/>
      <c r="W1064" s="56"/>
      <c r="X1064" s="80"/>
      <c r="Y1064" s="57"/>
      <c r="Z1064" s="58"/>
      <c r="AA1064" s="82"/>
      <c r="AB1064" s="83"/>
      <c r="AC1064" s="83"/>
      <c r="AD1064" s="77"/>
      <c r="AE1064" s="84"/>
      <c r="AF1064" s="84"/>
      <c r="AG1064" s="62"/>
      <c r="AH1064" s="63"/>
    </row>
    <row r="1065" spans="1:34" ht="16.5" thickTop="1" thickBot="1">
      <c r="A1065" s="41"/>
      <c r="B1065" s="42"/>
      <c r="C1065" s="43"/>
      <c r="D1065" s="44"/>
      <c r="E1065" s="45"/>
      <c r="F1065" s="46"/>
      <c r="G1065" s="45"/>
      <c r="H1065" s="45"/>
      <c r="I1065" s="47"/>
      <c r="J1065" s="48"/>
      <c r="K1065" s="48"/>
      <c r="L1065" s="49"/>
      <c r="M1065" s="49"/>
      <c r="N1065" s="50"/>
      <c r="O1065" s="51"/>
      <c r="P1065" s="52"/>
      <c r="Q1065" s="53"/>
      <c r="R1065" s="77"/>
      <c r="S1065" s="78"/>
      <c r="T1065" s="56"/>
      <c r="U1065" s="80"/>
      <c r="V1065" s="56"/>
      <c r="W1065" s="56"/>
      <c r="X1065" s="80"/>
      <c r="Y1065" s="57"/>
      <c r="Z1065" s="58"/>
      <c r="AA1065" s="82"/>
      <c r="AB1065" s="83"/>
      <c r="AC1065" s="83"/>
      <c r="AD1065" s="77"/>
      <c r="AE1065" s="84"/>
      <c r="AF1065" s="84"/>
      <c r="AG1065" s="62"/>
      <c r="AH1065" s="63"/>
    </row>
    <row r="1066" spans="1:34" ht="16.5" thickTop="1" thickBot="1">
      <c r="A1066" s="41"/>
      <c r="B1066" s="42"/>
      <c r="C1066" s="43"/>
      <c r="D1066" s="44"/>
      <c r="E1066" s="45"/>
      <c r="F1066" s="46"/>
      <c r="G1066" s="45"/>
      <c r="H1066" s="45"/>
      <c r="I1066" s="47"/>
      <c r="J1066" s="48"/>
      <c r="K1066" s="48"/>
      <c r="L1066" s="49"/>
      <c r="M1066" s="49"/>
      <c r="N1066" s="50"/>
      <c r="O1066" s="51"/>
      <c r="P1066" s="52"/>
      <c r="Q1066" s="53"/>
      <c r="R1066" s="77"/>
      <c r="S1066" s="78"/>
      <c r="T1066" s="56"/>
      <c r="U1066" s="80"/>
      <c r="V1066" s="56"/>
      <c r="W1066" s="56"/>
      <c r="X1066" s="80"/>
      <c r="Y1066" s="57"/>
      <c r="Z1066" s="58"/>
      <c r="AA1066" s="82"/>
      <c r="AB1066" s="83"/>
      <c r="AC1066" s="83"/>
      <c r="AD1066" s="77"/>
      <c r="AE1066" s="84"/>
      <c r="AF1066" s="84"/>
      <c r="AG1066" s="62"/>
      <c r="AH1066" s="63"/>
    </row>
    <row r="1067" spans="1:34" ht="16.5" thickTop="1" thickBot="1">
      <c r="A1067" s="41"/>
      <c r="B1067" s="42"/>
      <c r="C1067" s="43"/>
      <c r="D1067" s="44"/>
      <c r="E1067" s="45"/>
      <c r="F1067" s="46"/>
      <c r="G1067" s="45"/>
      <c r="H1067" s="45"/>
      <c r="I1067" s="47"/>
      <c r="J1067" s="48"/>
      <c r="K1067" s="48"/>
      <c r="L1067" s="49"/>
      <c r="M1067" s="49"/>
      <c r="N1067" s="50"/>
      <c r="O1067" s="51"/>
      <c r="P1067" s="52"/>
      <c r="Q1067" s="53"/>
      <c r="R1067" s="77"/>
      <c r="S1067" s="78"/>
      <c r="T1067" s="56"/>
      <c r="U1067" s="80"/>
      <c r="V1067" s="56"/>
      <c r="W1067" s="56"/>
      <c r="X1067" s="80"/>
      <c r="Y1067" s="57"/>
      <c r="Z1067" s="58"/>
      <c r="AA1067" s="82"/>
      <c r="AB1067" s="83"/>
      <c r="AC1067" s="83"/>
      <c r="AD1067" s="77"/>
      <c r="AE1067" s="84"/>
      <c r="AF1067" s="84"/>
      <c r="AG1067" s="62"/>
      <c r="AH1067" s="63"/>
    </row>
    <row r="1068" spans="1:34" ht="16.5" thickTop="1" thickBot="1">
      <c r="A1068" s="41"/>
      <c r="B1068" s="42"/>
      <c r="C1068" s="43"/>
      <c r="D1068" s="44"/>
      <c r="E1068" s="45"/>
      <c r="F1068" s="46"/>
      <c r="G1068" s="45"/>
      <c r="H1068" s="45"/>
      <c r="I1068" s="47"/>
      <c r="J1068" s="48"/>
      <c r="K1068" s="48"/>
      <c r="L1068" s="49"/>
      <c r="M1068" s="49"/>
      <c r="N1068" s="50"/>
      <c r="O1068" s="51"/>
      <c r="P1068" s="52"/>
      <c r="Q1068" s="53"/>
      <c r="R1068" s="77"/>
      <c r="S1068" s="78"/>
      <c r="T1068" s="56"/>
      <c r="U1068" s="80"/>
      <c r="V1068" s="56"/>
      <c r="W1068" s="56"/>
      <c r="X1068" s="80"/>
      <c r="Y1068" s="57"/>
      <c r="Z1068" s="58"/>
      <c r="AA1068" s="82"/>
      <c r="AB1068" s="83"/>
      <c r="AC1068" s="83"/>
      <c r="AD1068" s="77"/>
      <c r="AE1068" s="84"/>
      <c r="AF1068" s="84"/>
      <c r="AG1068" s="62"/>
      <c r="AH1068" s="63"/>
    </row>
    <row r="1069" spans="1:34" ht="16.5" thickTop="1" thickBot="1">
      <c r="A1069" s="41"/>
      <c r="B1069" s="42"/>
      <c r="C1069" s="43"/>
      <c r="D1069" s="44"/>
      <c r="E1069" s="45"/>
      <c r="F1069" s="46"/>
      <c r="G1069" s="45"/>
      <c r="H1069" s="45"/>
      <c r="I1069" s="47"/>
      <c r="J1069" s="48"/>
      <c r="K1069" s="48"/>
      <c r="L1069" s="49"/>
      <c r="M1069" s="49"/>
      <c r="N1069" s="50"/>
      <c r="O1069" s="51"/>
      <c r="P1069" s="52"/>
      <c r="Q1069" s="53"/>
      <c r="R1069" s="77"/>
      <c r="S1069" s="78"/>
      <c r="T1069" s="56"/>
      <c r="U1069" s="80"/>
      <c r="V1069" s="56"/>
      <c r="W1069" s="56"/>
      <c r="X1069" s="80"/>
      <c r="Y1069" s="57"/>
      <c r="Z1069" s="58"/>
      <c r="AA1069" s="82"/>
      <c r="AB1069" s="83"/>
      <c r="AC1069" s="83"/>
      <c r="AD1069" s="77"/>
      <c r="AE1069" s="84"/>
      <c r="AF1069" s="84"/>
      <c r="AG1069" s="62"/>
      <c r="AH1069" s="63"/>
    </row>
    <row r="1070" spans="1:34" ht="16.5" thickTop="1" thickBot="1">
      <c r="A1070" s="41"/>
      <c r="B1070" s="42"/>
      <c r="C1070" s="43"/>
      <c r="D1070" s="44"/>
      <c r="E1070" s="45"/>
      <c r="F1070" s="46"/>
      <c r="G1070" s="45"/>
      <c r="H1070" s="45"/>
      <c r="I1070" s="47"/>
      <c r="J1070" s="48"/>
      <c r="K1070" s="48"/>
      <c r="L1070" s="49"/>
      <c r="M1070" s="49"/>
      <c r="N1070" s="50"/>
      <c r="O1070" s="51"/>
      <c r="P1070" s="52"/>
      <c r="Q1070" s="53"/>
      <c r="R1070" s="77"/>
      <c r="S1070" s="78"/>
      <c r="T1070" s="56"/>
      <c r="U1070" s="80"/>
      <c r="V1070" s="56"/>
      <c r="W1070" s="56"/>
      <c r="X1070" s="80"/>
      <c r="Y1070" s="57"/>
      <c r="Z1070" s="58"/>
      <c r="AA1070" s="82"/>
      <c r="AB1070" s="83"/>
      <c r="AC1070" s="83"/>
      <c r="AD1070" s="77"/>
      <c r="AE1070" s="84"/>
      <c r="AF1070" s="84"/>
      <c r="AG1070" s="62"/>
      <c r="AH1070" s="63"/>
    </row>
    <row r="1071" spans="1:34" ht="16.5" thickTop="1" thickBot="1">
      <c r="A1071" s="41"/>
      <c r="B1071" s="42"/>
      <c r="C1071" s="43"/>
      <c r="D1071" s="44"/>
      <c r="E1071" s="45"/>
      <c r="F1071" s="46"/>
      <c r="G1071" s="45"/>
      <c r="H1071" s="45"/>
      <c r="I1071" s="47"/>
      <c r="J1071" s="48"/>
      <c r="K1071" s="48"/>
      <c r="L1071" s="49"/>
      <c r="M1071" s="49"/>
      <c r="N1071" s="50"/>
      <c r="O1071" s="51"/>
      <c r="P1071" s="52"/>
      <c r="Q1071" s="53"/>
      <c r="R1071" s="77"/>
      <c r="S1071" s="78"/>
      <c r="T1071" s="56"/>
      <c r="U1071" s="80"/>
      <c r="V1071" s="56"/>
      <c r="W1071" s="56"/>
      <c r="X1071" s="80"/>
      <c r="Y1071" s="57"/>
      <c r="Z1071" s="58"/>
      <c r="AA1071" s="82"/>
      <c r="AB1071" s="83"/>
      <c r="AC1071" s="83"/>
      <c r="AD1071" s="77"/>
      <c r="AE1071" s="84"/>
      <c r="AF1071" s="84"/>
      <c r="AG1071" s="62"/>
      <c r="AH1071" s="63"/>
    </row>
    <row r="1072" spans="1:34" ht="16.5" thickTop="1" thickBot="1">
      <c r="A1072" s="41"/>
      <c r="B1072" s="42"/>
      <c r="C1072" s="43"/>
      <c r="D1072" s="44"/>
      <c r="E1072" s="45"/>
      <c r="F1072" s="46"/>
      <c r="G1072" s="45"/>
      <c r="H1072" s="45"/>
      <c r="I1072" s="47"/>
      <c r="J1072" s="48"/>
      <c r="K1072" s="48"/>
      <c r="L1072" s="49"/>
      <c r="M1072" s="49"/>
      <c r="N1072" s="50"/>
      <c r="O1072" s="51"/>
      <c r="P1072" s="52"/>
      <c r="Q1072" s="53"/>
      <c r="R1072" s="77"/>
      <c r="S1072" s="78"/>
      <c r="T1072" s="56"/>
      <c r="U1072" s="80"/>
      <c r="V1072" s="56"/>
      <c r="W1072" s="56"/>
      <c r="X1072" s="80"/>
      <c r="Y1072" s="57"/>
      <c r="Z1072" s="58"/>
      <c r="AA1072" s="82"/>
      <c r="AB1072" s="83"/>
      <c r="AC1072" s="83"/>
      <c r="AD1072" s="77"/>
      <c r="AE1072" s="84"/>
      <c r="AF1072" s="84"/>
      <c r="AG1072" s="62"/>
      <c r="AH1072" s="63"/>
    </row>
    <row r="1073" spans="1:34" ht="16.5" thickTop="1" thickBot="1">
      <c r="A1073" s="41"/>
      <c r="B1073" s="42"/>
      <c r="C1073" s="43"/>
      <c r="D1073" s="44"/>
      <c r="E1073" s="45"/>
      <c r="F1073" s="46"/>
      <c r="G1073" s="45"/>
      <c r="H1073" s="45"/>
      <c r="I1073" s="47"/>
      <c r="J1073" s="48"/>
      <c r="K1073" s="48"/>
      <c r="L1073" s="49"/>
      <c r="M1073" s="49"/>
      <c r="N1073" s="50"/>
      <c r="O1073" s="51"/>
      <c r="P1073" s="52"/>
      <c r="Q1073" s="53"/>
      <c r="R1073" s="77"/>
      <c r="S1073" s="78"/>
      <c r="T1073" s="56"/>
      <c r="U1073" s="80"/>
      <c r="V1073" s="56"/>
      <c r="W1073" s="56"/>
      <c r="X1073" s="80"/>
      <c r="Y1073" s="57"/>
      <c r="Z1073" s="58"/>
      <c r="AA1073" s="82"/>
      <c r="AB1073" s="83"/>
      <c r="AC1073" s="83"/>
      <c r="AD1073" s="77"/>
      <c r="AE1073" s="84"/>
      <c r="AF1073" s="84"/>
      <c r="AG1073" s="62"/>
      <c r="AH1073" s="63"/>
    </row>
    <row r="1074" spans="1:34" ht="16.5" thickTop="1" thickBot="1">
      <c r="A1074" s="41"/>
      <c r="B1074" s="42"/>
      <c r="C1074" s="43"/>
      <c r="D1074" s="44"/>
      <c r="E1074" s="45"/>
      <c r="F1074" s="46"/>
      <c r="G1074" s="45"/>
      <c r="H1074" s="45"/>
      <c r="I1074" s="47"/>
      <c r="J1074" s="48"/>
      <c r="K1074" s="48"/>
      <c r="L1074" s="49"/>
      <c r="M1074" s="49"/>
      <c r="N1074" s="50"/>
      <c r="O1074" s="51"/>
      <c r="P1074" s="52"/>
      <c r="Q1074" s="53"/>
      <c r="R1074" s="77"/>
      <c r="S1074" s="78"/>
      <c r="T1074" s="56"/>
      <c r="U1074" s="80"/>
      <c r="V1074" s="56"/>
      <c r="W1074" s="56"/>
      <c r="X1074" s="80"/>
      <c r="Y1074" s="57"/>
      <c r="Z1074" s="58"/>
      <c r="AA1074" s="82"/>
      <c r="AB1074" s="83"/>
      <c r="AC1074" s="83"/>
      <c r="AD1074" s="77"/>
      <c r="AE1074" s="84"/>
      <c r="AF1074" s="84"/>
      <c r="AG1074" s="62"/>
      <c r="AH1074" s="63"/>
    </row>
    <row r="1075" spans="1:34" ht="16.5" thickTop="1" thickBot="1">
      <c r="A1075" s="41"/>
      <c r="B1075" s="42"/>
      <c r="C1075" s="43"/>
      <c r="D1075" s="44"/>
      <c r="E1075" s="45"/>
      <c r="F1075" s="46"/>
      <c r="G1075" s="45"/>
      <c r="H1075" s="45"/>
      <c r="I1075" s="47"/>
      <c r="J1075" s="48"/>
      <c r="K1075" s="48"/>
      <c r="L1075" s="49"/>
      <c r="M1075" s="49"/>
      <c r="N1075" s="50"/>
      <c r="O1075" s="51"/>
      <c r="P1075" s="52"/>
      <c r="Q1075" s="53"/>
      <c r="R1075" s="77"/>
      <c r="S1075" s="78"/>
      <c r="T1075" s="56"/>
      <c r="U1075" s="80"/>
      <c r="V1075" s="56"/>
      <c r="W1075" s="56"/>
      <c r="X1075" s="80"/>
      <c r="Y1075" s="57"/>
      <c r="Z1075" s="58"/>
      <c r="AA1075" s="82"/>
      <c r="AB1075" s="83"/>
      <c r="AC1075" s="83"/>
      <c r="AD1075" s="77"/>
      <c r="AE1075" s="84"/>
      <c r="AF1075" s="84"/>
      <c r="AG1075" s="62"/>
      <c r="AH1075" s="63"/>
    </row>
    <row r="1076" spans="1:34" ht="16.5" thickTop="1" thickBot="1">
      <c r="A1076" s="41"/>
      <c r="B1076" s="42"/>
      <c r="C1076" s="43"/>
      <c r="D1076" s="44"/>
      <c r="E1076" s="45"/>
      <c r="F1076" s="46"/>
      <c r="G1076" s="45"/>
      <c r="H1076" s="45"/>
      <c r="I1076" s="47"/>
      <c r="J1076" s="48"/>
      <c r="K1076" s="48"/>
      <c r="L1076" s="49"/>
      <c r="M1076" s="49"/>
      <c r="N1076" s="50"/>
      <c r="O1076" s="51"/>
      <c r="P1076" s="52"/>
      <c r="Q1076" s="53"/>
      <c r="R1076" s="77"/>
      <c r="S1076" s="78"/>
      <c r="T1076" s="56"/>
      <c r="U1076" s="80"/>
      <c r="V1076" s="56"/>
      <c r="W1076" s="56"/>
      <c r="X1076" s="80"/>
      <c r="Y1076" s="57"/>
      <c r="Z1076" s="58"/>
      <c r="AA1076" s="82"/>
      <c r="AB1076" s="83"/>
      <c r="AC1076" s="83"/>
      <c r="AD1076" s="77"/>
      <c r="AE1076" s="84"/>
      <c r="AF1076" s="84"/>
      <c r="AG1076" s="62"/>
      <c r="AH1076" s="63"/>
    </row>
    <row r="1077" spans="1:34" ht="16.5" thickTop="1" thickBot="1">
      <c r="A1077" s="41"/>
      <c r="B1077" s="42"/>
      <c r="C1077" s="43"/>
      <c r="D1077" s="44"/>
      <c r="E1077" s="45"/>
      <c r="F1077" s="46"/>
      <c r="G1077" s="45"/>
      <c r="H1077" s="45"/>
      <c r="I1077" s="47"/>
      <c r="J1077" s="48"/>
      <c r="K1077" s="48"/>
      <c r="L1077" s="49"/>
      <c r="M1077" s="49"/>
      <c r="N1077" s="50"/>
      <c r="O1077" s="51"/>
      <c r="P1077" s="52"/>
      <c r="Q1077" s="53"/>
      <c r="R1077" s="77"/>
      <c r="S1077" s="78"/>
      <c r="T1077" s="56"/>
      <c r="U1077" s="80"/>
      <c r="V1077" s="56"/>
      <c r="W1077" s="56"/>
      <c r="X1077" s="80"/>
      <c r="Y1077" s="57"/>
      <c r="Z1077" s="58"/>
      <c r="AA1077" s="82"/>
      <c r="AB1077" s="83"/>
      <c r="AC1077" s="83"/>
      <c r="AD1077" s="77"/>
      <c r="AE1077" s="84"/>
      <c r="AF1077" s="84"/>
      <c r="AG1077" s="62"/>
      <c r="AH1077" s="63"/>
    </row>
    <row r="1078" spans="1:34" ht="16.5" thickTop="1" thickBot="1">
      <c r="A1078" s="41"/>
      <c r="B1078" s="42"/>
      <c r="C1078" s="43"/>
      <c r="D1078" s="44"/>
      <c r="E1078" s="45"/>
      <c r="F1078" s="46"/>
      <c r="G1078" s="45"/>
      <c r="H1078" s="45"/>
      <c r="I1078" s="47"/>
      <c r="J1078" s="48"/>
      <c r="K1078" s="48"/>
      <c r="L1078" s="49"/>
      <c r="M1078" s="49"/>
      <c r="N1078" s="50"/>
      <c r="O1078" s="51"/>
      <c r="P1078" s="52"/>
      <c r="Q1078" s="53"/>
      <c r="R1078" s="77"/>
      <c r="S1078" s="78"/>
      <c r="T1078" s="56"/>
      <c r="U1078" s="80"/>
      <c r="V1078" s="56"/>
      <c r="W1078" s="56"/>
      <c r="X1078" s="80"/>
      <c r="Y1078" s="57"/>
      <c r="Z1078" s="58"/>
      <c r="AA1078" s="82"/>
      <c r="AB1078" s="83"/>
      <c r="AC1078" s="83"/>
      <c r="AD1078" s="77"/>
      <c r="AE1078" s="84"/>
      <c r="AF1078" s="84"/>
      <c r="AG1078" s="62"/>
      <c r="AH1078" s="63"/>
    </row>
    <row r="1079" spans="1:34" ht="16.5" thickTop="1" thickBot="1">
      <c r="A1079" s="41"/>
      <c r="B1079" s="42"/>
      <c r="C1079" s="43"/>
      <c r="D1079" s="44"/>
      <c r="E1079" s="45"/>
      <c r="F1079" s="46"/>
      <c r="G1079" s="45"/>
      <c r="H1079" s="45"/>
      <c r="I1079" s="47"/>
      <c r="J1079" s="48"/>
      <c r="K1079" s="48"/>
      <c r="L1079" s="49"/>
      <c r="M1079" s="49"/>
      <c r="N1079" s="50"/>
      <c r="O1079" s="51"/>
      <c r="P1079" s="52"/>
      <c r="Q1079" s="53"/>
      <c r="R1079" s="77"/>
      <c r="S1079" s="78"/>
      <c r="T1079" s="56"/>
      <c r="U1079" s="80"/>
      <c r="V1079" s="56"/>
      <c r="W1079" s="56"/>
      <c r="X1079" s="80"/>
      <c r="Y1079" s="57"/>
      <c r="Z1079" s="58"/>
      <c r="AA1079" s="82"/>
      <c r="AB1079" s="83"/>
      <c r="AC1079" s="83"/>
      <c r="AD1079" s="77"/>
      <c r="AE1079" s="84"/>
      <c r="AF1079" s="84"/>
      <c r="AG1079" s="62"/>
      <c r="AH1079" s="63"/>
    </row>
    <row r="1080" spans="1:34" ht="16.5" thickTop="1" thickBot="1">
      <c r="A1080" s="41"/>
      <c r="B1080" s="42"/>
      <c r="C1080" s="43"/>
      <c r="D1080" s="44"/>
      <c r="E1080" s="45"/>
      <c r="F1080" s="46"/>
      <c r="G1080" s="45"/>
      <c r="H1080" s="45"/>
      <c r="I1080" s="47"/>
      <c r="J1080" s="48"/>
      <c r="K1080" s="48"/>
      <c r="L1080" s="49"/>
      <c r="M1080" s="49"/>
      <c r="N1080" s="50"/>
      <c r="O1080" s="51"/>
      <c r="P1080" s="52"/>
      <c r="Q1080" s="53"/>
      <c r="R1080" s="54"/>
      <c r="S1080" s="55"/>
      <c r="T1080" s="56"/>
      <c r="U1080" s="57"/>
      <c r="V1080" s="56"/>
      <c r="W1080" s="56"/>
      <c r="X1080" s="57"/>
      <c r="Y1080" s="57"/>
      <c r="Z1080" s="58"/>
      <c r="AA1080" s="59"/>
      <c r="AB1080" s="60"/>
      <c r="AC1080" s="60"/>
      <c r="AD1080" s="54"/>
      <c r="AE1080" s="61"/>
      <c r="AF1080" s="61"/>
      <c r="AG1080" s="62"/>
      <c r="AH1080" s="63"/>
    </row>
    <row r="1081" spans="1:34" ht="16.5" thickTop="1" thickBot="1">
      <c r="A1081" s="41"/>
      <c r="B1081" s="42"/>
      <c r="C1081" s="43"/>
      <c r="D1081" s="44"/>
      <c r="E1081" s="45"/>
      <c r="F1081" s="46"/>
      <c r="G1081" s="45"/>
      <c r="H1081" s="45"/>
      <c r="I1081" s="47"/>
      <c r="J1081" s="48"/>
      <c r="K1081" s="48"/>
      <c r="L1081" s="49"/>
      <c r="M1081" s="49"/>
      <c r="N1081" s="50"/>
      <c r="O1081" s="51"/>
      <c r="P1081" s="52"/>
      <c r="Q1081" s="53"/>
      <c r="R1081" s="54"/>
      <c r="S1081" s="55"/>
      <c r="T1081" s="56"/>
      <c r="U1081" s="57"/>
      <c r="V1081" s="56"/>
      <c r="W1081" s="56"/>
      <c r="X1081" s="57"/>
      <c r="Y1081" s="57"/>
      <c r="Z1081" s="58"/>
      <c r="AA1081" s="59"/>
      <c r="AB1081" s="60"/>
      <c r="AC1081" s="60"/>
      <c r="AD1081" s="54"/>
      <c r="AE1081" s="61"/>
      <c r="AF1081" s="61"/>
      <c r="AG1081" s="62"/>
      <c r="AH1081" s="63"/>
    </row>
    <row r="1082" spans="1:34" ht="16.5" thickTop="1" thickBot="1">
      <c r="A1082" s="41"/>
      <c r="B1082" s="42"/>
      <c r="C1082" s="43"/>
      <c r="D1082" s="44"/>
      <c r="E1082" s="45"/>
      <c r="F1082" s="46"/>
      <c r="G1082" s="45"/>
      <c r="H1082" s="45"/>
      <c r="I1082" s="47"/>
      <c r="J1082" s="48"/>
      <c r="K1082" s="48"/>
      <c r="L1082" s="49"/>
      <c r="M1082" s="49"/>
      <c r="N1082" s="50"/>
      <c r="O1082" s="51"/>
      <c r="P1082" s="52"/>
      <c r="Q1082" s="53"/>
      <c r="R1082" s="54"/>
      <c r="S1082" s="55"/>
      <c r="T1082" s="56"/>
      <c r="U1082" s="57"/>
      <c r="V1082" s="56"/>
      <c r="W1082" s="56"/>
      <c r="X1082" s="57"/>
      <c r="Y1082" s="57"/>
      <c r="Z1082" s="58"/>
      <c r="AA1082" s="59"/>
      <c r="AB1082" s="60"/>
      <c r="AC1082" s="60"/>
      <c r="AD1082" s="54"/>
      <c r="AE1082" s="61"/>
      <c r="AF1082" s="61"/>
      <c r="AG1082" s="62"/>
      <c r="AH1082" s="63"/>
    </row>
    <row r="1083" spans="1:34" ht="16.5" thickTop="1" thickBot="1">
      <c r="A1083" s="41"/>
      <c r="B1083" s="42"/>
      <c r="C1083" s="43"/>
      <c r="D1083" s="44"/>
      <c r="E1083" s="45"/>
      <c r="F1083" s="46"/>
      <c r="G1083" s="45"/>
      <c r="H1083" s="45"/>
      <c r="I1083" s="47"/>
      <c r="J1083" s="48"/>
      <c r="K1083" s="48"/>
      <c r="L1083" s="49"/>
      <c r="M1083" s="49"/>
      <c r="N1083" s="50"/>
      <c r="O1083" s="51"/>
      <c r="P1083" s="52"/>
      <c r="Q1083" s="53"/>
      <c r="R1083" s="54"/>
      <c r="S1083" s="55"/>
      <c r="T1083" s="56"/>
      <c r="U1083" s="57"/>
      <c r="V1083" s="56"/>
      <c r="W1083" s="56"/>
      <c r="X1083" s="57"/>
      <c r="Y1083" s="57"/>
      <c r="Z1083" s="58"/>
      <c r="AA1083" s="59"/>
      <c r="AB1083" s="60"/>
      <c r="AC1083" s="60"/>
      <c r="AD1083" s="54"/>
      <c r="AE1083" s="61"/>
      <c r="AF1083" s="61"/>
      <c r="AG1083" s="62"/>
      <c r="AH1083" s="63"/>
    </row>
    <row r="1084" spans="1:34" ht="16.5" thickTop="1" thickBot="1">
      <c r="A1084" s="41"/>
      <c r="B1084" s="42"/>
      <c r="C1084" s="43"/>
      <c r="D1084" s="44"/>
      <c r="E1084" s="45"/>
      <c r="F1084" s="46"/>
      <c r="G1084" s="45"/>
      <c r="H1084" s="45"/>
      <c r="I1084" s="47"/>
      <c r="J1084" s="48"/>
      <c r="K1084" s="48"/>
      <c r="L1084" s="49"/>
      <c r="M1084" s="49"/>
      <c r="N1084" s="50"/>
      <c r="O1084" s="51"/>
      <c r="P1084" s="52"/>
      <c r="Q1084" s="53"/>
      <c r="R1084" s="54"/>
      <c r="S1084" s="55"/>
      <c r="T1084" s="56"/>
      <c r="U1084" s="57"/>
      <c r="V1084" s="56"/>
      <c r="W1084" s="56"/>
      <c r="X1084" s="57"/>
      <c r="Y1084" s="57"/>
      <c r="Z1084" s="58"/>
      <c r="AA1084" s="59"/>
      <c r="AB1084" s="60"/>
      <c r="AC1084" s="60"/>
      <c r="AD1084" s="54"/>
      <c r="AE1084" s="61"/>
      <c r="AF1084" s="61"/>
      <c r="AG1084" s="62"/>
      <c r="AH1084" s="63"/>
    </row>
    <row r="1085" spans="1:34" ht="16.5" thickTop="1" thickBot="1">
      <c r="A1085" s="41"/>
      <c r="B1085" s="42"/>
      <c r="C1085" s="43"/>
      <c r="D1085" s="44"/>
      <c r="E1085" s="45"/>
      <c r="F1085" s="46"/>
      <c r="G1085" s="45"/>
      <c r="H1085" s="45"/>
      <c r="I1085" s="47"/>
      <c r="J1085" s="48"/>
      <c r="K1085" s="48"/>
      <c r="L1085" s="49"/>
      <c r="M1085" s="49"/>
      <c r="N1085" s="50"/>
      <c r="O1085" s="51"/>
      <c r="P1085" s="52"/>
      <c r="Q1085" s="53"/>
      <c r="R1085" s="54"/>
      <c r="S1085" s="55"/>
      <c r="T1085" s="56"/>
      <c r="U1085" s="57"/>
      <c r="V1085" s="56"/>
      <c r="W1085" s="56"/>
      <c r="X1085" s="93"/>
      <c r="Y1085" s="57"/>
      <c r="Z1085" s="58"/>
      <c r="AA1085" s="59"/>
      <c r="AB1085" s="60"/>
      <c r="AC1085" s="60"/>
      <c r="AD1085" s="54"/>
      <c r="AE1085" s="61"/>
      <c r="AF1085" s="61"/>
      <c r="AG1085" s="62"/>
      <c r="AH1085" s="63"/>
    </row>
    <row r="1086" spans="1:34" ht="16.5" thickTop="1" thickBot="1">
      <c r="A1086" s="41"/>
      <c r="B1086" s="42"/>
      <c r="C1086" s="43"/>
      <c r="D1086" s="44"/>
      <c r="E1086" s="45"/>
      <c r="F1086" s="46"/>
      <c r="G1086" s="45"/>
      <c r="H1086" s="45"/>
      <c r="I1086" s="47"/>
      <c r="J1086" s="48"/>
      <c r="K1086" s="48"/>
      <c r="L1086" s="49"/>
      <c r="M1086" s="49"/>
      <c r="N1086" s="50"/>
      <c r="O1086" s="51"/>
      <c r="P1086" s="52"/>
      <c r="Q1086" s="53"/>
      <c r="R1086" s="54"/>
      <c r="S1086" s="55"/>
      <c r="T1086" s="56"/>
      <c r="U1086" s="57"/>
      <c r="V1086" s="56"/>
      <c r="W1086" s="56"/>
      <c r="Y1086" s="57"/>
      <c r="Z1086" s="58"/>
      <c r="AA1086" s="59"/>
      <c r="AB1086" s="60"/>
      <c r="AC1086" s="60"/>
      <c r="AD1086" s="54"/>
      <c r="AE1086" s="61"/>
      <c r="AF1086" s="61"/>
      <c r="AG1086" s="62"/>
      <c r="AH1086" s="63"/>
    </row>
    <row r="1087" spans="1:34" ht="16.5" thickTop="1" thickBot="1">
      <c r="A1087" s="41"/>
      <c r="B1087" s="42"/>
      <c r="C1087" s="43"/>
      <c r="D1087" s="44"/>
      <c r="E1087" s="45"/>
      <c r="F1087" s="46"/>
      <c r="G1087" s="45"/>
      <c r="H1087" s="45"/>
      <c r="I1087" s="47"/>
      <c r="J1087" s="48"/>
      <c r="K1087" s="48"/>
      <c r="L1087" s="49"/>
      <c r="M1087" s="49"/>
      <c r="N1087" s="50"/>
      <c r="O1087" s="51"/>
      <c r="P1087" s="52"/>
      <c r="Q1087" s="53"/>
      <c r="R1087" s="54"/>
      <c r="S1087" s="55"/>
      <c r="T1087" s="56"/>
      <c r="U1087" s="57"/>
      <c r="V1087" s="56"/>
      <c r="W1087" s="56"/>
      <c r="Y1087" s="57"/>
      <c r="Z1087" s="58"/>
      <c r="AA1087" s="59"/>
      <c r="AB1087" s="60"/>
      <c r="AC1087" s="60"/>
      <c r="AD1087" s="54"/>
      <c r="AE1087" s="61"/>
      <c r="AF1087" s="61"/>
      <c r="AG1087" s="62"/>
      <c r="AH1087" s="63"/>
    </row>
    <row r="1088" spans="1:34" ht="16.5" thickTop="1" thickBot="1">
      <c r="A1088" s="41"/>
      <c r="B1088" s="42"/>
      <c r="C1088" s="43"/>
      <c r="D1088" s="44"/>
      <c r="E1088" s="45"/>
      <c r="F1088" s="46"/>
      <c r="G1088" s="45"/>
      <c r="H1088" s="45"/>
      <c r="I1088" s="47"/>
      <c r="J1088" s="48"/>
      <c r="K1088" s="48"/>
      <c r="L1088" s="49"/>
      <c r="M1088" s="49"/>
      <c r="N1088" s="50"/>
      <c r="O1088" s="51"/>
      <c r="P1088" s="52"/>
      <c r="Q1088" s="53"/>
      <c r="R1088" s="54"/>
      <c r="S1088" s="55"/>
      <c r="T1088" s="56"/>
      <c r="U1088" s="57"/>
      <c r="V1088" s="56"/>
      <c r="W1088" s="56"/>
      <c r="X1088" s="57"/>
      <c r="Y1088" s="57"/>
      <c r="Z1088" s="58"/>
      <c r="AA1088" s="59"/>
      <c r="AB1088" s="60"/>
      <c r="AC1088" s="60"/>
      <c r="AD1088" s="54"/>
      <c r="AE1088" s="61"/>
      <c r="AF1088" s="61"/>
      <c r="AG1088" s="62"/>
      <c r="AH1088" s="63"/>
    </row>
    <row r="1089" spans="1:34" ht="16.5" thickTop="1" thickBot="1">
      <c r="A1089" s="41"/>
      <c r="B1089" s="42"/>
      <c r="C1089" s="43"/>
      <c r="D1089" s="44"/>
      <c r="E1089" s="45"/>
      <c r="F1089" s="46"/>
      <c r="G1089" s="45"/>
      <c r="H1089" s="45"/>
      <c r="I1089" s="47"/>
      <c r="J1089" s="48"/>
      <c r="K1089" s="48"/>
      <c r="L1089" s="49"/>
      <c r="M1089" s="49"/>
      <c r="N1089" s="50"/>
      <c r="O1089" s="51"/>
      <c r="P1089" s="52"/>
      <c r="Q1089" s="53"/>
      <c r="R1089" s="54"/>
      <c r="S1089" s="55"/>
      <c r="T1089" s="56"/>
      <c r="U1089" s="57"/>
      <c r="V1089" s="56"/>
      <c r="W1089" s="56"/>
      <c r="Y1089" s="57"/>
      <c r="Z1089" s="58"/>
      <c r="AA1089" s="59"/>
      <c r="AB1089" s="60"/>
      <c r="AC1089" s="60"/>
      <c r="AD1089" s="54"/>
      <c r="AE1089" s="61"/>
      <c r="AF1089" s="61"/>
      <c r="AG1089" s="62"/>
      <c r="AH1089" s="63"/>
    </row>
    <row r="1090" spans="1:34" ht="16.5" thickTop="1" thickBot="1">
      <c r="A1090" s="41"/>
      <c r="B1090" s="42"/>
      <c r="C1090" s="43"/>
      <c r="D1090" s="44"/>
      <c r="E1090" s="45"/>
      <c r="F1090" s="46"/>
      <c r="G1090" s="45"/>
      <c r="H1090" s="45"/>
      <c r="I1090" s="47"/>
      <c r="J1090" s="48"/>
      <c r="K1090" s="48"/>
      <c r="L1090" s="49"/>
      <c r="M1090" s="49"/>
      <c r="N1090" s="50"/>
      <c r="O1090" s="51"/>
      <c r="P1090" s="52"/>
      <c r="Q1090" s="53"/>
      <c r="R1090" s="77"/>
      <c r="S1090" s="78"/>
      <c r="T1090" s="56"/>
      <c r="U1090" s="80"/>
      <c r="V1090" s="56"/>
      <c r="W1090" s="56"/>
      <c r="Y1090" s="57"/>
      <c r="Z1090" s="58"/>
      <c r="AA1090" s="82"/>
      <c r="AB1090" s="83"/>
      <c r="AC1090" s="83"/>
      <c r="AD1090" s="77"/>
      <c r="AE1090" s="84"/>
      <c r="AF1090" s="84"/>
      <c r="AG1090" s="62"/>
      <c r="AH1090" s="63"/>
    </row>
    <row r="1091" spans="1:34" ht="16.5" thickTop="1" thickBot="1">
      <c r="A1091" s="41"/>
      <c r="B1091" s="42"/>
      <c r="C1091" s="43"/>
      <c r="D1091" s="44"/>
      <c r="E1091" s="45"/>
      <c r="F1091" s="46"/>
      <c r="G1091" s="45"/>
      <c r="H1091" s="45"/>
      <c r="I1091" s="47"/>
      <c r="J1091" s="48"/>
      <c r="K1091" s="48"/>
      <c r="L1091" s="49"/>
      <c r="M1091" s="49"/>
      <c r="N1091" s="50"/>
      <c r="O1091" s="51"/>
      <c r="P1091" s="52"/>
      <c r="Q1091" s="53"/>
      <c r="R1091" s="77"/>
      <c r="S1091" s="78"/>
      <c r="T1091" s="56"/>
      <c r="U1091" s="80"/>
      <c r="V1091" s="56"/>
      <c r="W1091" s="56"/>
      <c r="Y1091" s="57"/>
      <c r="Z1091" s="58"/>
      <c r="AA1091" s="82"/>
      <c r="AB1091" s="83"/>
      <c r="AC1091" s="83"/>
      <c r="AD1091" s="77"/>
      <c r="AE1091" s="84"/>
      <c r="AF1091" s="84"/>
      <c r="AG1091" s="62"/>
      <c r="AH1091" s="63"/>
    </row>
    <row r="1092" spans="1:34" ht="16.5" thickTop="1" thickBot="1">
      <c r="A1092" s="41"/>
      <c r="B1092" s="42"/>
      <c r="C1092" s="43"/>
      <c r="D1092" s="44"/>
      <c r="E1092" s="45"/>
      <c r="F1092" s="46"/>
      <c r="G1092" s="45"/>
      <c r="H1092" s="45"/>
      <c r="I1092" s="47"/>
      <c r="J1092" s="48"/>
      <c r="K1092" s="48"/>
      <c r="L1092" s="49"/>
      <c r="M1092" s="49"/>
      <c r="N1092" s="50"/>
      <c r="O1092" s="51"/>
      <c r="P1092" s="52"/>
      <c r="Q1092" s="53"/>
      <c r="R1092" s="77"/>
      <c r="S1092" s="78"/>
      <c r="T1092" s="56"/>
      <c r="U1092" s="80"/>
      <c r="V1092" s="56"/>
      <c r="W1092" s="56"/>
      <c r="Y1092" s="57"/>
      <c r="Z1092" s="58"/>
      <c r="AA1092" s="82"/>
      <c r="AB1092" s="83"/>
      <c r="AC1092" s="83"/>
      <c r="AD1092" s="77"/>
      <c r="AE1092" s="84"/>
      <c r="AF1092" s="84"/>
      <c r="AG1092" s="62"/>
      <c r="AH1092" s="63"/>
    </row>
    <row r="1093" spans="1:34" ht="16.5" thickTop="1" thickBot="1">
      <c r="A1093" s="41"/>
      <c r="B1093" s="42"/>
      <c r="C1093" s="43"/>
      <c r="D1093" s="44"/>
      <c r="E1093" s="45"/>
      <c r="F1093" s="46"/>
      <c r="G1093" s="45"/>
      <c r="H1093" s="45"/>
      <c r="I1093" s="47"/>
      <c r="J1093" s="48"/>
      <c r="K1093" s="48"/>
      <c r="L1093" s="49"/>
      <c r="M1093" s="49"/>
      <c r="N1093" s="50"/>
      <c r="O1093" s="51"/>
      <c r="P1093" s="52"/>
      <c r="Q1093" s="53"/>
      <c r="R1093" s="77"/>
      <c r="S1093" s="78"/>
      <c r="T1093" s="56"/>
      <c r="U1093" s="80"/>
      <c r="V1093" s="56"/>
      <c r="W1093" s="56"/>
      <c r="Y1093" s="57"/>
      <c r="Z1093" s="58"/>
      <c r="AA1093" s="82"/>
      <c r="AB1093" s="83"/>
      <c r="AC1093" s="83"/>
      <c r="AD1093" s="77"/>
      <c r="AE1093" s="84"/>
      <c r="AF1093" s="84"/>
      <c r="AG1093" s="62"/>
      <c r="AH1093" s="63"/>
    </row>
    <row r="1094" spans="1:34" ht="16.5" thickTop="1" thickBot="1">
      <c r="A1094" s="41"/>
      <c r="B1094" s="42"/>
      <c r="C1094" s="43"/>
      <c r="D1094" s="44"/>
      <c r="E1094" s="45"/>
      <c r="F1094" s="46"/>
      <c r="G1094" s="45"/>
      <c r="H1094" s="45"/>
      <c r="I1094" s="47"/>
      <c r="J1094" s="48"/>
      <c r="K1094" s="48"/>
      <c r="L1094" s="49"/>
      <c r="M1094" s="49"/>
      <c r="N1094" s="50"/>
      <c r="O1094" s="51"/>
      <c r="P1094" s="52"/>
      <c r="Q1094" s="53"/>
      <c r="R1094" s="77"/>
      <c r="S1094" s="78"/>
      <c r="T1094" s="56"/>
      <c r="U1094" s="80"/>
      <c r="V1094" s="56"/>
      <c r="W1094" s="56"/>
      <c r="Y1094" s="57"/>
      <c r="Z1094" s="58"/>
      <c r="AA1094" s="82"/>
      <c r="AB1094" s="83"/>
      <c r="AC1094" s="83"/>
      <c r="AD1094" s="77"/>
      <c r="AE1094" s="84"/>
      <c r="AF1094" s="84"/>
      <c r="AG1094" s="62"/>
      <c r="AH1094" s="63"/>
    </row>
    <row r="1095" spans="1:34" ht="16.5" thickTop="1" thickBot="1">
      <c r="A1095" s="41"/>
      <c r="B1095" s="42"/>
      <c r="C1095" s="43"/>
      <c r="D1095" s="44"/>
      <c r="E1095" s="45"/>
      <c r="F1095" s="46"/>
      <c r="G1095" s="45"/>
      <c r="H1095" s="45"/>
      <c r="I1095" s="47"/>
      <c r="J1095" s="48"/>
      <c r="K1095" s="48"/>
      <c r="L1095" s="49"/>
      <c r="M1095" s="49"/>
      <c r="N1095" s="50"/>
      <c r="O1095" s="51"/>
      <c r="P1095" s="52"/>
      <c r="Q1095" s="53"/>
      <c r="R1095" s="77"/>
      <c r="S1095" s="78"/>
      <c r="T1095" s="56"/>
      <c r="U1095" s="80"/>
      <c r="V1095" s="56"/>
      <c r="W1095" s="56"/>
      <c r="Y1095" s="57"/>
      <c r="Z1095" s="58"/>
      <c r="AA1095" s="82"/>
      <c r="AB1095" s="83"/>
      <c r="AC1095" s="83"/>
      <c r="AD1095" s="77"/>
      <c r="AE1095" s="84"/>
      <c r="AF1095" s="84"/>
      <c r="AG1095" s="62"/>
      <c r="AH1095" s="63"/>
    </row>
    <row r="1096" spans="1:34" ht="16.5" thickTop="1" thickBot="1">
      <c r="A1096" s="41"/>
      <c r="B1096" s="42"/>
      <c r="C1096" s="43"/>
      <c r="D1096" s="44"/>
      <c r="E1096" s="45"/>
      <c r="F1096" s="46"/>
      <c r="G1096" s="45"/>
      <c r="H1096" s="45"/>
      <c r="I1096" s="47"/>
      <c r="J1096" s="48"/>
      <c r="K1096" s="48"/>
      <c r="L1096" s="49"/>
      <c r="M1096" s="49"/>
      <c r="N1096" s="50"/>
      <c r="O1096" s="51"/>
      <c r="P1096" s="52"/>
      <c r="Q1096" s="53"/>
      <c r="R1096" s="77"/>
      <c r="S1096" s="78"/>
      <c r="T1096" s="56"/>
      <c r="U1096" s="80"/>
      <c r="V1096" s="56"/>
      <c r="W1096" s="56"/>
      <c r="Y1096" s="57"/>
      <c r="Z1096" s="58"/>
      <c r="AA1096" s="82"/>
      <c r="AB1096" s="83"/>
      <c r="AC1096" s="83"/>
      <c r="AD1096" s="77"/>
      <c r="AE1096" s="84"/>
      <c r="AF1096" s="84"/>
      <c r="AG1096" s="62"/>
      <c r="AH1096" s="63"/>
    </row>
    <row r="1097" spans="1:34" ht="16.5" thickTop="1" thickBot="1">
      <c r="A1097" s="41"/>
      <c r="B1097" s="42"/>
      <c r="C1097" s="43"/>
      <c r="D1097" s="44"/>
      <c r="E1097" s="45"/>
      <c r="F1097" s="46"/>
      <c r="G1097" s="45"/>
      <c r="H1097" s="45"/>
      <c r="I1097" s="47"/>
      <c r="J1097" s="48"/>
      <c r="K1097" s="48"/>
      <c r="L1097" s="49"/>
      <c r="M1097" s="49"/>
      <c r="N1097" s="50"/>
      <c r="O1097" s="51"/>
      <c r="P1097" s="52"/>
      <c r="Q1097" s="53"/>
      <c r="R1097" s="77"/>
      <c r="S1097" s="78"/>
      <c r="T1097" s="56"/>
      <c r="U1097" s="80"/>
      <c r="V1097" s="56"/>
      <c r="W1097" s="56"/>
      <c r="Y1097" s="57"/>
      <c r="Z1097" s="58"/>
      <c r="AA1097" s="82"/>
      <c r="AB1097" s="83"/>
      <c r="AC1097" s="83"/>
      <c r="AD1097" s="77"/>
      <c r="AE1097" s="84"/>
      <c r="AF1097" s="84"/>
      <c r="AG1097" s="62"/>
      <c r="AH1097" s="63"/>
    </row>
    <row r="1098" spans="1:34" ht="16.5" thickTop="1" thickBot="1">
      <c r="A1098" s="41"/>
      <c r="B1098" s="42"/>
      <c r="C1098" s="43"/>
      <c r="D1098" s="44"/>
      <c r="E1098" s="45"/>
      <c r="F1098" s="46"/>
      <c r="G1098" s="45"/>
      <c r="H1098" s="45"/>
      <c r="I1098" s="47"/>
      <c r="J1098" s="48"/>
      <c r="K1098" s="48"/>
      <c r="L1098" s="49"/>
      <c r="M1098" s="49"/>
      <c r="N1098" s="50"/>
      <c r="O1098" s="51"/>
      <c r="P1098" s="52"/>
      <c r="Q1098" s="53"/>
      <c r="R1098" s="77"/>
      <c r="S1098" s="78"/>
      <c r="T1098" s="56"/>
      <c r="U1098" s="80"/>
      <c r="V1098" s="56"/>
      <c r="W1098" s="56"/>
      <c r="Y1098" s="57"/>
      <c r="Z1098" s="58"/>
      <c r="AA1098" s="82"/>
      <c r="AB1098" s="83"/>
      <c r="AC1098" s="83"/>
      <c r="AD1098" s="77"/>
      <c r="AE1098" s="84"/>
      <c r="AF1098" s="84"/>
      <c r="AG1098" s="62"/>
      <c r="AH1098" s="63"/>
    </row>
    <row r="1099" spans="1:34" ht="16.5" thickTop="1" thickBot="1">
      <c r="A1099" s="41"/>
      <c r="B1099" s="42"/>
      <c r="C1099" s="43"/>
      <c r="D1099" s="44"/>
      <c r="E1099" s="45"/>
      <c r="F1099" s="46"/>
      <c r="G1099" s="45"/>
      <c r="H1099" s="45"/>
      <c r="I1099" s="47"/>
      <c r="J1099" s="48"/>
      <c r="K1099" s="48"/>
      <c r="L1099" s="49"/>
      <c r="M1099" s="49"/>
      <c r="N1099" s="50"/>
      <c r="O1099" s="51"/>
      <c r="P1099" s="52"/>
      <c r="Q1099" s="53"/>
      <c r="R1099" s="77"/>
      <c r="S1099" s="78"/>
      <c r="T1099" s="56"/>
      <c r="U1099" s="80"/>
      <c r="V1099" s="56"/>
      <c r="W1099" s="56"/>
      <c r="Y1099" s="57"/>
      <c r="Z1099" s="58"/>
      <c r="AA1099" s="82"/>
      <c r="AB1099" s="83"/>
      <c r="AC1099" s="83"/>
      <c r="AD1099" s="77"/>
      <c r="AE1099" s="84"/>
      <c r="AF1099" s="84"/>
      <c r="AG1099" s="62"/>
      <c r="AH1099" s="63"/>
    </row>
    <row r="1100" spans="1:34" ht="16.5" thickTop="1" thickBot="1">
      <c r="A1100" s="41"/>
      <c r="B1100" s="42"/>
      <c r="C1100" s="43"/>
      <c r="D1100" s="44"/>
      <c r="E1100" s="45"/>
      <c r="F1100" s="46"/>
      <c r="G1100" s="45"/>
      <c r="H1100" s="45"/>
      <c r="I1100" s="47"/>
      <c r="J1100" s="48"/>
      <c r="K1100" s="48"/>
      <c r="L1100" s="49"/>
      <c r="M1100" s="49"/>
      <c r="N1100" s="50"/>
      <c r="O1100" s="51"/>
      <c r="P1100" s="52"/>
      <c r="Q1100" s="53"/>
      <c r="R1100" s="77"/>
      <c r="S1100" s="78"/>
      <c r="T1100" s="56"/>
      <c r="U1100" s="80"/>
      <c r="V1100" s="56"/>
      <c r="W1100" s="56"/>
      <c r="Y1100" s="57"/>
      <c r="Z1100" s="58"/>
      <c r="AA1100" s="82"/>
      <c r="AB1100" s="83"/>
      <c r="AC1100" s="83"/>
      <c r="AD1100" s="77"/>
      <c r="AE1100" s="84"/>
      <c r="AF1100" s="84"/>
      <c r="AG1100" s="62"/>
      <c r="AH1100" s="63"/>
    </row>
    <row r="1101" spans="1:34" ht="16.5" thickTop="1" thickBot="1">
      <c r="A1101" s="41"/>
      <c r="B1101" s="42"/>
      <c r="C1101" s="43"/>
      <c r="D1101" s="44"/>
      <c r="E1101" s="45"/>
      <c r="F1101" s="46"/>
      <c r="G1101" s="45"/>
      <c r="H1101" s="45"/>
      <c r="I1101" s="47"/>
      <c r="J1101" s="48"/>
      <c r="K1101" s="48"/>
      <c r="L1101" s="49"/>
      <c r="M1101" s="49"/>
      <c r="N1101" s="50"/>
      <c r="O1101" s="51"/>
      <c r="P1101" s="52"/>
      <c r="Q1101" s="53"/>
      <c r="R1101" s="77"/>
      <c r="S1101" s="78"/>
      <c r="T1101" s="56"/>
      <c r="U1101" s="80"/>
      <c r="V1101" s="56"/>
      <c r="W1101" s="56"/>
      <c r="Y1101" s="57"/>
      <c r="Z1101" s="58"/>
      <c r="AA1101" s="82"/>
      <c r="AB1101" s="83"/>
      <c r="AC1101" s="83"/>
      <c r="AD1101" s="77"/>
      <c r="AE1101" s="84"/>
      <c r="AF1101" s="84"/>
      <c r="AG1101" s="62"/>
      <c r="AH1101" s="63"/>
    </row>
    <row r="1102" spans="1:34" ht="16.5" thickTop="1" thickBot="1">
      <c r="A1102" s="41"/>
      <c r="B1102" s="42"/>
      <c r="C1102" s="43"/>
      <c r="D1102" s="44"/>
      <c r="E1102" s="45"/>
      <c r="F1102" s="46"/>
      <c r="G1102" s="45"/>
      <c r="H1102" s="45"/>
      <c r="I1102" s="47"/>
      <c r="J1102" s="48"/>
      <c r="K1102" s="48"/>
      <c r="L1102" s="49"/>
      <c r="M1102" s="49"/>
      <c r="N1102" s="50"/>
      <c r="O1102" s="51"/>
      <c r="P1102" s="52"/>
      <c r="Q1102" s="53"/>
      <c r="R1102" s="77"/>
      <c r="S1102" s="78"/>
      <c r="T1102" s="56"/>
      <c r="U1102" s="80"/>
      <c r="V1102" s="56"/>
      <c r="W1102" s="56"/>
      <c r="Y1102" s="57"/>
      <c r="Z1102" s="58"/>
      <c r="AA1102" s="82"/>
      <c r="AB1102" s="83"/>
      <c r="AC1102" s="83"/>
      <c r="AD1102" s="77"/>
      <c r="AE1102" s="84"/>
      <c r="AF1102" s="84"/>
      <c r="AG1102" s="62"/>
      <c r="AH1102" s="63"/>
    </row>
    <row r="1103" spans="1:34" ht="16.5" thickTop="1" thickBot="1">
      <c r="A1103" s="41"/>
      <c r="B1103" s="42"/>
      <c r="C1103" s="43"/>
      <c r="D1103" s="44"/>
      <c r="E1103" s="45"/>
      <c r="F1103" s="46"/>
      <c r="G1103" s="45"/>
      <c r="H1103" s="45"/>
      <c r="I1103" s="47"/>
      <c r="J1103" s="48"/>
      <c r="K1103" s="48"/>
      <c r="L1103" s="49"/>
      <c r="M1103" s="49"/>
      <c r="N1103" s="50"/>
      <c r="O1103" s="51"/>
      <c r="P1103" s="52"/>
      <c r="Q1103" s="53"/>
      <c r="R1103" s="77"/>
      <c r="S1103" s="78"/>
      <c r="T1103" s="56"/>
      <c r="U1103" s="80"/>
      <c r="V1103" s="56"/>
      <c r="W1103" s="56"/>
      <c r="Y1103" s="57"/>
      <c r="Z1103" s="58"/>
      <c r="AA1103" s="82"/>
      <c r="AB1103" s="83"/>
      <c r="AC1103" s="83"/>
      <c r="AD1103" s="77"/>
      <c r="AE1103" s="84"/>
      <c r="AF1103" s="84"/>
      <c r="AG1103" s="62"/>
      <c r="AH1103" s="63"/>
    </row>
    <row r="1104" spans="1:34" ht="16.5" thickTop="1" thickBot="1">
      <c r="A1104" s="41"/>
      <c r="B1104" s="42"/>
      <c r="C1104" s="43"/>
      <c r="D1104" s="44"/>
      <c r="E1104" s="45"/>
      <c r="F1104" s="46"/>
      <c r="G1104" s="45"/>
      <c r="H1104" s="45"/>
      <c r="I1104" s="47"/>
      <c r="J1104" s="48"/>
      <c r="K1104" s="48"/>
      <c r="L1104" s="49"/>
      <c r="M1104" s="49"/>
      <c r="N1104" s="50"/>
      <c r="O1104" s="51"/>
      <c r="P1104" s="52"/>
      <c r="Q1104" s="53"/>
      <c r="R1104" s="77"/>
      <c r="S1104" s="78"/>
      <c r="T1104" s="56"/>
      <c r="U1104" s="80"/>
      <c r="V1104" s="56"/>
      <c r="W1104" s="56"/>
      <c r="Y1104" s="57"/>
      <c r="Z1104" s="58"/>
      <c r="AA1104" s="82"/>
      <c r="AB1104" s="83"/>
      <c r="AC1104" s="83"/>
      <c r="AD1104" s="77"/>
      <c r="AE1104" s="84"/>
      <c r="AF1104" s="84"/>
      <c r="AG1104" s="62"/>
      <c r="AH1104" s="63"/>
    </row>
    <row r="1105" spans="1:34" ht="16.5" thickTop="1" thickBot="1">
      <c r="A1105" s="41"/>
      <c r="B1105" s="42"/>
      <c r="C1105" s="43"/>
      <c r="D1105" s="44"/>
      <c r="E1105" s="45"/>
      <c r="F1105" s="46"/>
      <c r="G1105" s="45"/>
      <c r="H1105" s="45"/>
      <c r="I1105" s="47"/>
      <c r="J1105" s="48"/>
      <c r="K1105" s="48"/>
      <c r="L1105" s="49"/>
      <c r="M1105" s="49"/>
      <c r="N1105" s="50"/>
      <c r="O1105" s="51"/>
      <c r="P1105" s="52"/>
      <c r="Q1105" s="53"/>
      <c r="R1105" s="54"/>
      <c r="S1105" s="55"/>
      <c r="T1105" s="56"/>
      <c r="U1105" s="57"/>
      <c r="V1105" s="56"/>
      <c r="W1105" s="56"/>
      <c r="X1105" s="57"/>
      <c r="Y1105" s="57"/>
      <c r="Z1105" s="58"/>
      <c r="AA1105" s="59"/>
      <c r="AB1105" s="60"/>
      <c r="AC1105" s="60"/>
      <c r="AD1105" s="54"/>
      <c r="AE1105" s="61"/>
      <c r="AF1105" s="61"/>
      <c r="AG1105" s="62"/>
      <c r="AH1105" s="63"/>
    </row>
    <row r="1106" spans="1:34" ht="16.5" thickTop="1" thickBot="1">
      <c r="A1106" s="41"/>
      <c r="B1106" s="42"/>
      <c r="C1106" s="43"/>
      <c r="D1106" s="44"/>
      <c r="E1106" s="45"/>
      <c r="F1106" s="46"/>
      <c r="G1106" s="45"/>
      <c r="H1106" s="45"/>
      <c r="I1106" s="47"/>
      <c r="J1106" s="48"/>
      <c r="K1106" s="48"/>
      <c r="L1106" s="49"/>
      <c r="M1106" s="49"/>
      <c r="N1106" s="50"/>
      <c r="O1106" s="51"/>
      <c r="P1106" s="52"/>
      <c r="Q1106" s="53"/>
      <c r="R1106" s="54"/>
      <c r="S1106" s="55"/>
      <c r="T1106" s="56"/>
      <c r="U1106" s="57"/>
      <c r="V1106" s="56"/>
      <c r="W1106" s="56"/>
      <c r="X1106" s="57"/>
      <c r="Y1106" s="57"/>
      <c r="Z1106" s="58"/>
      <c r="AA1106" s="59"/>
      <c r="AB1106" s="60"/>
      <c r="AC1106" s="60"/>
      <c r="AD1106" s="54"/>
      <c r="AE1106" s="61"/>
      <c r="AF1106" s="61"/>
      <c r="AG1106" s="62"/>
      <c r="AH1106" s="63"/>
    </row>
    <row r="1107" spans="1:34" ht="16.5" thickTop="1" thickBot="1">
      <c r="A1107" s="41"/>
      <c r="B1107" s="42"/>
      <c r="C1107" s="43"/>
      <c r="D1107" s="44"/>
      <c r="E1107" s="45"/>
      <c r="F1107" s="46"/>
      <c r="G1107" s="45"/>
      <c r="H1107" s="45"/>
      <c r="I1107" s="47"/>
      <c r="J1107" s="48"/>
      <c r="K1107" s="48"/>
      <c r="L1107" s="49"/>
      <c r="M1107" s="49"/>
      <c r="N1107" s="50"/>
      <c r="O1107" s="51"/>
      <c r="P1107" s="52"/>
      <c r="Q1107" s="53"/>
      <c r="R1107" s="54"/>
      <c r="S1107" s="55"/>
      <c r="T1107" s="56"/>
      <c r="U1107" s="57"/>
      <c r="V1107" s="56"/>
      <c r="W1107" s="56"/>
      <c r="X1107" s="57"/>
      <c r="Y1107" s="57"/>
      <c r="Z1107" s="58"/>
      <c r="AA1107" s="59"/>
      <c r="AB1107" s="60"/>
      <c r="AC1107" s="60"/>
      <c r="AD1107" s="54"/>
      <c r="AE1107" s="61"/>
      <c r="AF1107" s="61"/>
      <c r="AG1107" s="62"/>
      <c r="AH1107" s="63"/>
    </row>
    <row r="1108" spans="1:34" ht="16.5" thickTop="1" thickBot="1">
      <c r="A1108" s="41"/>
      <c r="B1108" s="42"/>
      <c r="C1108" s="43"/>
      <c r="D1108" s="44"/>
      <c r="E1108" s="45"/>
      <c r="F1108" s="46"/>
      <c r="G1108" s="45"/>
      <c r="H1108" s="45"/>
      <c r="I1108" s="47"/>
      <c r="J1108" s="48"/>
      <c r="K1108" s="48"/>
      <c r="L1108" s="49"/>
      <c r="M1108" s="49"/>
      <c r="N1108" s="50"/>
      <c r="O1108" s="51"/>
      <c r="P1108" s="52"/>
      <c r="Q1108" s="53"/>
      <c r="R1108" s="54"/>
      <c r="S1108" s="55"/>
      <c r="T1108" s="56"/>
      <c r="U1108" s="57"/>
      <c r="V1108" s="56"/>
      <c r="W1108" s="56"/>
      <c r="X1108" s="57"/>
      <c r="Y1108" s="57"/>
      <c r="Z1108" s="58"/>
      <c r="AA1108" s="59"/>
      <c r="AB1108" s="60"/>
      <c r="AC1108" s="60"/>
      <c r="AD1108" s="54"/>
      <c r="AE1108" s="61"/>
      <c r="AF1108" s="61"/>
      <c r="AG1108" s="62"/>
      <c r="AH1108" s="63"/>
    </row>
    <row r="1109" spans="1:34" ht="16.5" thickTop="1" thickBot="1">
      <c r="A1109" s="41"/>
      <c r="B1109" s="42"/>
      <c r="C1109" s="43"/>
      <c r="D1109" s="44"/>
      <c r="E1109" s="45"/>
      <c r="F1109" s="46"/>
      <c r="G1109" s="45"/>
      <c r="H1109" s="45"/>
      <c r="I1109" s="47"/>
      <c r="J1109" s="48"/>
      <c r="K1109" s="48"/>
      <c r="L1109" s="49"/>
      <c r="M1109" s="49"/>
      <c r="N1109" s="50"/>
      <c r="O1109" s="51"/>
      <c r="P1109" s="52"/>
      <c r="Q1109" s="53"/>
      <c r="R1109" s="77"/>
      <c r="S1109" s="78"/>
      <c r="T1109" s="56"/>
      <c r="U1109" s="80"/>
      <c r="V1109" s="56"/>
      <c r="W1109" s="56"/>
      <c r="X1109" s="80"/>
      <c r="Y1109" s="57"/>
      <c r="Z1109" s="58"/>
      <c r="AA1109" s="82"/>
      <c r="AB1109" s="83"/>
      <c r="AC1109" s="83"/>
      <c r="AD1109" s="77"/>
      <c r="AE1109" s="84"/>
      <c r="AF1109" s="84"/>
      <c r="AG1109" s="62"/>
      <c r="AH1109" s="63"/>
    </row>
    <row r="1110" spans="1:34" ht="16.5" thickTop="1" thickBot="1">
      <c r="A1110" s="41"/>
      <c r="B1110" s="42"/>
      <c r="C1110" s="43"/>
      <c r="D1110" s="44"/>
      <c r="E1110" s="45"/>
      <c r="F1110" s="46"/>
      <c r="G1110" s="45"/>
      <c r="H1110" s="45"/>
      <c r="I1110" s="47"/>
      <c r="J1110" s="48"/>
      <c r="K1110" s="48"/>
      <c r="L1110" s="49"/>
      <c r="M1110" s="49"/>
      <c r="N1110" s="50"/>
      <c r="O1110" s="51"/>
      <c r="P1110" s="52"/>
      <c r="Q1110" s="53"/>
      <c r="R1110" s="77"/>
      <c r="S1110" s="78"/>
      <c r="T1110" s="56"/>
      <c r="U1110" s="80"/>
      <c r="V1110" s="56"/>
      <c r="W1110" s="56"/>
      <c r="X1110" s="80"/>
      <c r="Y1110" s="57"/>
      <c r="Z1110" s="58"/>
      <c r="AA1110" s="82"/>
      <c r="AB1110" s="83"/>
      <c r="AC1110" s="83"/>
      <c r="AD1110" s="77"/>
      <c r="AE1110" s="84"/>
      <c r="AF1110" s="84"/>
      <c r="AG1110" s="62"/>
      <c r="AH1110" s="63"/>
    </row>
    <row r="1111" spans="1:34" ht="16.5" thickTop="1" thickBot="1">
      <c r="A1111" s="41"/>
      <c r="B1111" s="42"/>
      <c r="C1111" s="43"/>
      <c r="D1111" s="44"/>
      <c r="E1111" s="45"/>
      <c r="F1111" s="46"/>
      <c r="G1111" s="45"/>
      <c r="H1111" s="45"/>
      <c r="I1111" s="47"/>
      <c r="J1111" s="48"/>
      <c r="K1111" s="48"/>
      <c r="L1111" s="49"/>
      <c r="M1111" s="49"/>
      <c r="N1111" s="50"/>
      <c r="O1111" s="51"/>
      <c r="P1111" s="52"/>
      <c r="Q1111" s="53"/>
      <c r="R1111" s="77"/>
      <c r="S1111" s="78"/>
      <c r="T1111" s="56"/>
      <c r="U1111" s="80"/>
      <c r="V1111" s="56"/>
      <c r="W1111" s="56"/>
      <c r="X1111" s="80"/>
      <c r="Y1111" s="57"/>
      <c r="Z1111" s="58"/>
      <c r="AA1111" s="82"/>
      <c r="AB1111" s="83"/>
      <c r="AC1111" s="83"/>
      <c r="AD1111" s="77"/>
      <c r="AE1111" s="84"/>
      <c r="AF1111" s="84"/>
      <c r="AG1111" s="62"/>
      <c r="AH1111" s="63"/>
    </row>
    <row r="1112" spans="1:34" ht="16.5" thickTop="1" thickBot="1">
      <c r="A1112" s="41"/>
      <c r="B1112" s="42"/>
      <c r="C1112" s="43"/>
      <c r="D1112" s="44"/>
      <c r="E1112" s="45"/>
      <c r="F1112" s="46"/>
      <c r="G1112" s="45"/>
      <c r="H1112" s="45"/>
      <c r="I1112" s="47"/>
      <c r="J1112" s="48"/>
      <c r="K1112" s="48"/>
      <c r="L1112" s="49"/>
      <c r="M1112" s="49"/>
      <c r="N1112" s="50"/>
      <c r="O1112" s="51"/>
      <c r="P1112" s="52"/>
      <c r="Q1112" s="53"/>
      <c r="R1112" s="77"/>
      <c r="S1112" s="78"/>
      <c r="T1112" s="56"/>
      <c r="U1112" s="80"/>
      <c r="V1112" s="56"/>
      <c r="W1112" s="56"/>
      <c r="X1112" s="80"/>
      <c r="Y1112" s="57"/>
      <c r="Z1112" s="58"/>
      <c r="AA1112" s="82"/>
      <c r="AB1112" s="83"/>
      <c r="AC1112" s="83"/>
      <c r="AD1112" s="77"/>
      <c r="AE1112" s="84"/>
      <c r="AF1112" s="84"/>
      <c r="AG1112" s="62"/>
      <c r="AH1112" s="63"/>
    </row>
    <row r="1113" spans="1:34" ht="16.5" thickTop="1" thickBot="1">
      <c r="A1113" s="41"/>
      <c r="B1113" s="42"/>
      <c r="C1113" s="43"/>
      <c r="D1113" s="44"/>
      <c r="E1113" s="45"/>
      <c r="F1113" s="46"/>
      <c r="G1113" s="45"/>
      <c r="H1113" s="45"/>
      <c r="I1113" s="47"/>
      <c r="J1113" s="48"/>
      <c r="K1113" s="48"/>
      <c r="L1113" s="49"/>
      <c r="M1113" s="49"/>
      <c r="N1113" s="50"/>
      <c r="O1113" s="51"/>
      <c r="P1113" s="52"/>
      <c r="Q1113" s="53"/>
      <c r="R1113" s="77"/>
      <c r="S1113" s="78"/>
      <c r="T1113" s="56"/>
      <c r="U1113" s="80"/>
      <c r="V1113" s="56"/>
      <c r="W1113" s="56"/>
      <c r="X1113" s="80"/>
      <c r="Y1113" s="57"/>
      <c r="Z1113" s="58"/>
      <c r="AA1113" s="82"/>
      <c r="AB1113" s="83"/>
      <c r="AC1113" s="83"/>
      <c r="AD1113" s="77"/>
      <c r="AE1113" s="84"/>
      <c r="AF1113" s="84"/>
      <c r="AG1113" s="62"/>
      <c r="AH1113" s="63"/>
    </row>
    <row r="1114" spans="1:34" ht="16.5" thickTop="1" thickBot="1">
      <c r="A1114" s="41"/>
      <c r="B1114" s="42"/>
      <c r="C1114" s="43"/>
      <c r="D1114" s="44"/>
      <c r="E1114" s="45"/>
      <c r="F1114" s="46"/>
      <c r="G1114" s="45"/>
      <c r="H1114" s="45"/>
      <c r="I1114" s="47"/>
      <c r="J1114" s="48"/>
      <c r="K1114" s="48"/>
      <c r="L1114" s="49"/>
      <c r="M1114" s="49"/>
      <c r="N1114" s="50"/>
      <c r="O1114" s="51"/>
      <c r="P1114" s="52"/>
      <c r="Q1114" s="53"/>
      <c r="R1114" s="77"/>
      <c r="S1114" s="78"/>
      <c r="T1114" s="56"/>
      <c r="U1114" s="80"/>
      <c r="V1114" s="56"/>
      <c r="W1114" s="56"/>
      <c r="X1114" s="80"/>
      <c r="Y1114" s="57"/>
      <c r="Z1114" s="58"/>
      <c r="AA1114" s="82"/>
      <c r="AB1114" s="83"/>
      <c r="AC1114" s="83"/>
      <c r="AD1114" s="77"/>
      <c r="AE1114" s="84"/>
      <c r="AF1114" s="84"/>
      <c r="AG1114" s="62"/>
      <c r="AH1114" s="63"/>
    </row>
    <row r="1115" spans="1:34" ht="16.5" thickTop="1" thickBot="1">
      <c r="A1115" s="41"/>
      <c r="B1115" s="42"/>
      <c r="C1115" s="43"/>
      <c r="D1115" s="44"/>
      <c r="E1115" s="45"/>
      <c r="F1115" s="46"/>
      <c r="G1115" s="45"/>
      <c r="H1115" s="45"/>
      <c r="I1115" s="47"/>
      <c r="J1115" s="48"/>
      <c r="K1115" s="48"/>
      <c r="L1115" s="49"/>
      <c r="M1115" s="49"/>
      <c r="N1115" s="50"/>
      <c r="O1115" s="51"/>
      <c r="P1115" s="52"/>
      <c r="Q1115" s="53"/>
      <c r="R1115" s="77"/>
      <c r="S1115" s="78"/>
      <c r="T1115" s="56"/>
      <c r="U1115" s="80"/>
      <c r="V1115" s="56"/>
      <c r="W1115" s="56"/>
      <c r="X1115" s="80"/>
      <c r="Y1115" s="57"/>
      <c r="Z1115" s="58"/>
      <c r="AA1115" s="82"/>
      <c r="AB1115" s="83"/>
      <c r="AC1115" s="83"/>
      <c r="AD1115" s="77"/>
      <c r="AE1115" s="84"/>
      <c r="AF1115" s="84"/>
      <c r="AG1115" s="62"/>
      <c r="AH1115" s="63"/>
    </row>
    <row r="1116" spans="1:34" ht="16.5" thickTop="1" thickBot="1">
      <c r="A1116" s="41"/>
      <c r="B1116" s="42"/>
      <c r="C1116" s="43"/>
      <c r="D1116" s="44"/>
      <c r="E1116" s="45"/>
      <c r="F1116" s="46"/>
      <c r="G1116" s="45"/>
      <c r="H1116" s="45"/>
      <c r="I1116" s="47"/>
      <c r="J1116" s="48"/>
      <c r="K1116" s="48"/>
      <c r="L1116" s="49"/>
      <c r="M1116" s="49"/>
      <c r="N1116" s="50"/>
      <c r="O1116" s="51"/>
      <c r="P1116" s="52"/>
      <c r="Q1116" s="53"/>
      <c r="R1116" s="77"/>
      <c r="S1116" s="78"/>
      <c r="T1116" s="56"/>
      <c r="U1116" s="80"/>
      <c r="V1116" s="56"/>
      <c r="W1116" s="56"/>
      <c r="X1116" s="80"/>
      <c r="Y1116" s="57"/>
      <c r="Z1116" s="58"/>
      <c r="AA1116" s="82"/>
      <c r="AB1116" s="83"/>
      <c r="AC1116" s="83"/>
      <c r="AD1116" s="77"/>
      <c r="AE1116" s="84"/>
      <c r="AF1116" s="84"/>
      <c r="AG1116" s="62"/>
      <c r="AH1116" s="63"/>
    </row>
    <row r="1117" spans="1:34" ht="16.5" thickTop="1" thickBot="1">
      <c r="A1117" s="41"/>
      <c r="B1117" s="42"/>
      <c r="C1117" s="43"/>
      <c r="D1117" s="44"/>
      <c r="E1117" s="45"/>
      <c r="F1117" s="46"/>
      <c r="G1117" s="45"/>
      <c r="H1117" s="45"/>
      <c r="I1117" s="47"/>
      <c r="J1117" s="48"/>
      <c r="K1117" s="48"/>
      <c r="L1117" s="49"/>
      <c r="M1117" s="49"/>
      <c r="N1117" s="50"/>
      <c r="O1117" s="51"/>
      <c r="P1117" s="52"/>
      <c r="Q1117" s="53"/>
      <c r="R1117" s="77"/>
      <c r="S1117" s="78"/>
      <c r="T1117" s="56"/>
      <c r="U1117" s="80"/>
      <c r="V1117" s="56"/>
      <c r="W1117" s="56"/>
      <c r="X1117" s="80"/>
      <c r="Y1117" s="57"/>
      <c r="Z1117" s="58"/>
      <c r="AA1117" s="82"/>
      <c r="AB1117" s="83"/>
      <c r="AC1117" s="83"/>
      <c r="AD1117" s="77"/>
      <c r="AE1117" s="84"/>
      <c r="AF1117" s="84"/>
      <c r="AG1117" s="62"/>
      <c r="AH1117" s="63"/>
    </row>
    <row r="1118" spans="1:34" ht="16.5" thickTop="1" thickBot="1">
      <c r="A1118" s="41"/>
      <c r="B1118" s="42"/>
      <c r="C1118" s="43"/>
      <c r="D1118" s="44"/>
      <c r="E1118" s="45"/>
      <c r="F1118" s="46"/>
      <c r="G1118" s="45"/>
      <c r="H1118" s="45"/>
      <c r="I1118" s="47"/>
      <c r="J1118" s="48"/>
      <c r="K1118" s="48"/>
      <c r="L1118" s="49"/>
      <c r="M1118" s="49"/>
      <c r="N1118" s="50"/>
      <c r="O1118" s="51"/>
      <c r="P1118" s="52"/>
      <c r="Q1118" s="53"/>
      <c r="R1118" s="77"/>
      <c r="S1118" s="78"/>
      <c r="T1118" s="56"/>
      <c r="U1118" s="80"/>
      <c r="V1118" s="56"/>
      <c r="W1118" s="56"/>
      <c r="X1118" s="80"/>
      <c r="Y1118" s="57"/>
      <c r="Z1118" s="58"/>
      <c r="AA1118" s="82"/>
      <c r="AB1118" s="83"/>
      <c r="AC1118" s="83"/>
      <c r="AD1118" s="77"/>
      <c r="AE1118" s="84"/>
      <c r="AF1118" s="84"/>
      <c r="AG1118" s="62"/>
      <c r="AH1118" s="63"/>
    </row>
    <row r="1119" spans="1:34" ht="16.5" thickTop="1" thickBot="1">
      <c r="A1119" s="41"/>
      <c r="B1119" s="42"/>
      <c r="C1119" s="43"/>
      <c r="D1119" s="44"/>
      <c r="E1119" s="45"/>
      <c r="F1119" s="46"/>
      <c r="G1119" s="45"/>
      <c r="H1119" s="45"/>
      <c r="I1119" s="47"/>
      <c r="J1119" s="48"/>
      <c r="K1119" s="48"/>
      <c r="L1119" s="49"/>
      <c r="M1119" s="49"/>
      <c r="N1119" s="50"/>
      <c r="O1119" s="51"/>
      <c r="P1119" s="52"/>
      <c r="Q1119" s="53"/>
      <c r="R1119" s="77"/>
      <c r="S1119" s="78"/>
      <c r="T1119" s="56"/>
      <c r="U1119" s="80"/>
      <c r="V1119" s="56"/>
      <c r="W1119" s="56"/>
      <c r="X1119" s="80"/>
      <c r="Y1119" s="57"/>
      <c r="Z1119" s="58"/>
      <c r="AA1119" s="82"/>
      <c r="AB1119" s="83"/>
      <c r="AC1119" s="83"/>
      <c r="AD1119" s="77"/>
      <c r="AE1119" s="84"/>
      <c r="AF1119" s="84"/>
      <c r="AG1119" s="62"/>
      <c r="AH1119" s="63"/>
    </row>
    <row r="1120" spans="1:34" ht="16.5" thickTop="1" thickBot="1">
      <c r="A1120" s="41"/>
      <c r="B1120" s="42"/>
      <c r="C1120" s="43"/>
      <c r="D1120" s="44"/>
      <c r="E1120" s="45"/>
      <c r="F1120" s="46"/>
      <c r="G1120" s="45"/>
      <c r="H1120" s="45"/>
      <c r="I1120" s="47"/>
      <c r="J1120" s="48"/>
      <c r="K1120" s="48"/>
      <c r="L1120" s="49"/>
      <c r="M1120" s="49"/>
      <c r="N1120" s="50"/>
      <c r="O1120" s="51"/>
      <c r="P1120" s="52"/>
      <c r="Q1120" s="53"/>
      <c r="R1120" s="77"/>
      <c r="S1120" s="78"/>
      <c r="T1120" s="56"/>
      <c r="U1120" s="80"/>
      <c r="V1120" s="56"/>
      <c r="W1120" s="56"/>
      <c r="X1120" s="80"/>
      <c r="Y1120" s="57"/>
      <c r="Z1120" s="58"/>
      <c r="AA1120" s="82"/>
      <c r="AB1120" s="83"/>
      <c r="AC1120" s="83"/>
      <c r="AD1120" s="77"/>
      <c r="AE1120" s="84"/>
      <c r="AF1120" s="84"/>
      <c r="AG1120" s="62"/>
      <c r="AH1120" s="63"/>
    </row>
    <row r="1121" spans="1:34" ht="16.5" thickTop="1" thickBot="1">
      <c r="A1121" s="41"/>
      <c r="B1121" s="42"/>
      <c r="C1121" s="43"/>
      <c r="D1121" s="44"/>
      <c r="E1121" s="45"/>
      <c r="F1121" s="46"/>
      <c r="G1121" s="45"/>
      <c r="H1121" s="45"/>
      <c r="I1121" s="47"/>
      <c r="J1121" s="48"/>
      <c r="K1121" s="48"/>
      <c r="L1121" s="49"/>
      <c r="M1121" s="49"/>
      <c r="N1121" s="50"/>
      <c r="O1121" s="51"/>
      <c r="P1121" s="52"/>
      <c r="Q1121" s="53"/>
      <c r="R1121" s="77"/>
      <c r="S1121" s="78"/>
      <c r="T1121" s="56"/>
      <c r="U1121" s="80"/>
      <c r="V1121" s="56"/>
      <c r="W1121" s="56"/>
      <c r="X1121" s="80"/>
      <c r="Y1121" s="57"/>
      <c r="Z1121" s="58"/>
      <c r="AA1121" s="82"/>
      <c r="AB1121" s="83"/>
      <c r="AC1121" s="83"/>
      <c r="AD1121" s="77"/>
      <c r="AE1121" s="84"/>
      <c r="AF1121" s="84"/>
      <c r="AG1121" s="62"/>
      <c r="AH1121" s="63"/>
    </row>
    <row r="1122" spans="1:34" ht="16.5" thickTop="1" thickBot="1">
      <c r="A1122" s="41"/>
      <c r="B1122" s="42"/>
      <c r="C1122" s="43"/>
      <c r="D1122" s="44"/>
      <c r="E1122" s="45"/>
      <c r="F1122" s="46"/>
      <c r="G1122" s="45"/>
      <c r="H1122" s="45"/>
      <c r="I1122" s="47"/>
      <c r="J1122" s="48"/>
      <c r="K1122" s="48"/>
      <c r="L1122" s="49"/>
      <c r="M1122" s="49"/>
      <c r="N1122" s="50"/>
      <c r="O1122" s="51"/>
      <c r="P1122" s="52"/>
      <c r="Q1122" s="53"/>
      <c r="R1122" s="77"/>
      <c r="S1122" s="78"/>
      <c r="T1122" s="56"/>
      <c r="U1122" s="80"/>
      <c r="V1122" s="56"/>
      <c r="W1122" s="56"/>
      <c r="X1122" s="80"/>
      <c r="Y1122" s="57"/>
      <c r="Z1122" s="58"/>
      <c r="AA1122" s="82"/>
      <c r="AB1122" s="83"/>
      <c r="AC1122" s="83"/>
      <c r="AD1122" s="77"/>
      <c r="AE1122" s="84"/>
      <c r="AF1122" s="84"/>
      <c r="AG1122" s="62"/>
      <c r="AH1122" s="63"/>
    </row>
    <row r="1123" spans="1:34" ht="16.5" thickTop="1" thickBot="1">
      <c r="A1123" s="41"/>
      <c r="B1123" s="42"/>
      <c r="C1123" s="43"/>
      <c r="D1123" s="44"/>
      <c r="E1123" s="45"/>
      <c r="F1123" s="46"/>
      <c r="G1123" s="45"/>
      <c r="H1123" s="45"/>
      <c r="I1123" s="47"/>
      <c r="J1123" s="48"/>
      <c r="K1123" s="48"/>
      <c r="L1123" s="49"/>
      <c r="M1123" s="49"/>
      <c r="N1123" s="50"/>
      <c r="O1123" s="51"/>
      <c r="P1123" s="52"/>
      <c r="Q1123" s="53"/>
      <c r="R1123" s="77"/>
      <c r="S1123" s="78"/>
      <c r="T1123" s="56"/>
      <c r="U1123" s="80"/>
      <c r="V1123" s="56"/>
      <c r="W1123" s="56"/>
      <c r="X1123" s="80"/>
      <c r="Y1123" s="57"/>
      <c r="Z1123" s="58"/>
      <c r="AA1123" s="82"/>
      <c r="AB1123" s="83"/>
      <c r="AC1123" s="83"/>
      <c r="AD1123" s="77"/>
      <c r="AE1123" s="84"/>
      <c r="AF1123" s="84"/>
      <c r="AG1123" s="62"/>
      <c r="AH1123" s="63"/>
    </row>
    <row r="1124" spans="1:34" ht="16.5" thickTop="1" thickBot="1">
      <c r="A1124" s="41"/>
      <c r="B1124" s="42"/>
      <c r="C1124" s="43"/>
      <c r="D1124" s="44"/>
      <c r="E1124" s="45"/>
      <c r="F1124" s="46"/>
      <c r="G1124" s="45"/>
      <c r="H1124" s="45"/>
      <c r="I1124" s="47"/>
      <c r="J1124" s="48"/>
      <c r="K1124" s="48"/>
      <c r="L1124" s="49"/>
      <c r="M1124" s="49"/>
      <c r="N1124" s="50"/>
      <c r="O1124" s="51"/>
      <c r="P1124" s="52"/>
      <c r="Q1124" s="53"/>
      <c r="R1124" s="77"/>
      <c r="S1124" s="78"/>
      <c r="T1124" s="56"/>
      <c r="U1124" s="80"/>
      <c r="V1124" s="56"/>
      <c r="W1124" s="56"/>
      <c r="X1124" s="80"/>
      <c r="Y1124" s="57"/>
      <c r="Z1124" s="58"/>
      <c r="AA1124" s="82"/>
      <c r="AB1124" s="83"/>
      <c r="AC1124" s="83"/>
      <c r="AD1124" s="77"/>
      <c r="AE1124" s="84"/>
      <c r="AF1124" s="84"/>
      <c r="AG1124" s="62"/>
      <c r="AH1124" s="63"/>
    </row>
    <row r="1125" spans="1:34" ht="16.5" thickTop="1" thickBot="1">
      <c r="A1125" s="41"/>
      <c r="B1125" s="42"/>
      <c r="C1125" s="43"/>
      <c r="D1125" s="44"/>
      <c r="E1125" s="45"/>
      <c r="F1125" s="46"/>
      <c r="G1125" s="45"/>
      <c r="H1125" s="45"/>
      <c r="I1125" s="47"/>
      <c r="J1125" s="48"/>
      <c r="K1125" s="48"/>
      <c r="L1125" s="49"/>
      <c r="M1125" s="49"/>
      <c r="N1125" s="50"/>
      <c r="O1125" s="51"/>
      <c r="P1125" s="52"/>
      <c r="Q1125" s="53"/>
      <c r="R1125" s="77"/>
      <c r="S1125" s="78"/>
      <c r="T1125" s="56"/>
      <c r="U1125" s="80"/>
      <c r="V1125" s="56"/>
      <c r="W1125" s="56"/>
      <c r="X1125" s="80"/>
      <c r="Y1125" s="57"/>
      <c r="Z1125" s="58"/>
      <c r="AA1125" s="82"/>
      <c r="AB1125" s="83"/>
      <c r="AC1125" s="83"/>
      <c r="AD1125" s="77"/>
      <c r="AE1125" s="84"/>
      <c r="AF1125" s="84"/>
      <c r="AG1125" s="62"/>
      <c r="AH1125" s="63"/>
    </row>
    <row r="1126" spans="1:34" ht="16.5" thickTop="1" thickBot="1">
      <c r="A1126" s="41"/>
      <c r="B1126" s="42"/>
      <c r="C1126" s="43"/>
      <c r="D1126" s="44"/>
      <c r="E1126" s="45"/>
      <c r="F1126" s="46"/>
      <c r="G1126" s="45"/>
      <c r="H1126" s="45"/>
      <c r="I1126" s="47"/>
      <c r="J1126" s="48"/>
      <c r="K1126" s="48"/>
      <c r="L1126" s="49"/>
      <c r="M1126" s="49"/>
      <c r="N1126" s="50"/>
      <c r="O1126" s="51"/>
      <c r="P1126" s="52"/>
      <c r="Q1126" s="53"/>
      <c r="R1126" s="77"/>
      <c r="S1126" s="78"/>
      <c r="T1126" s="56"/>
      <c r="U1126" s="80"/>
      <c r="V1126" s="56"/>
      <c r="W1126" s="56"/>
      <c r="X1126" s="80"/>
      <c r="Y1126" s="57"/>
      <c r="Z1126" s="58"/>
      <c r="AA1126" s="82"/>
      <c r="AB1126" s="83"/>
      <c r="AC1126" s="83"/>
      <c r="AD1126" s="77"/>
      <c r="AE1126" s="84"/>
      <c r="AF1126" s="84"/>
      <c r="AG1126" s="62"/>
      <c r="AH1126" s="63"/>
    </row>
    <row r="1127" spans="1:34" ht="16.5" thickTop="1" thickBot="1">
      <c r="A1127" s="41"/>
      <c r="B1127" s="42"/>
      <c r="C1127" s="43"/>
      <c r="D1127" s="44"/>
      <c r="E1127" s="45"/>
      <c r="F1127" s="46"/>
      <c r="G1127" s="45"/>
      <c r="H1127" s="45"/>
      <c r="I1127" s="47"/>
      <c r="J1127" s="48"/>
      <c r="K1127" s="48"/>
      <c r="L1127" s="49"/>
      <c r="M1127" s="49"/>
      <c r="N1127" s="50"/>
      <c r="O1127" s="51"/>
      <c r="P1127" s="52"/>
      <c r="Q1127" s="53"/>
      <c r="R1127" s="77"/>
      <c r="S1127" s="78"/>
      <c r="T1127" s="56"/>
      <c r="U1127" s="80"/>
      <c r="V1127" s="56"/>
      <c r="W1127" s="56"/>
      <c r="X1127" s="80"/>
      <c r="Y1127" s="57"/>
      <c r="Z1127" s="58"/>
      <c r="AA1127" s="82"/>
      <c r="AB1127" s="83"/>
      <c r="AC1127" s="83"/>
      <c r="AD1127" s="77"/>
      <c r="AE1127" s="84"/>
      <c r="AF1127" s="84"/>
      <c r="AG1127" s="62"/>
      <c r="AH1127" s="63"/>
    </row>
    <row r="1128" spans="1:34" ht="16.5" thickTop="1" thickBot="1">
      <c r="A1128" s="41"/>
      <c r="B1128" s="42"/>
      <c r="C1128" s="43"/>
      <c r="D1128" s="44"/>
      <c r="E1128" s="45"/>
      <c r="F1128" s="46"/>
      <c r="G1128" s="45"/>
      <c r="H1128" s="45"/>
      <c r="I1128" s="47"/>
      <c r="J1128" s="48"/>
      <c r="K1128" s="48"/>
      <c r="L1128" s="49"/>
      <c r="M1128" s="49"/>
      <c r="N1128" s="50"/>
      <c r="O1128" s="51"/>
      <c r="P1128" s="52"/>
      <c r="Q1128" s="53"/>
      <c r="R1128" s="77"/>
      <c r="S1128" s="78"/>
      <c r="T1128" s="56"/>
      <c r="U1128" s="80"/>
      <c r="V1128" s="56"/>
      <c r="W1128" s="56"/>
      <c r="X1128" s="80"/>
      <c r="Y1128" s="57"/>
      <c r="Z1128" s="58"/>
      <c r="AA1128" s="82"/>
      <c r="AB1128" s="83"/>
      <c r="AC1128" s="83"/>
      <c r="AD1128" s="77"/>
      <c r="AE1128" s="84"/>
      <c r="AF1128" s="84"/>
      <c r="AG1128" s="62"/>
      <c r="AH1128" s="63"/>
    </row>
    <row r="1129" spans="1:34" ht="16.5" thickTop="1" thickBot="1">
      <c r="A1129" s="41"/>
      <c r="B1129" s="42"/>
      <c r="C1129" s="43"/>
      <c r="D1129" s="44"/>
      <c r="E1129" s="45"/>
      <c r="F1129" s="46"/>
      <c r="G1129" s="45"/>
      <c r="H1129" s="45"/>
      <c r="I1129" s="47"/>
      <c r="J1129" s="48"/>
      <c r="K1129" s="48"/>
      <c r="L1129" s="49"/>
      <c r="M1129" s="49"/>
      <c r="N1129" s="50"/>
      <c r="O1129" s="51"/>
      <c r="P1129" s="52"/>
      <c r="Q1129" s="53"/>
      <c r="R1129" s="77"/>
      <c r="S1129" s="78"/>
      <c r="T1129" s="56"/>
      <c r="U1129" s="80"/>
      <c r="V1129" s="56"/>
      <c r="W1129" s="56"/>
      <c r="X1129" s="80"/>
      <c r="Y1129" s="57"/>
      <c r="Z1129" s="58"/>
      <c r="AA1129" s="82"/>
      <c r="AB1129" s="83"/>
      <c r="AC1129" s="83"/>
      <c r="AD1129" s="77"/>
      <c r="AE1129" s="84"/>
      <c r="AF1129" s="84"/>
      <c r="AG1129" s="62"/>
      <c r="AH1129" s="63"/>
    </row>
    <row r="1130" spans="1:34" ht="16.5" thickTop="1" thickBot="1">
      <c r="A1130" s="41"/>
      <c r="B1130" s="42"/>
      <c r="C1130" s="43"/>
      <c r="D1130" s="44"/>
      <c r="E1130" s="45"/>
      <c r="F1130" s="46"/>
      <c r="G1130" s="45"/>
      <c r="H1130" s="45"/>
      <c r="I1130" s="47"/>
      <c r="J1130" s="48"/>
      <c r="K1130" s="48"/>
      <c r="L1130" s="49"/>
      <c r="M1130" s="49"/>
      <c r="N1130" s="50"/>
      <c r="O1130" s="51"/>
      <c r="P1130" s="52"/>
      <c r="Q1130" s="53"/>
      <c r="R1130" s="77"/>
      <c r="S1130" s="78"/>
      <c r="T1130" s="56"/>
      <c r="U1130" s="80"/>
      <c r="V1130" s="56"/>
      <c r="W1130" s="56"/>
      <c r="X1130" s="80"/>
      <c r="Y1130" s="57"/>
      <c r="Z1130" s="58"/>
      <c r="AA1130" s="82"/>
      <c r="AB1130" s="83"/>
      <c r="AC1130" s="83"/>
      <c r="AD1130" s="77"/>
      <c r="AE1130" s="84"/>
      <c r="AF1130" s="84"/>
      <c r="AG1130" s="62"/>
      <c r="AH1130" s="63"/>
    </row>
    <row r="1131" spans="1:34" ht="16.5" thickTop="1" thickBot="1">
      <c r="A1131" s="41"/>
      <c r="B1131" s="42"/>
      <c r="C1131" s="43"/>
      <c r="D1131" s="44"/>
      <c r="E1131" s="45"/>
      <c r="F1131" s="46"/>
      <c r="G1131" s="45"/>
      <c r="H1131" s="45"/>
      <c r="I1131" s="47"/>
      <c r="J1131" s="48"/>
      <c r="K1131" s="48"/>
      <c r="L1131" s="49"/>
      <c r="M1131" s="49"/>
      <c r="N1131" s="50"/>
      <c r="O1131" s="51"/>
      <c r="P1131" s="52"/>
      <c r="Q1131" s="53"/>
      <c r="R1131" s="77"/>
      <c r="S1131" s="78"/>
      <c r="T1131" s="56"/>
      <c r="U1131" s="80"/>
      <c r="V1131" s="56"/>
      <c r="W1131" s="56"/>
      <c r="X1131" s="80"/>
      <c r="Y1131" s="57"/>
      <c r="Z1131" s="58"/>
      <c r="AA1131" s="82"/>
      <c r="AB1131" s="83"/>
      <c r="AC1131" s="83"/>
      <c r="AD1131" s="77"/>
      <c r="AE1131" s="84"/>
      <c r="AF1131" s="84"/>
      <c r="AG1131" s="62"/>
      <c r="AH1131" s="63"/>
    </row>
    <row r="1132" spans="1:34" ht="16.5" thickTop="1" thickBot="1">
      <c r="A1132" s="41"/>
      <c r="B1132" s="42"/>
      <c r="C1132" s="43"/>
      <c r="D1132" s="44"/>
      <c r="E1132" s="45"/>
      <c r="F1132" s="46"/>
      <c r="G1132" s="45"/>
      <c r="H1132" s="45"/>
      <c r="I1132" s="47"/>
      <c r="J1132" s="48"/>
      <c r="K1132" s="48"/>
      <c r="L1132" s="49"/>
      <c r="M1132" s="49"/>
      <c r="N1132" s="50"/>
      <c r="O1132" s="51"/>
      <c r="P1132" s="52"/>
      <c r="Q1132" s="53"/>
      <c r="R1132" s="77"/>
      <c r="S1132" s="78"/>
      <c r="T1132" s="56"/>
      <c r="U1132" s="80"/>
      <c r="V1132" s="56"/>
      <c r="W1132" s="56"/>
      <c r="X1132" s="80"/>
      <c r="Y1132" s="57"/>
      <c r="Z1132" s="58"/>
      <c r="AA1132" s="82"/>
      <c r="AB1132" s="83"/>
      <c r="AC1132" s="83"/>
      <c r="AD1132" s="77"/>
      <c r="AE1132" s="84"/>
      <c r="AF1132" s="84"/>
      <c r="AG1132" s="62"/>
      <c r="AH1132" s="63"/>
    </row>
    <row r="1133" spans="1:34" ht="16.5" thickTop="1" thickBot="1">
      <c r="A1133" s="41"/>
      <c r="B1133" s="42"/>
      <c r="C1133" s="43"/>
      <c r="D1133" s="44"/>
      <c r="E1133" s="45"/>
      <c r="F1133" s="46"/>
      <c r="G1133" s="45"/>
      <c r="H1133" s="45"/>
      <c r="I1133" s="47"/>
      <c r="J1133" s="48"/>
      <c r="K1133" s="48"/>
      <c r="L1133" s="49"/>
      <c r="M1133" s="49"/>
      <c r="N1133" s="50"/>
      <c r="O1133" s="51"/>
      <c r="P1133" s="52"/>
      <c r="Q1133" s="53"/>
      <c r="R1133" s="77"/>
      <c r="S1133" s="78"/>
      <c r="T1133" s="56"/>
      <c r="U1133" s="80"/>
      <c r="V1133" s="56"/>
      <c r="W1133" s="56"/>
      <c r="X1133" s="80"/>
      <c r="Y1133" s="57"/>
      <c r="Z1133" s="58"/>
      <c r="AA1133" s="82"/>
      <c r="AB1133" s="83"/>
      <c r="AC1133" s="83"/>
      <c r="AD1133" s="77"/>
      <c r="AE1133" s="84"/>
      <c r="AF1133" s="84"/>
      <c r="AG1133" s="62"/>
      <c r="AH1133" s="63"/>
    </row>
    <row r="1134" spans="1:34" ht="16.5" thickTop="1" thickBot="1">
      <c r="A1134" s="41"/>
      <c r="B1134" s="42"/>
      <c r="C1134" s="43"/>
      <c r="D1134" s="44"/>
      <c r="E1134" s="45"/>
      <c r="F1134" s="46"/>
      <c r="G1134" s="45"/>
      <c r="H1134" s="45"/>
      <c r="I1134" s="47"/>
      <c r="J1134" s="48"/>
      <c r="K1134" s="48"/>
      <c r="L1134" s="49"/>
      <c r="M1134" s="49"/>
      <c r="N1134" s="50"/>
      <c r="O1134" s="51"/>
      <c r="P1134" s="52"/>
      <c r="Q1134" s="53"/>
      <c r="R1134" s="77"/>
      <c r="S1134" s="78"/>
      <c r="T1134" s="56"/>
      <c r="U1134" s="80"/>
      <c r="V1134" s="56"/>
      <c r="W1134" s="56"/>
      <c r="X1134" s="80"/>
      <c r="Y1134" s="57"/>
      <c r="Z1134" s="58"/>
      <c r="AA1134" s="82"/>
      <c r="AB1134" s="83"/>
      <c r="AC1134" s="83"/>
      <c r="AD1134" s="77"/>
      <c r="AE1134" s="84"/>
      <c r="AF1134" s="84"/>
      <c r="AG1134" s="62"/>
      <c r="AH1134" s="63"/>
    </row>
    <row r="1135" spans="1:34" ht="16.5" thickTop="1" thickBot="1">
      <c r="A1135" s="41"/>
      <c r="B1135" s="42"/>
      <c r="C1135" s="43"/>
      <c r="D1135" s="44"/>
      <c r="E1135" s="45"/>
      <c r="F1135" s="46"/>
      <c r="G1135" s="45"/>
      <c r="H1135" s="45"/>
      <c r="I1135" s="47"/>
      <c r="J1135" s="48"/>
      <c r="K1135" s="48"/>
      <c r="L1135" s="49"/>
      <c r="M1135" s="49"/>
      <c r="N1135" s="50"/>
      <c r="O1135" s="51"/>
      <c r="P1135" s="52"/>
      <c r="Q1135" s="53"/>
      <c r="R1135" s="77"/>
      <c r="S1135" s="78"/>
      <c r="T1135" s="56"/>
      <c r="U1135" s="80"/>
      <c r="V1135" s="56"/>
      <c r="W1135" s="56"/>
      <c r="X1135" s="80"/>
      <c r="Y1135" s="57"/>
      <c r="Z1135" s="58"/>
      <c r="AA1135" s="82"/>
      <c r="AB1135" s="83"/>
      <c r="AC1135" s="83"/>
      <c r="AD1135" s="77"/>
      <c r="AE1135" s="84"/>
      <c r="AF1135" s="84"/>
      <c r="AG1135" s="62"/>
      <c r="AH1135" s="63"/>
    </row>
    <row r="1136" spans="1:34" ht="16.5" thickTop="1" thickBot="1">
      <c r="A1136" s="41"/>
      <c r="B1136" s="42"/>
      <c r="C1136" s="43"/>
      <c r="D1136" s="44"/>
      <c r="E1136" s="45"/>
      <c r="F1136" s="46"/>
      <c r="G1136" s="45"/>
      <c r="H1136" s="45"/>
      <c r="I1136" s="47"/>
      <c r="J1136" s="48"/>
      <c r="K1136" s="48"/>
      <c r="L1136" s="49"/>
      <c r="M1136" s="49"/>
      <c r="N1136" s="50"/>
      <c r="O1136" s="51"/>
      <c r="P1136" s="52"/>
      <c r="Q1136" s="53"/>
      <c r="R1136" s="77"/>
      <c r="S1136" s="78"/>
      <c r="T1136" s="56"/>
      <c r="U1136" s="80"/>
      <c r="V1136" s="56"/>
      <c r="W1136" s="56"/>
      <c r="X1136" s="80"/>
      <c r="Y1136" s="57"/>
      <c r="Z1136" s="58"/>
      <c r="AA1136" s="82"/>
      <c r="AB1136" s="83"/>
      <c r="AC1136" s="83"/>
      <c r="AD1136" s="77"/>
      <c r="AE1136" s="84"/>
      <c r="AF1136" s="84"/>
      <c r="AG1136" s="62"/>
      <c r="AH1136" s="63"/>
    </row>
    <row r="1137" spans="1:34" ht="16.5" thickTop="1" thickBot="1">
      <c r="A1137" s="41"/>
      <c r="B1137" s="42"/>
      <c r="C1137" s="43"/>
      <c r="D1137" s="44"/>
      <c r="E1137" s="45"/>
      <c r="F1137" s="46"/>
      <c r="G1137" s="45"/>
      <c r="H1137" s="45"/>
      <c r="I1137" s="47"/>
      <c r="J1137" s="48"/>
      <c r="K1137" s="48"/>
      <c r="L1137" s="49"/>
      <c r="M1137" s="49"/>
      <c r="N1137" s="50"/>
      <c r="O1137" s="51"/>
      <c r="P1137" s="52"/>
      <c r="Q1137" s="53"/>
      <c r="R1137" s="77"/>
      <c r="S1137" s="78"/>
      <c r="T1137" s="56"/>
      <c r="U1137" s="80"/>
      <c r="V1137" s="56"/>
      <c r="W1137" s="56"/>
      <c r="X1137" s="80"/>
      <c r="Y1137" s="57"/>
      <c r="Z1137" s="58"/>
      <c r="AA1137" s="82"/>
      <c r="AB1137" s="83"/>
      <c r="AC1137" s="83"/>
      <c r="AD1137" s="77"/>
      <c r="AE1137" s="84"/>
      <c r="AF1137" s="84"/>
      <c r="AG1137" s="62"/>
      <c r="AH1137" s="63"/>
    </row>
    <row r="1138" spans="1:34" ht="16.5" thickTop="1" thickBot="1">
      <c r="A1138" s="41"/>
      <c r="B1138" s="42"/>
      <c r="C1138" s="43"/>
      <c r="D1138" s="44"/>
      <c r="E1138" s="45"/>
      <c r="F1138" s="46"/>
      <c r="G1138" s="45"/>
      <c r="H1138" s="45"/>
      <c r="I1138" s="47"/>
      <c r="J1138" s="48"/>
      <c r="K1138" s="48"/>
      <c r="L1138" s="49"/>
      <c r="M1138" s="49"/>
      <c r="N1138" s="50"/>
      <c r="O1138" s="51"/>
      <c r="P1138" s="52"/>
      <c r="Q1138" s="53"/>
      <c r="R1138" s="77"/>
      <c r="S1138" s="78"/>
      <c r="T1138" s="56"/>
      <c r="U1138" s="80"/>
      <c r="V1138" s="56"/>
      <c r="W1138" s="56"/>
      <c r="X1138" s="80"/>
      <c r="Y1138" s="57"/>
      <c r="Z1138" s="58"/>
      <c r="AA1138" s="82"/>
      <c r="AB1138" s="83"/>
      <c r="AC1138" s="83"/>
      <c r="AD1138" s="77"/>
      <c r="AE1138" s="84"/>
      <c r="AF1138" s="84"/>
      <c r="AG1138" s="62"/>
      <c r="AH1138" s="63"/>
    </row>
    <row r="1139" spans="1:34" ht="16.5" thickTop="1" thickBot="1">
      <c r="A1139" s="41"/>
      <c r="B1139" s="42"/>
      <c r="C1139" s="43"/>
      <c r="D1139" s="44"/>
      <c r="E1139" s="45"/>
      <c r="F1139" s="46"/>
      <c r="G1139" s="45"/>
      <c r="H1139" s="45"/>
      <c r="I1139" s="47"/>
      <c r="J1139" s="48"/>
      <c r="K1139" s="48"/>
      <c r="L1139" s="49"/>
      <c r="M1139" s="49"/>
      <c r="N1139" s="50"/>
      <c r="O1139" s="51"/>
      <c r="P1139" s="52"/>
      <c r="Q1139" s="53"/>
      <c r="R1139" s="77"/>
      <c r="S1139" s="78"/>
      <c r="T1139" s="56"/>
      <c r="U1139" s="80"/>
      <c r="V1139" s="56"/>
      <c r="W1139" s="56"/>
      <c r="X1139" s="80"/>
      <c r="Y1139" s="57"/>
      <c r="Z1139" s="58"/>
      <c r="AA1139" s="82"/>
      <c r="AB1139" s="83"/>
      <c r="AC1139" s="83"/>
      <c r="AD1139" s="77"/>
      <c r="AE1139" s="84"/>
      <c r="AF1139" s="84"/>
      <c r="AG1139" s="62"/>
      <c r="AH1139" s="63"/>
    </row>
    <row r="1140" spans="1:34" ht="16.5" thickTop="1" thickBot="1">
      <c r="A1140" s="41"/>
      <c r="B1140" s="42"/>
      <c r="C1140" s="43"/>
      <c r="D1140" s="44"/>
      <c r="E1140" s="45"/>
      <c r="F1140" s="46"/>
      <c r="G1140" s="45"/>
      <c r="H1140" s="45"/>
      <c r="I1140" s="47"/>
      <c r="J1140" s="48"/>
      <c r="K1140" s="48"/>
      <c r="L1140" s="49"/>
      <c r="M1140" s="49"/>
      <c r="N1140" s="50"/>
      <c r="O1140" s="51"/>
      <c r="P1140" s="52"/>
      <c r="Q1140" s="53"/>
      <c r="R1140" s="77"/>
      <c r="S1140" s="78"/>
      <c r="T1140" s="56"/>
      <c r="U1140" s="80"/>
      <c r="V1140" s="56"/>
      <c r="W1140" s="56"/>
      <c r="X1140" s="80"/>
      <c r="Y1140" s="57"/>
      <c r="Z1140" s="58"/>
      <c r="AA1140" s="82"/>
      <c r="AB1140" s="83"/>
      <c r="AC1140" s="83"/>
      <c r="AD1140" s="77"/>
      <c r="AE1140" s="84"/>
      <c r="AF1140" s="84"/>
      <c r="AG1140" s="62"/>
      <c r="AH1140" s="63"/>
    </row>
    <row r="1141" spans="1:34" ht="16.5" thickTop="1" thickBot="1">
      <c r="A1141" s="41"/>
      <c r="B1141" s="42"/>
      <c r="C1141" s="43"/>
      <c r="D1141" s="44"/>
      <c r="E1141" s="45"/>
      <c r="F1141" s="46"/>
      <c r="G1141" s="45"/>
      <c r="H1141" s="45"/>
      <c r="I1141" s="47"/>
      <c r="J1141" s="48"/>
      <c r="K1141" s="48"/>
      <c r="L1141" s="49"/>
      <c r="M1141" s="49"/>
      <c r="N1141" s="50"/>
      <c r="O1141" s="51"/>
      <c r="P1141" s="52"/>
      <c r="Q1141" s="53"/>
      <c r="R1141" s="77"/>
      <c r="S1141" s="78"/>
      <c r="T1141" s="56"/>
      <c r="U1141" s="80"/>
      <c r="V1141" s="56"/>
      <c r="W1141" s="56"/>
      <c r="X1141" s="80"/>
      <c r="Y1141" s="57"/>
      <c r="Z1141" s="58"/>
      <c r="AA1141" s="82"/>
      <c r="AB1141" s="83"/>
      <c r="AC1141" s="83"/>
      <c r="AD1141" s="77"/>
      <c r="AE1141" s="84"/>
      <c r="AF1141" s="84"/>
      <c r="AG1141" s="62"/>
      <c r="AH1141" s="63"/>
    </row>
    <row r="1142" spans="1:34" ht="16.5" thickTop="1" thickBot="1">
      <c r="A1142" s="41"/>
      <c r="B1142" s="42"/>
      <c r="C1142" s="43"/>
      <c r="D1142" s="44"/>
      <c r="E1142" s="45"/>
      <c r="F1142" s="46"/>
      <c r="G1142" s="45"/>
      <c r="H1142" s="45"/>
      <c r="I1142" s="47"/>
      <c r="J1142" s="48"/>
      <c r="K1142" s="48"/>
      <c r="L1142" s="49"/>
      <c r="M1142" s="49"/>
      <c r="N1142" s="50"/>
      <c r="O1142" s="51"/>
      <c r="P1142" s="52"/>
      <c r="Q1142" s="53"/>
      <c r="R1142" s="77"/>
      <c r="S1142" s="78"/>
      <c r="T1142" s="56"/>
      <c r="U1142" s="80"/>
      <c r="V1142" s="56"/>
      <c r="W1142" s="56"/>
      <c r="X1142" s="80"/>
      <c r="Y1142" s="57"/>
      <c r="Z1142" s="58"/>
      <c r="AA1142" s="82"/>
      <c r="AB1142" s="83"/>
      <c r="AC1142" s="83"/>
      <c r="AD1142" s="77"/>
      <c r="AE1142" s="84"/>
      <c r="AF1142" s="84"/>
      <c r="AG1142" s="62"/>
      <c r="AH1142" s="63"/>
    </row>
    <row r="1143" spans="1:34" ht="16.5" thickTop="1" thickBot="1">
      <c r="A1143" s="41"/>
      <c r="B1143" s="42"/>
      <c r="C1143" s="43"/>
      <c r="D1143" s="44"/>
      <c r="E1143" s="45"/>
      <c r="F1143" s="46"/>
      <c r="G1143" s="45"/>
      <c r="H1143" s="45"/>
      <c r="I1143" s="47"/>
      <c r="J1143" s="48"/>
      <c r="K1143" s="48"/>
      <c r="L1143" s="49"/>
      <c r="M1143" s="49"/>
      <c r="N1143" s="50"/>
      <c r="O1143" s="51"/>
      <c r="P1143" s="52"/>
      <c r="Q1143" s="53"/>
      <c r="R1143" s="77"/>
      <c r="S1143" s="78"/>
      <c r="T1143" s="56"/>
      <c r="U1143" s="80"/>
      <c r="V1143" s="56"/>
      <c r="W1143" s="56"/>
      <c r="X1143" s="80"/>
      <c r="Y1143" s="57"/>
      <c r="Z1143" s="58"/>
      <c r="AA1143" s="82"/>
      <c r="AB1143" s="83"/>
      <c r="AC1143" s="83"/>
      <c r="AD1143" s="77"/>
      <c r="AE1143" s="84"/>
      <c r="AF1143" s="84"/>
      <c r="AG1143" s="62"/>
      <c r="AH1143" s="63"/>
    </row>
    <row r="1144" spans="1:34" ht="16.5" thickTop="1" thickBot="1">
      <c r="A1144" s="41"/>
      <c r="B1144" s="42"/>
      <c r="C1144" s="43"/>
      <c r="D1144" s="44"/>
      <c r="E1144" s="45"/>
      <c r="F1144" s="46"/>
      <c r="G1144" s="45"/>
      <c r="H1144" s="45"/>
      <c r="I1144" s="47"/>
      <c r="J1144" s="48"/>
      <c r="K1144" s="48"/>
      <c r="L1144" s="49"/>
      <c r="M1144" s="49"/>
      <c r="N1144" s="50"/>
      <c r="O1144" s="51"/>
      <c r="P1144" s="52"/>
      <c r="Q1144" s="53"/>
      <c r="R1144" s="77"/>
      <c r="S1144" s="78"/>
      <c r="T1144" s="56"/>
      <c r="U1144" s="80"/>
      <c r="V1144" s="56"/>
      <c r="W1144" s="56"/>
      <c r="X1144" s="80"/>
      <c r="Y1144" s="57"/>
      <c r="Z1144" s="58"/>
      <c r="AA1144" s="82"/>
      <c r="AB1144" s="83"/>
      <c r="AC1144" s="83"/>
      <c r="AD1144" s="77"/>
      <c r="AE1144" s="84"/>
      <c r="AF1144" s="84"/>
      <c r="AG1144" s="62"/>
      <c r="AH1144" s="63"/>
    </row>
    <row r="1145" spans="1:34" ht="16.5" thickTop="1" thickBot="1">
      <c r="A1145" s="41"/>
      <c r="B1145" s="42"/>
      <c r="C1145" s="43"/>
      <c r="D1145" s="44"/>
      <c r="E1145" s="45"/>
      <c r="F1145" s="46"/>
      <c r="G1145" s="45"/>
      <c r="H1145" s="45"/>
      <c r="I1145" s="47"/>
      <c r="J1145" s="48"/>
      <c r="K1145" s="48"/>
      <c r="L1145" s="49"/>
      <c r="M1145" s="49"/>
      <c r="N1145" s="50"/>
      <c r="O1145" s="51"/>
      <c r="P1145" s="52"/>
      <c r="Q1145" s="53"/>
      <c r="R1145" s="77"/>
      <c r="S1145" s="78"/>
      <c r="T1145" s="56"/>
      <c r="U1145" s="80"/>
      <c r="V1145" s="56"/>
      <c r="W1145" s="56"/>
      <c r="X1145" s="80"/>
      <c r="Y1145" s="57"/>
      <c r="Z1145" s="58"/>
      <c r="AA1145" s="82"/>
      <c r="AB1145" s="83"/>
      <c r="AC1145" s="83"/>
      <c r="AD1145" s="77"/>
      <c r="AE1145" s="84"/>
      <c r="AF1145" s="84"/>
      <c r="AG1145" s="62"/>
      <c r="AH1145" s="63"/>
    </row>
    <row r="1146" spans="1:34" ht="16.5" thickTop="1" thickBot="1">
      <c r="A1146" s="41"/>
      <c r="B1146" s="42"/>
      <c r="C1146" s="43"/>
      <c r="D1146" s="44"/>
      <c r="E1146" s="45"/>
      <c r="F1146" s="46"/>
      <c r="G1146" s="45"/>
      <c r="H1146" s="45"/>
      <c r="I1146" s="47"/>
      <c r="J1146" s="48"/>
      <c r="K1146" s="48"/>
      <c r="L1146" s="49"/>
      <c r="M1146" s="49"/>
      <c r="N1146" s="50"/>
      <c r="O1146" s="51"/>
      <c r="P1146" s="52"/>
      <c r="Q1146" s="53"/>
      <c r="R1146" s="77"/>
      <c r="S1146" s="78"/>
      <c r="T1146" s="56"/>
      <c r="U1146" s="80"/>
      <c r="V1146" s="56"/>
      <c r="W1146" s="56"/>
      <c r="X1146" s="80"/>
      <c r="Y1146" s="57"/>
      <c r="Z1146" s="58"/>
      <c r="AA1146" s="82"/>
      <c r="AB1146" s="83"/>
      <c r="AC1146" s="83"/>
      <c r="AD1146" s="77"/>
      <c r="AE1146" s="84"/>
      <c r="AF1146" s="84"/>
      <c r="AG1146" s="62"/>
      <c r="AH1146" s="63"/>
    </row>
    <row r="1147" spans="1:34" ht="16.5" thickTop="1" thickBot="1">
      <c r="A1147" s="41"/>
      <c r="B1147" s="42"/>
      <c r="C1147" s="43"/>
      <c r="D1147" s="44"/>
      <c r="E1147" s="45"/>
      <c r="F1147" s="46"/>
      <c r="G1147" s="45"/>
      <c r="H1147" s="45"/>
      <c r="I1147" s="47"/>
      <c r="J1147" s="48"/>
      <c r="K1147" s="48"/>
      <c r="L1147" s="49"/>
      <c r="M1147" s="49"/>
      <c r="N1147" s="50"/>
      <c r="O1147" s="51"/>
      <c r="P1147" s="52"/>
      <c r="Q1147" s="53"/>
      <c r="R1147" s="77"/>
      <c r="S1147" s="78"/>
      <c r="T1147" s="56"/>
      <c r="U1147" s="80"/>
      <c r="V1147" s="56"/>
      <c r="W1147" s="56"/>
      <c r="X1147" s="80"/>
      <c r="Y1147" s="57"/>
      <c r="Z1147" s="58"/>
      <c r="AA1147" s="82"/>
      <c r="AB1147" s="83"/>
      <c r="AC1147" s="83"/>
      <c r="AD1147" s="77"/>
      <c r="AE1147" s="84"/>
      <c r="AF1147" s="84"/>
      <c r="AG1147" s="62"/>
      <c r="AH1147" s="63"/>
    </row>
    <row r="1148" spans="1:34" ht="16.5" thickTop="1" thickBot="1">
      <c r="A1148" s="41"/>
      <c r="B1148" s="42"/>
      <c r="C1148" s="43"/>
      <c r="D1148" s="44"/>
      <c r="E1148" s="45"/>
      <c r="F1148" s="46"/>
      <c r="G1148" s="45"/>
      <c r="H1148" s="45"/>
      <c r="I1148" s="47"/>
      <c r="J1148" s="48"/>
      <c r="K1148" s="48"/>
      <c r="L1148" s="49"/>
      <c r="M1148" s="49"/>
      <c r="N1148" s="50"/>
      <c r="O1148" s="51"/>
      <c r="P1148" s="52"/>
      <c r="Q1148" s="53"/>
      <c r="R1148" s="77"/>
      <c r="S1148" s="78"/>
      <c r="T1148" s="56"/>
      <c r="U1148" s="80"/>
      <c r="V1148" s="56"/>
      <c r="W1148" s="56"/>
      <c r="X1148" s="80"/>
      <c r="Y1148" s="57"/>
      <c r="Z1148" s="58"/>
      <c r="AA1148" s="82"/>
      <c r="AB1148" s="83"/>
      <c r="AC1148" s="83"/>
      <c r="AD1148" s="77"/>
      <c r="AE1148" s="84"/>
      <c r="AF1148" s="84"/>
      <c r="AG1148" s="62"/>
      <c r="AH1148" s="63"/>
    </row>
    <row r="1149" spans="1:34" ht="16.5" thickTop="1" thickBot="1">
      <c r="A1149" s="41"/>
      <c r="B1149" s="42"/>
      <c r="C1149" s="43"/>
      <c r="D1149" s="44"/>
      <c r="E1149" s="45"/>
      <c r="F1149" s="46"/>
      <c r="G1149" s="45"/>
      <c r="H1149" s="45"/>
      <c r="I1149" s="47"/>
      <c r="J1149" s="48"/>
      <c r="K1149" s="48"/>
      <c r="L1149" s="49"/>
      <c r="M1149" s="49"/>
      <c r="N1149" s="50"/>
      <c r="O1149" s="51"/>
      <c r="P1149" s="52"/>
      <c r="Q1149" s="53"/>
      <c r="R1149" s="77"/>
      <c r="S1149" s="78"/>
      <c r="T1149" s="56"/>
      <c r="U1149" s="80"/>
      <c r="V1149" s="56"/>
      <c r="W1149" s="56"/>
      <c r="X1149" s="80"/>
      <c r="Y1149" s="57"/>
      <c r="Z1149" s="58"/>
      <c r="AA1149" s="82"/>
      <c r="AB1149" s="83"/>
      <c r="AC1149" s="83"/>
      <c r="AD1149" s="77"/>
      <c r="AE1149" s="84"/>
      <c r="AF1149" s="84"/>
      <c r="AG1149" s="62"/>
      <c r="AH1149" s="63"/>
    </row>
    <row r="1150" spans="1:34" ht="16.5" thickTop="1" thickBot="1">
      <c r="A1150" s="41"/>
      <c r="B1150" s="42"/>
      <c r="C1150" s="43"/>
      <c r="D1150" s="44"/>
      <c r="E1150" s="45"/>
      <c r="F1150" s="46"/>
      <c r="G1150" s="45"/>
      <c r="H1150" s="45"/>
      <c r="I1150" s="47"/>
      <c r="J1150" s="48"/>
      <c r="K1150" s="48"/>
      <c r="L1150" s="49"/>
      <c r="M1150" s="49"/>
      <c r="N1150" s="50"/>
      <c r="O1150" s="51"/>
      <c r="P1150" s="52"/>
      <c r="Q1150" s="53"/>
      <c r="R1150" s="77"/>
      <c r="S1150" s="78"/>
      <c r="T1150" s="56"/>
      <c r="U1150" s="80"/>
      <c r="V1150" s="56"/>
      <c r="W1150" s="56"/>
      <c r="X1150" s="80"/>
      <c r="Y1150" s="57"/>
      <c r="Z1150" s="58"/>
      <c r="AA1150" s="82"/>
      <c r="AB1150" s="83"/>
      <c r="AC1150" s="83"/>
      <c r="AD1150" s="77"/>
      <c r="AE1150" s="84"/>
      <c r="AF1150" s="84"/>
      <c r="AG1150" s="62"/>
      <c r="AH1150" s="63"/>
    </row>
    <row r="1151" spans="1:34" ht="16.5" thickTop="1" thickBot="1">
      <c r="A1151" s="41"/>
      <c r="B1151" s="42"/>
      <c r="C1151" s="43"/>
      <c r="D1151" s="44"/>
      <c r="E1151" s="45"/>
      <c r="F1151" s="46"/>
      <c r="G1151" s="45"/>
      <c r="H1151" s="45"/>
      <c r="I1151" s="47"/>
      <c r="J1151" s="48"/>
      <c r="K1151" s="48"/>
      <c r="L1151" s="49"/>
      <c r="M1151" s="49"/>
      <c r="N1151" s="50"/>
      <c r="O1151" s="51"/>
      <c r="P1151" s="52"/>
      <c r="Q1151" s="53"/>
      <c r="R1151" s="77"/>
      <c r="S1151" s="78"/>
      <c r="T1151" s="56"/>
      <c r="U1151" s="80"/>
      <c r="V1151" s="56"/>
      <c r="W1151" s="56"/>
      <c r="X1151" s="80"/>
      <c r="Y1151" s="57"/>
      <c r="Z1151" s="58"/>
      <c r="AA1151" s="82"/>
      <c r="AB1151" s="83"/>
      <c r="AC1151" s="83"/>
      <c r="AD1151" s="77"/>
      <c r="AE1151" s="84"/>
      <c r="AF1151" s="84"/>
      <c r="AG1151" s="62"/>
      <c r="AH1151" s="63"/>
    </row>
    <row r="1152" spans="1:34" ht="16.5" thickTop="1" thickBot="1">
      <c r="A1152" s="41"/>
      <c r="B1152" s="42"/>
      <c r="C1152" s="43"/>
      <c r="D1152" s="44"/>
      <c r="E1152" s="45"/>
      <c r="F1152" s="46"/>
      <c r="G1152" s="45"/>
      <c r="H1152" s="45"/>
      <c r="I1152" s="47"/>
      <c r="J1152" s="48"/>
      <c r="K1152" s="48"/>
      <c r="L1152" s="49"/>
      <c r="M1152" s="49"/>
      <c r="N1152" s="50"/>
      <c r="O1152" s="51"/>
      <c r="P1152" s="52"/>
      <c r="Q1152" s="53"/>
      <c r="R1152" s="77"/>
      <c r="S1152" s="78"/>
      <c r="T1152" s="56"/>
      <c r="U1152" s="80"/>
      <c r="V1152" s="56"/>
      <c r="W1152" s="56"/>
      <c r="X1152" s="80"/>
      <c r="Y1152" s="57"/>
      <c r="Z1152" s="58"/>
      <c r="AA1152" s="82"/>
      <c r="AB1152" s="83"/>
      <c r="AC1152" s="83"/>
      <c r="AD1152" s="77"/>
      <c r="AE1152" s="84"/>
      <c r="AF1152" s="84"/>
      <c r="AG1152" s="62"/>
      <c r="AH1152" s="63"/>
    </row>
    <row r="1153" spans="1:34" ht="16.5" thickTop="1" thickBot="1">
      <c r="A1153" s="41"/>
      <c r="B1153" s="42"/>
      <c r="C1153" s="43"/>
      <c r="D1153" s="44"/>
      <c r="E1153" s="45"/>
      <c r="F1153" s="46"/>
      <c r="G1153" s="45"/>
      <c r="H1153" s="45"/>
      <c r="I1153" s="47"/>
      <c r="J1153" s="48"/>
      <c r="K1153" s="48"/>
      <c r="L1153" s="49"/>
      <c r="M1153" s="49"/>
      <c r="N1153" s="50"/>
      <c r="O1153" s="51"/>
      <c r="P1153" s="52"/>
      <c r="Q1153" s="53"/>
      <c r="R1153" s="77"/>
      <c r="S1153" s="78"/>
      <c r="T1153" s="56"/>
      <c r="U1153" s="80"/>
      <c r="V1153" s="56"/>
      <c r="W1153" s="56"/>
      <c r="X1153" s="80"/>
      <c r="Y1153" s="57"/>
      <c r="Z1153" s="58"/>
      <c r="AA1153" s="82"/>
      <c r="AB1153" s="83"/>
      <c r="AC1153" s="83"/>
      <c r="AD1153" s="77"/>
      <c r="AE1153" s="84"/>
      <c r="AF1153" s="84"/>
      <c r="AG1153" s="62"/>
      <c r="AH1153" s="63"/>
    </row>
    <row r="1154" spans="1:34" ht="16.5" thickTop="1" thickBot="1">
      <c r="A1154" s="41"/>
      <c r="B1154" s="42"/>
      <c r="C1154" s="43"/>
      <c r="D1154" s="44"/>
      <c r="E1154" s="45"/>
      <c r="F1154" s="46"/>
      <c r="G1154" s="45"/>
      <c r="H1154" s="45"/>
      <c r="I1154" s="47"/>
      <c r="J1154" s="48"/>
      <c r="K1154" s="48"/>
      <c r="L1154" s="49"/>
      <c r="M1154" s="49"/>
      <c r="N1154" s="50"/>
      <c r="O1154" s="51"/>
      <c r="P1154" s="52"/>
      <c r="Q1154" s="53"/>
      <c r="R1154" s="77"/>
      <c r="S1154" s="78"/>
      <c r="T1154" s="56"/>
      <c r="U1154" s="80"/>
      <c r="V1154" s="56"/>
      <c r="W1154" s="56"/>
      <c r="X1154" s="80"/>
      <c r="Y1154" s="57"/>
      <c r="Z1154" s="58"/>
      <c r="AA1154" s="82"/>
      <c r="AB1154" s="83"/>
      <c r="AC1154" s="83"/>
      <c r="AD1154" s="77"/>
      <c r="AE1154" s="84"/>
      <c r="AF1154" s="84"/>
      <c r="AG1154" s="62"/>
      <c r="AH1154" s="63"/>
    </row>
    <row r="1155" spans="1:34" ht="16.5" thickTop="1" thickBot="1">
      <c r="A1155" s="41"/>
      <c r="B1155" s="42"/>
      <c r="C1155" s="43"/>
      <c r="D1155" s="44"/>
      <c r="E1155" s="45"/>
      <c r="F1155" s="46"/>
      <c r="G1155" s="45"/>
      <c r="H1155" s="45"/>
      <c r="I1155" s="47"/>
      <c r="J1155" s="48"/>
      <c r="K1155" s="48"/>
      <c r="L1155" s="49"/>
      <c r="M1155" s="49"/>
      <c r="N1155" s="50"/>
      <c r="O1155" s="51"/>
      <c r="P1155" s="52"/>
      <c r="Q1155" s="53"/>
      <c r="R1155" s="77"/>
      <c r="S1155" s="78"/>
      <c r="T1155" s="56"/>
      <c r="U1155" s="80"/>
      <c r="V1155" s="56"/>
      <c r="W1155" s="56"/>
      <c r="X1155" s="80"/>
      <c r="Y1155" s="57"/>
      <c r="Z1155" s="58"/>
      <c r="AA1155" s="82"/>
      <c r="AB1155" s="83"/>
      <c r="AC1155" s="83"/>
      <c r="AD1155" s="77"/>
      <c r="AE1155" s="84"/>
      <c r="AF1155" s="84"/>
      <c r="AG1155" s="62"/>
      <c r="AH1155" s="63"/>
    </row>
    <row r="1156" spans="1:34" ht="16.5" thickTop="1" thickBot="1">
      <c r="A1156" s="41"/>
      <c r="B1156" s="42"/>
      <c r="C1156" s="43"/>
      <c r="D1156" s="44"/>
      <c r="E1156" s="45"/>
      <c r="F1156" s="46"/>
      <c r="G1156" s="45"/>
      <c r="H1156" s="45"/>
      <c r="I1156" s="47"/>
      <c r="J1156" s="48"/>
      <c r="K1156" s="48"/>
      <c r="L1156" s="49"/>
      <c r="M1156" s="49"/>
      <c r="N1156" s="50"/>
      <c r="O1156" s="51"/>
      <c r="P1156" s="52"/>
      <c r="Q1156" s="53"/>
      <c r="R1156" s="77"/>
      <c r="S1156" s="78"/>
      <c r="T1156" s="56"/>
      <c r="U1156" s="80"/>
      <c r="V1156" s="56"/>
      <c r="W1156" s="56"/>
      <c r="X1156" s="80"/>
      <c r="Y1156" s="57"/>
      <c r="Z1156" s="58"/>
      <c r="AA1156" s="82"/>
      <c r="AB1156" s="83"/>
      <c r="AC1156" s="83"/>
      <c r="AD1156" s="77"/>
      <c r="AE1156" s="84"/>
      <c r="AF1156" s="84"/>
      <c r="AG1156" s="62"/>
      <c r="AH1156" s="63"/>
    </row>
    <row r="1157" spans="1:34" ht="16.5" thickTop="1" thickBot="1">
      <c r="A1157" s="41"/>
      <c r="B1157" s="42"/>
      <c r="C1157" s="43"/>
      <c r="D1157" s="44"/>
      <c r="E1157" s="45"/>
      <c r="F1157" s="46"/>
      <c r="G1157" s="45"/>
      <c r="H1157" s="45"/>
      <c r="I1157" s="47"/>
      <c r="J1157" s="48"/>
      <c r="K1157" s="48"/>
      <c r="L1157" s="49"/>
      <c r="M1157" s="49"/>
      <c r="N1157" s="50"/>
      <c r="O1157" s="51"/>
      <c r="P1157" s="52"/>
      <c r="Q1157" s="53"/>
      <c r="R1157" s="77"/>
      <c r="S1157" s="78"/>
      <c r="T1157" s="56"/>
      <c r="U1157" s="80"/>
      <c r="V1157" s="56"/>
      <c r="W1157" s="56"/>
      <c r="X1157" s="80"/>
      <c r="Y1157" s="57"/>
      <c r="Z1157" s="58"/>
      <c r="AA1157" s="82"/>
      <c r="AB1157" s="83"/>
      <c r="AC1157" s="83"/>
      <c r="AD1157" s="77"/>
      <c r="AE1157" s="84"/>
      <c r="AF1157" s="84"/>
      <c r="AG1157" s="62"/>
      <c r="AH1157" s="63"/>
    </row>
    <row r="1158" spans="1:34" ht="16.5" thickTop="1" thickBot="1">
      <c r="A1158" s="41"/>
      <c r="B1158" s="42"/>
      <c r="C1158" s="43"/>
      <c r="D1158" s="44"/>
      <c r="E1158" s="45"/>
      <c r="F1158" s="46"/>
      <c r="G1158" s="45"/>
      <c r="H1158" s="45"/>
      <c r="I1158" s="47"/>
      <c r="J1158" s="48"/>
      <c r="K1158" s="48"/>
      <c r="L1158" s="49"/>
      <c r="M1158" s="49"/>
      <c r="N1158" s="50"/>
      <c r="O1158" s="51"/>
      <c r="P1158" s="52"/>
      <c r="Q1158" s="53"/>
      <c r="R1158" s="77"/>
      <c r="S1158" s="78"/>
      <c r="T1158" s="56"/>
      <c r="U1158" s="80"/>
      <c r="V1158" s="56"/>
      <c r="W1158" s="56"/>
      <c r="X1158" s="80"/>
      <c r="Y1158" s="57"/>
      <c r="Z1158" s="58"/>
      <c r="AA1158" s="82"/>
      <c r="AB1158" s="83"/>
      <c r="AC1158" s="83"/>
      <c r="AD1158" s="77"/>
      <c r="AE1158" s="84"/>
      <c r="AF1158" s="84"/>
      <c r="AG1158" s="62"/>
      <c r="AH1158" s="63"/>
    </row>
    <row r="1159" spans="1:34" ht="16.5" thickTop="1" thickBot="1">
      <c r="A1159" s="41"/>
      <c r="B1159" s="42"/>
      <c r="C1159" s="43"/>
      <c r="D1159" s="44"/>
      <c r="E1159" s="45"/>
      <c r="F1159" s="46"/>
      <c r="G1159" s="45"/>
      <c r="H1159" s="45"/>
      <c r="I1159" s="47"/>
      <c r="J1159" s="48"/>
      <c r="K1159" s="48"/>
      <c r="L1159" s="49"/>
      <c r="M1159" s="49"/>
      <c r="N1159" s="50"/>
      <c r="O1159" s="51"/>
      <c r="P1159" s="52"/>
      <c r="Q1159" s="53"/>
      <c r="R1159" s="77"/>
      <c r="S1159" s="78"/>
      <c r="T1159" s="56"/>
      <c r="U1159" s="80"/>
      <c r="V1159" s="56"/>
      <c r="W1159" s="56"/>
      <c r="X1159" s="80"/>
      <c r="Y1159" s="57"/>
      <c r="Z1159" s="58"/>
      <c r="AA1159" s="82"/>
      <c r="AB1159" s="83"/>
      <c r="AC1159" s="83"/>
      <c r="AD1159" s="77"/>
      <c r="AE1159" s="84"/>
      <c r="AF1159" s="84"/>
      <c r="AG1159" s="62"/>
      <c r="AH1159" s="63"/>
    </row>
    <row r="1160" spans="1:34" ht="16.5" thickTop="1" thickBot="1">
      <c r="A1160" s="41"/>
      <c r="B1160" s="42"/>
      <c r="C1160" s="43"/>
      <c r="D1160" s="44"/>
      <c r="E1160" s="45"/>
      <c r="F1160" s="46"/>
      <c r="G1160" s="45"/>
      <c r="H1160" s="45"/>
      <c r="I1160" s="47"/>
      <c r="J1160" s="48"/>
      <c r="K1160" s="48"/>
      <c r="L1160" s="49"/>
      <c r="M1160" s="49"/>
      <c r="N1160" s="50"/>
      <c r="O1160" s="51"/>
      <c r="P1160" s="52"/>
      <c r="Q1160" s="53"/>
      <c r="R1160" s="77"/>
      <c r="S1160" s="78"/>
      <c r="T1160" s="56"/>
      <c r="U1160" s="80"/>
      <c r="V1160" s="56"/>
      <c r="W1160" s="56"/>
      <c r="X1160" s="80"/>
      <c r="Y1160" s="57"/>
      <c r="Z1160" s="58"/>
      <c r="AA1160" s="82"/>
      <c r="AB1160" s="83"/>
      <c r="AC1160" s="83"/>
      <c r="AD1160" s="77"/>
      <c r="AE1160" s="84"/>
      <c r="AF1160" s="84"/>
      <c r="AG1160" s="62"/>
      <c r="AH1160" s="63"/>
    </row>
    <row r="1161" spans="1:34" ht="16.5" thickTop="1" thickBot="1">
      <c r="A1161" s="41"/>
      <c r="B1161" s="42"/>
      <c r="C1161" s="43"/>
      <c r="D1161" s="44"/>
      <c r="E1161" s="45"/>
      <c r="F1161" s="46"/>
      <c r="G1161" s="45"/>
      <c r="H1161" s="45"/>
      <c r="I1161" s="47"/>
      <c r="J1161" s="48"/>
      <c r="K1161" s="48"/>
      <c r="L1161" s="49"/>
      <c r="M1161" s="49"/>
      <c r="N1161" s="50"/>
      <c r="O1161" s="51"/>
      <c r="P1161" s="52"/>
      <c r="Q1161" s="53"/>
      <c r="R1161" s="77"/>
      <c r="S1161" s="78"/>
      <c r="T1161" s="56"/>
      <c r="U1161" s="80"/>
      <c r="V1161" s="56"/>
      <c r="W1161" s="56"/>
      <c r="X1161" s="80"/>
      <c r="Y1161" s="57"/>
      <c r="Z1161" s="58"/>
      <c r="AA1161" s="82"/>
      <c r="AB1161" s="83"/>
      <c r="AC1161" s="83"/>
      <c r="AD1161" s="77"/>
      <c r="AE1161" s="84"/>
      <c r="AF1161" s="84"/>
      <c r="AG1161" s="62"/>
      <c r="AH1161" s="63"/>
    </row>
    <row r="1162" spans="1:34" ht="16.5" thickTop="1" thickBot="1">
      <c r="A1162" s="41"/>
      <c r="B1162" s="42"/>
      <c r="C1162" s="43"/>
      <c r="D1162" s="44"/>
      <c r="E1162" s="45"/>
      <c r="F1162" s="46"/>
      <c r="G1162" s="45"/>
      <c r="H1162" s="45"/>
      <c r="I1162" s="47"/>
      <c r="J1162" s="48"/>
      <c r="K1162" s="48"/>
      <c r="L1162" s="49"/>
      <c r="M1162" s="49"/>
      <c r="N1162" s="50"/>
      <c r="O1162" s="51"/>
      <c r="P1162" s="52"/>
      <c r="Q1162" s="53"/>
      <c r="R1162" s="77"/>
      <c r="S1162" s="78"/>
      <c r="T1162" s="56"/>
      <c r="U1162" s="80"/>
      <c r="V1162" s="56"/>
      <c r="W1162" s="56"/>
      <c r="X1162" s="80"/>
      <c r="Y1162" s="57"/>
      <c r="Z1162" s="58"/>
      <c r="AA1162" s="82"/>
      <c r="AB1162" s="83"/>
      <c r="AC1162" s="83"/>
      <c r="AD1162" s="77"/>
      <c r="AE1162" s="84"/>
      <c r="AF1162" s="84"/>
      <c r="AG1162" s="62"/>
      <c r="AH1162" s="63"/>
    </row>
    <row r="1163" spans="1:34" ht="16.5" thickTop="1" thickBot="1">
      <c r="A1163" s="41"/>
      <c r="B1163" s="42"/>
      <c r="C1163" s="43"/>
      <c r="D1163" s="44"/>
      <c r="E1163" s="45"/>
      <c r="F1163" s="46"/>
      <c r="G1163" s="45"/>
      <c r="H1163" s="45"/>
      <c r="I1163" s="47"/>
      <c r="J1163" s="48"/>
      <c r="K1163" s="48"/>
      <c r="L1163" s="49"/>
      <c r="M1163" s="49"/>
      <c r="N1163" s="50"/>
      <c r="O1163" s="51"/>
      <c r="P1163" s="52"/>
      <c r="Q1163" s="53"/>
      <c r="R1163" s="77"/>
      <c r="S1163" s="78"/>
      <c r="T1163" s="56"/>
      <c r="U1163" s="80"/>
      <c r="V1163" s="56"/>
      <c r="W1163" s="56"/>
      <c r="X1163" s="80"/>
      <c r="Y1163" s="57"/>
      <c r="Z1163" s="58"/>
      <c r="AA1163" s="82"/>
      <c r="AB1163" s="83"/>
      <c r="AC1163" s="83"/>
      <c r="AD1163" s="77"/>
      <c r="AE1163" s="84"/>
      <c r="AF1163" s="84"/>
      <c r="AG1163" s="62"/>
      <c r="AH1163" s="63"/>
    </row>
    <row r="1164" spans="1:34" ht="16.5" thickTop="1" thickBot="1">
      <c r="A1164" s="41"/>
      <c r="B1164" s="42"/>
      <c r="C1164" s="43"/>
      <c r="D1164" s="44"/>
      <c r="E1164" s="45"/>
      <c r="F1164" s="46"/>
      <c r="G1164" s="45"/>
      <c r="H1164" s="45"/>
      <c r="I1164" s="47"/>
      <c r="J1164" s="48"/>
      <c r="K1164" s="48"/>
      <c r="L1164" s="49"/>
      <c r="M1164" s="49"/>
      <c r="N1164" s="50"/>
      <c r="O1164" s="51"/>
      <c r="P1164" s="52"/>
      <c r="Q1164" s="53"/>
      <c r="R1164" s="77"/>
      <c r="S1164" s="78"/>
      <c r="T1164" s="56"/>
      <c r="U1164" s="80"/>
      <c r="V1164" s="56"/>
      <c r="W1164" s="56"/>
      <c r="X1164" s="80"/>
      <c r="Y1164" s="57"/>
      <c r="Z1164" s="58"/>
      <c r="AA1164" s="82"/>
      <c r="AB1164" s="83"/>
      <c r="AC1164" s="83"/>
      <c r="AD1164" s="77"/>
      <c r="AE1164" s="84"/>
      <c r="AF1164" s="84"/>
      <c r="AG1164" s="62"/>
      <c r="AH1164" s="63"/>
    </row>
    <row r="1165" spans="1:34" ht="16.5" thickTop="1" thickBot="1">
      <c r="A1165" s="41"/>
      <c r="B1165" s="42"/>
      <c r="C1165" s="43"/>
      <c r="D1165" s="44"/>
      <c r="E1165" s="45"/>
      <c r="F1165" s="46"/>
      <c r="G1165" s="45"/>
      <c r="H1165" s="45"/>
      <c r="I1165" s="47"/>
      <c r="J1165" s="48"/>
      <c r="K1165" s="48"/>
      <c r="L1165" s="49"/>
      <c r="M1165" s="49"/>
      <c r="N1165" s="50"/>
      <c r="O1165" s="51"/>
      <c r="P1165" s="52"/>
      <c r="Q1165" s="53"/>
      <c r="R1165" s="77"/>
      <c r="S1165" s="78"/>
      <c r="T1165" s="56"/>
      <c r="U1165" s="80"/>
      <c r="V1165" s="56"/>
      <c r="W1165" s="56"/>
      <c r="X1165" s="80"/>
      <c r="Y1165" s="57"/>
      <c r="Z1165" s="58"/>
      <c r="AA1165" s="82"/>
      <c r="AB1165" s="83"/>
      <c r="AC1165" s="83"/>
      <c r="AD1165" s="77"/>
      <c r="AE1165" s="84"/>
      <c r="AF1165" s="84"/>
      <c r="AG1165" s="62"/>
      <c r="AH1165" s="63"/>
    </row>
    <row r="1166" spans="1:34" ht="16.5" thickTop="1" thickBot="1">
      <c r="A1166" s="41"/>
      <c r="B1166" s="42"/>
      <c r="C1166" s="43"/>
      <c r="D1166" s="44"/>
      <c r="E1166" s="45"/>
      <c r="F1166" s="46"/>
      <c r="G1166" s="45"/>
      <c r="H1166" s="45"/>
      <c r="I1166" s="47"/>
      <c r="J1166" s="48"/>
      <c r="K1166" s="48"/>
      <c r="L1166" s="49"/>
      <c r="M1166" s="49"/>
      <c r="N1166" s="50"/>
      <c r="O1166" s="51"/>
      <c r="P1166" s="52"/>
      <c r="Q1166" s="53"/>
      <c r="R1166" s="77"/>
      <c r="S1166" s="78"/>
      <c r="T1166" s="56"/>
      <c r="U1166" s="80"/>
      <c r="V1166" s="56"/>
      <c r="W1166" s="56"/>
      <c r="X1166" s="80"/>
      <c r="Y1166" s="57"/>
      <c r="Z1166" s="58"/>
      <c r="AA1166" s="82"/>
      <c r="AB1166" s="83"/>
      <c r="AC1166" s="83"/>
      <c r="AD1166" s="77"/>
      <c r="AE1166" s="84"/>
      <c r="AF1166" s="84"/>
      <c r="AG1166" s="62"/>
      <c r="AH1166" s="63"/>
    </row>
    <row r="1167" spans="1:34" ht="16.5" thickTop="1" thickBot="1">
      <c r="A1167" s="41"/>
      <c r="B1167" s="42"/>
      <c r="C1167" s="43"/>
      <c r="D1167" s="44"/>
      <c r="E1167" s="45"/>
      <c r="F1167" s="46"/>
      <c r="G1167" s="45"/>
      <c r="H1167" s="45"/>
      <c r="I1167" s="47"/>
      <c r="J1167" s="48"/>
      <c r="K1167" s="48"/>
      <c r="L1167" s="49"/>
      <c r="M1167" s="49"/>
      <c r="N1167" s="50"/>
      <c r="O1167" s="51"/>
      <c r="P1167" s="52"/>
      <c r="Q1167" s="53"/>
      <c r="R1167" s="77"/>
      <c r="S1167" s="78"/>
      <c r="T1167" s="56"/>
      <c r="U1167" s="80"/>
      <c r="V1167" s="56"/>
      <c r="W1167" s="56"/>
      <c r="X1167" s="80"/>
      <c r="Y1167" s="57"/>
      <c r="Z1167" s="58"/>
      <c r="AA1167" s="82"/>
      <c r="AB1167" s="83"/>
      <c r="AC1167" s="83"/>
      <c r="AD1167" s="77"/>
      <c r="AE1167" s="84"/>
      <c r="AF1167" s="84"/>
      <c r="AG1167" s="62"/>
      <c r="AH1167" s="63"/>
    </row>
    <row r="1168" spans="1:34" ht="16.5" thickTop="1" thickBot="1">
      <c r="A1168" s="41"/>
      <c r="B1168" s="42"/>
      <c r="C1168" s="43"/>
      <c r="D1168" s="44"/>
      <c r="E1168" s="45"/>
      <c r="F1168" s="46"/>
      <c r="G1168" s="45"/>
      <c r="H1168" s="45"/>
      <c r="I1168" s="47"/>
      <c r="J1168" s="48"/>
      <c r="K1168" s="48"/>
      <c r="L1168" s="49"/>
      <c r="M1168" s="49"/>
      <c r="N1168" s="50"/>
      <c r="O1168" s="51"/>
      <c r="P1168" s="52"/>
      <c r="Q1168" s="53"/>
      <c r="R1168" s="54"/>
      <c r="S1168" s="55"/>
      <c r="T1168" s="56"/>
      <c r="U1168" s="57"/>
      <c r="V1168" s="56"/>
      <c r="W1168" s="56"/>
      <c r="X1168" s="57"/>
      <c r="Y1168" s="57"/>
      <c r="Z1168" s="58"/>
      <c r="AA1168" s="59"/>
      <c r="AB1168" s="60"/>
      <c r="AC1168" s="60"/>
      <c r="AD1168" s="54"/>
      <c r="AE1168" s="61"/>
      <c r="AF1168" s="61"/>
      <c r="AG1168" s="62"/>
      <c r="AH1168" s="63"/>
    </row>
    <row r="1169" spans="1:34" ht="16.5" thickTop="1" thickBot="1">
      <c r="A1169" s="41"/>
      <c r="B1169" s="42"/>
      <c r="C1169" s="43"/>
      <c r="D1169" s="44"/>
      <c r="E1169" s="45"/>
      <c r="F1169" s="46"/>
      <c r="G1169" s="45"/>
      <c r="H1169" s="45"/>
      <c r="I1169" s="47"/>
      <c r="J1169" s="48"/>
      <c r="K1169" s="48"/>
      <c r="L1169" s="49"/>
      <c r="M1169" s="49"/>
      <c r="N1169" s="50"/>
      <c r="O1169" s="51"/>
      <c r="P1169" s="52"/>
      <c r="Q1169" s="53"/>
      <c r="R1169" s="54"/>
      <c r="S1169" s="55"/>
      <c r="T1169" s="56"/>
      <c r="U1169" s="57"/>
      <c r="V1169" s="56"/>
      <c r="W1169" s="56"/>
      <c r="X1169" s="57"/>
      <c r="Y1169" s="57"/>
      <c r="Z1169" s="58"/>
      <c r="AA1169" s="59"/>
      <c r="AB1169" s="60"/>
      <c r="AC1169" s="60"/>
      <c r="AD1169" s="54"/>
      <c r="AE1169" s="61"/>
      <c r="AF1169" s="61"/>
      <c r="AG1169" s="62"/>
      <c r="AH1169" s="63"/>
    </row>
    <row r="1170" spans="1:34" ht="16.5" thickTop="1" thickBot="1">
      <c r="A1170" s="41"/>
      <c r="B1170" s="42"/>
      <c r="C1170" s="43"/>
      <c r="D1170" s="44"/>
      <c r="E1170" s="45"/>
      <c r="F1170" s="46"/>
      <c r="G1170" s="45"/>
      <c r="H1170" s="45"/>
      <c r="I1170" s="47"/>
      <c r="J1170" s="48"/>
      <c r="K1170" s="48"/>
      <c r="L1170" s="49"/>
      <c r="M1170" s="49"/>
      <c r="N1170" s="50"/>
      <c r="O1170" s="51"/>
      <c r="P1170" s="52"/>
      <c r="Q1170" s="53"/>
      <c r="R1170" s="54"/>
      <c r="S1170" s="55"/>
      <c r="T1170" s="56"/>
      <c r="U1170" s="57"/>
      <c r="V1170" s="56"/>
      <c r="W1170" s="56"/>
      <c r="X1170" s="57"/>
      <c r="Y1170" s="57"/>
      <c r="Z1170" s="58"/>
      <c r="AA1170" s="59"/>
      <c r="AB1170" s="60"/>
      <c r="AC1170" s="60"/>
      <c r="AD1170" s="54"/>
      <c r="AE1170" s="61"/>
      <c r="AF1170" s="61"/>
      <c r="AG1170" s="62"/>
      <c r="AH1170" s="63"/>
    </row>
    <row r="1171" spans="1:34" ht="16.5" thickTop="1" thickBot="1">
      <c r="A1171" s="41"/>
      <c r="B1171" s="42"/>
      <c r="C1171" s="43"/>
      <c r="D1171" s="44"/>
      <c r="E1171" s="45"/>
      <c r="F1171" s="46"/>
      <c r="G1171" s="45"/>
      <c r="H1171" s="45"/>
      <c r="I1171" s="47"/>
      <c r="J1171" s="48"/>
      <c r="K1171" s="48"/>
      <c r="L1171" s="49"/>
      <c r="M1171" s="49"/>
      <c r="N1171" s="50"/>
      <c r="O1171" s="51"/>
      <c r="P1171" s="52"/>
      <c r="Q1171" s="53"/>
      <c r="R1171" s="54"/>
      <c r="S1171" s="55"/>
      <c r="T1171" s="56"/>
      <c r="U1171" s="57"/>
      <c r="V1171" s="56"/>
      <c r="W1171" s="56"/>
      <c r="X1171" s="57"/>
      <c r="Y1171" s="57"/>
      <c r="Z1171" s="58"/>
      <c r="AA1171" s="59"/>
      <c r="AB1171" s="60"/>
      <c r="AC1171" s="60"/>
      <c r="AD1171" s="54"/>
      <c r="AE1171" s="61"/>
      <c r="AF1171" s="61"/>
      <c r="AG1171" s="62"/>
      <c r="AH1171" s="63"/>
    </row>
    <row r="1172" spans="1:34" ht="16.5" thickTop="1" thickBot="1">
      <c r="A1172" s="41"/>
      <c r="B1172" s="42"/>
      <c r="C1172" s="43"/>
      <c r="D1172" s="44"/>
      <c r="E1172" s="45"/>
      <c r="F1172" s="46"/>
      <c r="G1172" s="45"/>
      <c r="H1172" s="45"/>
      <c r="I1172" s="47"/>
      <c r="J1172" s="48"/>
      <c r="K1172" s="48"/>
      <c r="L1172" s="49"/>
      <c r="M1172" s="49"/>
      <c r="N1172" s="50"/>
      <c r="O1172" s="51"/>
      <c r="P1172" s="52"/>
      <c r="Q1172" s="53"/>
      <c r="R1172" s="54"/>
      <c r="S1172" s="55"/>
      <c r="T1172" s="56"/>
      <c r="U1172" s="57"/>
      <c r="V1172" s="56"/>
      <c r="W1172" s="56"/>
      <c r="X1172" s="57"/>
      <c r="Y1172" s="57"/>
      <c r="Z1172" s="58"/>
      <c r="AA1172" s="59"/>
      <c r="AB1172" s="60"/>
      <c r="AC1172" s="60"/>
      <c r="AD1172" s="54"/>
      <c r="AE1172" s="61"/>
      <c r="AF1172" s="61"/>
      <c r="AG1172" s="62"/>
      <c r="AH1172" s="63"/>
    </row>
    <row r="1173" spans="1:34" ht="16.5" thickTop="1" thickBot="1">
      <c r="A1173" s="41"/>
      <c r="B1173" s="42"/>
      <c r="C1173" s="43"/>
      <c r="D1173" s="44"/>
      <c r="E1173" s="45"/>
      <c r="F1173" s="46"/>
      <c r="G1173" s="45"/>
      <c r="H1173" s="45"/>
      <c r="I1173" s="47"/>
      <c r="J1173" s="48"/>
      <c r="K1173" s="48"/>
      <c r="L1173" s="49"/>
      <c r="M1173" s="49"/>
      <c r="N1173" s="50"/>
      <c r="O1173" s="51"/>
      <c r="P1173" s="52"/>
      <c r="Q1173" s="53"/>
      <c r="R1173" s="54"/>
      <c r="S1173" s="55"/>
      <c r="T1173" s="56"/>
      <c r="U1173" s="57"/>
      <c r="V1173" s="56"/>
      <c r="W1173" s="56"/>
      <c r="X1173" s="57"/>
      <c r="Y1173" s="57"/>
      <c r="Z1173" s="58"/>
      <c r="AA1173" s="59"/>
      <c r="AB1173" s="60"/>
      <c r="AC1173" s="60"/>
      <c r="AD1173" s="54"/>
      <c r="AE1173" s="61"/>
      <c r="AF1173" s="61"/>
      <c r="AG1173" s="62"/>
      <c r="AH1173" s="63"/>
    </row>
    <row r="1174" spans="1:34" ht="16.5" thickTop="1" thickBot="1">
      <c r="A1174" s="41"/>
      <c r="B1174" s="42"/>
      <c r="C1174" s="43"/>
      <c r="D1174" s="44"/>
      <c r="E1174" s="45"/>
      <c r="F1174" s="46"/>
      <c r="G1174" s="45"/>
      <c r="H1174" s="45"/>
      <c r="I1174" s="47"/>
      <c r="J1174" s="48"/>
      <c r="K1174" s="48"/>
      <c r="L1174" s="49"/>
      <c r="M1174" s="49"/>
      <c r="N1174" s="50"/>
      <c r="O1174" s="51"/>
      <c r="P1174" s="52"/>
      <c r="Q1174" s="53"/>
      <c r="R1174" s="54"/>
      <c r="S1174" s="55"/>
      <c r="T1174" s="56"/>
      <c r="U1174" s="57"/>
      <c r="V1174" s="56"/>
      <c r="W1174" s="56"/>
      <c r="X1174" s="57"/>
      <c r="Y1174" s="57"/>
      <c r="Z1174" s="58"/>
      <c r="AA1174" s="59"/>
      <c r="AB1174" s="60"/>
      <c r="AC1174" s="60"/>
      <c r="AD1174" s="54"/>
      <c r="AE1174" s="61"/>
      <c r="AF1174" s="61"/>
      <c r="AG1174" s="62"/>
      <c r="AH1174" s="63"/>
    </row>
    <row r="1175" spans="1:34" ht="16.5" thickTop="1" thickBot="1">
      <c r="A1175" s="41"/>
      <c r="B1175" s="42"/>
      <c r="C1175" s="43"/>
      <c r="D1175" s="44"/>
      <c r="E1175" s="45"/>
      <c r="F1175" s="46"/>
      <c r="G1175" s="45"/>
      <c r="H1175" s="45"/>
      <c r="I1175" s="47"/>
      <c r="J1175" s="48"/>
      <c r="K1175" s="48"/>
      <c r="L1175" s="49"/>
      <c r="M1175" s="49"/>
      <c r="N1175" s="50"/>
      <c r="O1175" s="51"/>
      <c r="P1175" s="52"/>
      <c r="Q1175" s="53"/>
      <c r="R1175" s="54"/>
      <c r="S1175" s="55"/>
      <c r="T1175" s="56"/>
      <c r="U1175" s="57"/>
      <c r="V1175" s="56"/>
      <c r="W1175" s="56"/>
      <c r="X1175" s="57"/>
      <c r="Y1175" s="57"/>
      <c r="Z1175" s="58"/>
      <c r="AA1175" s="59"/>
      <c r="AB1175" s="60"/>
      <c r="AC1175" s="60"/>
      <c r="AD1175" s="54"/>
      <c r="AE1175" s="61"/>
      <c r="AF1175" s="61"/>
      <c r="AG1175" s="62"/>
      <c r="AH1175" s="63"/>
    </row>
    <row r="1176" spans="1:34" ht="16.5" thickTop="1" thickBot="1">
      <c r="A1176" s="41"/>
      <c r="B1176" s="42"/>
      <c r="C1176" s="43"/>
      <c r="D1176" s="44"/>
      <c r="E1176" s="45"/>
      <c r="F1176" s="46"/>
      <c r="G1176" s="45"/>
      <c r="H1176" s="45"/>
      <c r="I1176" s="47"/>
      <c r="J1176" s="48"/>
      <c r="K1176" s="48"/>
      <c r="L1176" s="49"/>
      <c r="M1176" s="49"/>
      <c r="N1176" s="50"/>
      <c r="O1176" s="51"/>
      <c r="P1176" s="52"/>
      <c r="Q1176" s="53"/>
      <c r="R1176" s="54"/>
      <c r="S1176" s="55"/>
      <c r="T1176" s="56"/>
      <c r="U1176" s="57"/>
      <c r="V1176" s="56"/>
      <c r="W1176" s="56"/>
      <c r="X1176" s="57"/>
      <c r="Y1176" s="57"/>
      <c r="Z1176" s="58"/>
      <c r="AA1176" s="59"/>
      <c r="AB1176" s="60"/>
      <c r="AC1176" s="60"/>
      <c r="AD1176" s="54"/>
      <c r="AE1176" s="61"/>
      <c r="AF1176" s="61"/>
      <c r="AG1176" s="62"/>
      <c r="AH1176" s="63"/>
    </row>
    <row r="1177" spans="1:34" ht="16.5" thickTop="1" thickBot="1">
      <c r="A1177" s="41"/>
      <c r="B1177" s="42"/>
      <c r="C1177" s="43"/>
      <c r="D1177" s="44"/>
      <c r="E1177" s="45"/>
      <c r="F1177" s="46"/>
      <c r="G1177" s="45"/>
      <c r="H1177" s="45"/>
      <c r="I1177" s="47"/>
      <c r="J1177" s="48"/>
      <c r="K1177" s="48"/>
      <c r="L1177" s="49"/>
      <c r="M1177" s="49"/>
      <c r="N1177" s="50"/>
      <c r="O1177" s="51"/>
      <c r="P1177" s="52"/>
      <c r="Q1177" s="53"/>
      <c r="R1177" s="54"/>
      <c r="S1177" s="55"/>
      <c r="T1177" s="56"/>
      <c r="U1177" s="57"/>
      <c r="V1177" s="56"/>
      <c r="W1177" s="56"/>
      <c r="X1177" s="57"/>
      <c r="Y1177" s="57"/>
      <c r="Z1177" s="58"/>
      <c r="AA1177" s="59"/>
      <c r="AB1177" s="60"/>
      <c r="AC1177" s="60"/>
      <c r="AD1177" s="54"/>
      <c r="AE1177" s="61"/>
      <c r="AF1177" s="61"/>
      <c r="AG1177" s="62"/>
      <c r="AH1177" s="63"/>
    </row>
    <row r="1178" spans="1:34" ht="16.5" thickTop="1" thickBot="1">
      <c r="A1178" s="41"/>
      <c r="B1178" s="42"/>
      <c r="C1178" s="43"/>
      <c r="D1178" s="44"/>
      <c r="E1178" s="45"/>
      <c r="F1178" s="46"/>
      <c r="G1178" s="45"/>
      <c r="H1178" s="45"/>
      <c r="I1178" s="47"/>
      <c r="J1178" s="48"/>
      <c r="K1178" s="48"/>
      <c r="L1178" s="49"/>
      <c r="M1178" s="49"/>
      <c r="N1178" s="50"/>
      <c r="O1178" s="51"/>
      <c r="P1178" s="52"/>
      <c r="Q1178" s="53"/>
      <c r="R1178" s="54"/>
      <c r="S1178" s="55"/>
      <c r="T1178" s="56"/>
      <c r="U1178" s="57"/>
      <c r="V1178" s="56"/>
      <c r="W1178" s="56"/>
      <c r="X1178" s="57"/>
      <c r="Y1178" s="57"/>
      <c r="Z1178" s="58"/>
      <c r="AA1178" s="59"/>
      <c r="AB1178" s="60"/>
      <c r="AC1178" s="60"/>
      <c r="AD1178" s="54"/>
      <c r="AE1178" s="61"/>
      <c r="AF1178" s="61"/>
      <c r="AG1178" s="62"/>
      <c r="AH1178" s="63"/>
    </row>
    <row r="1179" spans="1:34" ht="16.5" thickTop="1" thickBot="1">
      <c r="A1179" s="41"/>
      <c r="B1179" s="42"/>
      <c r="C1179" s="43"/>
      <c r="D1179" s="44"/>
      <c r="E1179" s="45"/>
      <c r="F1179" s="46"/>
      <c r="G1179" s="45"/>
      <c r="H1179" s="45"/>
      <c r="I1179" s="47"/>
      <c r="J1179" s="48"/>
      <c r="K1179" s="48"/>
      <c r="L1179" s="49"/>
      <c r="M1179" s="49"/>
      <c r="N1179" s="50"/>
      <c r="O1179" s="51"/>
      <c r="P1179" s="52"/>
      <c r="Q1179" s="53"/>
      <c r="R1179" s="54"/>
      <c r="S1179" s="55"/>
      <c r="T1179" s="56"/>
      <c r="U1179" s="57"/>
      <c r="V1179" s="56"/>
      <c r="W1179" s="56"/>
      <c r="X1179" s="57"/>
      <c r="Y1179" s="57"/>
      <c r="Z1179" s="58"/>
      <c r="AA1179" s="59"/>
      <c r="AB1179" s="60"/>
      <c r="AC1179" s="60"/>
      <c r="AD1179" s="54"/>
      <c r="AE1179" s="61"/>
      <c r="AF1179" s="61"/>
      <c r="AG1179" s="62"/>
      <c r="AH1179" s="63"/>
    </row>
    <row r="1180" spans="1:34" ht="16.5" thickTop="1" thickBot="1">
      <c r="A1180" s="41"/>
      <c r="B1180" s="42"/>
      <c r="C1180" s="43"/>
      <c r="D1180" s="44"/>
      <c r="E1180" s="45"/>
      <c r="F1180" s="46"/>
      <c r="G1180" s="45"/>
      <c r="H1180" s="45"/>
      <c r="I1180" s="47"/>
      <c r="J1180" s="48"/>
      <c r="K1180" s="48"/>
      <c r="L1180" s="49"/>
      <c r="M1180" s="49"/>
      <c r="N1180" s="50"/>
      <c r="O1180" s="51"/>
      <c r="P1180" s="52"/>
      <c r="Q1180" s="53"/>
      <c r="R1180" s="54"/>
      <c r="S1180" s="55"/>
      <c r="T1180" s="56"/>
      <c r="U1180" s="57"/>
      <c r="V1180" s="56"/>
      <c r="W1180" s="56"/>
      <c r="X1180" s="57"/>
      <c r="Y1180" s="57"/>
      <c r="Z1180" s="58"/>
      <c r="AA1180" s="59"/>
      <c r="AB1180" s="60"/>
      <c r="AC1180" s="60"/>
      <c r="AD1180" s="54"/>
      <c r="AE1180" s="61"/>
      <c r="AF1180" s="61"/>
      <c r="AG1180" s="62"/>
      <c r="AH1180" s="63"/>
    </row>
    <row r="1181" spans="1:34" ht="16.5" thickTop="1" thickBot="1">
      <c r="A1181" s="41"/>
      <c r="B1181" s="42"/>
      <c r="C1181" s="43"/>
      <c r="D1181" s="44"/>
      <c r="E1181" s="45"/>
      <c r="F1181" s="46"/>
      <c r="G1181" s="45"/>
      <c r="H1181" s="45"/>
      <c r="I1181" s="47"/>
      <c r="J1181" s="48"/>
      <c r="K1181" s="48"/>
      <c r="L1181" s="49"/>
      <c r="M1181" s="49"/>
      <c r="N1181" s="50"/>
      <c r="O1181" s="51"/>
      <c r="P1181" s="52"/>
      <c r="Q1181" s="53"/>
      <c r="R1181" s="77"/>
      <c r="S1181" s="78"/>
      <c r="T1181" s="56"/>
      <c r="U1181" s="80"/>
      <c r="V1181" s="56"/>
      <c r="W1181" s="56"/>
      <c r="Y1181" s="57"/>
      <c r="Z1181" s="58"/>
      <c r="AA1181" s="82"/>
      <c r="AB1181" s="83"/>
      <c r="AC1181" s="83"/>
      <c r="AD1181" s="77"/>
      <c r="AE1181" s="84"/>
      <c r="AF1181" s="84"/>
      <c r="AG1181" s="62"/>
      <c r="AH1181" s="63"/>
    </row>
    <row r="1182" spans="1:34" ht="16.5" thickTop="1" thickBot="1">
      <c r="A1182" s="41"/>
      <c r="B1182" s="42"/>
      <c r="C1182" s="43"/>
      <c r="D1182" s="44"/>
      <c r="E1182" s="45"/>
      <c r="F1182" s="46"/>
      <c r="G1182" s="45"/>
      <c r="H1182" s="45"/>
      <c r="I1182" s="47"/>
      <c r="J1182" s="48"/>
      <c r="K1182" s="48"/>
      <c r="L1182" s="49"/>
      <c r="M1182" s="49"/>
      <c r="N1182" s="50"/>
      <c r="O1182" s="51"/>
      <c r="P1182" s="52"/>
      <c r="Q1182" s="53"/>
      <c r="R1182" s="77"/>
      <c r="S1182" s="78"/>
      <c r="T1182" s="56"/>
      <c r="U1182" s="80"/>
      <c r="V1182" s="56"/>
      <c r="W1182" s="56"/>
      <c r="Y1182" s="57"/>
      <c r="Z1182" s="58"/>
      <c r="AA1182" s="82"/>
      <c r="AB1182" s="83"/>
      <c r="AC1182" s="83"/>
      <c r="AD1182" s="77"/>
      <c r="AE1182" s="84"/>
      <c r="AF1182" s="84"/>
      <c r="AG1182" s="62"/>
      <c r="AH1182" s="63"/>
    </row>
    <row r="1183" spans="1:34" ht="16.5" thickTop="1" thickBot="1">
      <c r="A1183" s="41"/>
      <c r="B1183" s="42"/>
      <c r="C1183" s="43"/>
      <c r="D1183" s="44"/>
      <c r="E1183" s="45"/>
      <c r="F1183" s="46"/>
      <c r="G1183" s="45"/>
      <c r="H1183" s="45"/>
      <c r="I1183" s="47"/>
      <c r="J1183" s="48"/>
      <c r="K1183" s="48"/>
      <c r="L1183" s="49"/>
      <c r="M1183" s="49"/>
      <c r="N1183" s="50"/>
      <c r="O1183" s="51"/>
      <c r="P1183" s="52"/>
      <c r="Q1183" s="53"/>
      <c r="R1183" s="77"/>
      <c r="S1183" s="78"/>
      <c r="T1183" s="56"/>
      <c r="U1183" s="80"/>
      <c r="V1183" s="56"/>
      <c r="W1183" s="56"/>
      <c r="Y1183" s="57"/>
      <c r="Z1183" s="58"/>
      <c r="AA1183" s="82"/>
      <c r="AB1183" s="83"/>
      <c r="AC1183" s="83"/>
      <c r="AD1183" s="77"/>
      <c r="AE1183" s="84"/>
      <c r="AF1183" s="84"/>
      <c r="AG1183" s="62"/>
      <c r="AH1183" s="63"/>
    </row>
    <row r="1184" spans="1:34" ht="16.5" thickTop="1" thickBot="1">
      <c r="A1184" s="41"/>
      <c r="B1184" s="42"/>
      <c r="C1184" s="43"/>
      <c r="D1184" s="44"/>
      <c r="E1184" s="45"/>
      <c r="F1184" s="46"/>
      <c r="G1184" s="45"/>
      <c r="H1184" s="45"/>
      <c r="I1184" s="47"/>
      <c r="J1184" s="48"/>
      <c r="K1184" s="48"/>
      <c r="L1184" s="49"/>
      <c r="M1184" s="49"/>
      <c r="N1184" s="50"/>
      <c r="O1184" s="51"/>
      <c r="P1184" s="52"/>
      <c r="Q1184" s="53"/>
      <c r="R1184" s="77"/>
      <c r="S1184" s="78"/>
      <c r="T1184" s="56"/>
      <c r="U1184" s="80"/>
      <c r="V1184" s="56"/>
      <c r="W1184" s="56"/>
      <c r="Y1184" s="57"/>
      <c r="Z1184" s="58"/>
      <c r="AA1184" s="82"/>
      <c r="AB1184" s="83"/>
      <c r="AC1184" s="83"/>
      <c r="AD1184" s="77"/>
      <c r="AE1184" s="84"/>
      <c r="AF1184" s="84"/>
      <c r="AG1184" s="62"/>
      <c r="AH1184" s="63"/>
    </row>
    <row r="1185" spans="1:34" ht="16.5" thickTop="1" thickBot="1">
      <c r="A1185" s="41"/>
      <c r="B1185" s="42"/>
      <c r="C1185" s="43"/>
      <c r="D1185" s="44"/>
      <c r="E1185" s="45"/>
      <c r="F1185" s="46"/>
      <c r="G1185" s="45"/>
      <c r="H1185" s="45"/>
      <c r="I1185" s="47"/>
      <c r="J1185" s="48"/>
      <c r="K1185" s="48"/>
      <c r="L1185" s="49"/>
      <c r="M1185" s="49"/>
      <c r="N1185" s="50"/>
      <c r="O1185" s="51"/>
      <c r="P1185" s="52"/>
      <c r="Q1185" s="53"/>
      <c r="R1185" s="77"/>
      <c r="S1185" s="78"/>
      <c r="T1185" s="56"/>
      <c r="U1185" s="80"/>
      <c r="V1185" s="56"/>
      <c r="W1185" s="56"/>
      <c r="Y1185" s="57"/>
      <c r="Z1185" s="58"/>
      <c r="AA1185" s="82"/>
      <c r="AB1185" s="83"/>
      <c r="AC1185" s="83"/>
      <c r="AD1185" s="77"/>
      <c r="AE1185" s="84"/>
      <c r="AF1185" s="84"/>
      <c r="AG1185" s="62"/>
      <c r="AH1185" s="63"/>
    </row>
    <row r="1186" spans="1:34" ht="16.5" thickTop="1" thickBot="1">
      <c r="A1186" s="41"/>
      <c r="B1186" s="42"/>
      <c r="C1186" s="43"/>
      <c r="D1186" s="44"/>
      <c r="E1186" s="45"/>
      <c r="F1186" s="46"/>
      <c r="G1186" s="45"/>
      <c r="H1186" s="45"/>
      <c r="I1186" s="47"/>
      <c r="J1186" s="48"/>
      <c r="K1186" s="48"/>
      <c r="L1186" s="49"/>
      <c r="M1186" s="49"/>
      <c r="N1186" s="50"/>
      <c r="O1186" s="51"/>
      <c r="P1186" s="52"/>
      <c r="Q1186" s="53"/>
      <c r="R1186" s="77"/>
      <c r="S1186" s="78"/>
      <c r="T1186" s="56"/>
      <c r="U1186" s="80"/>
      <c r="V1186" s="56"/>
      <c r="W1186" s="56"/>
      <c r="Y1186" s="57"/>
      <c r="Z1186" s="58"/>
      <c r="AA1186" s="82"/>
      <c r="AB1186" s="83"/>
      <c r="AC1186" s="83"/>
      <c r="AD1186" s="77"/>
      <c r="AE1186" s="84"/>
      <c r="AF1186" s="84"/>
      <c r="AG1186" s="62"/>
      <c r="AH1186" s="63"/>
    </row>
    <row r="1187" spans="1:34" ht="16.5" thickTop="1" thickBot="1">
      <c r="A1187" s="41"/>
      <c r="B1187" s="42"/>
      <c r="C1187" s="43"/>
      <c r="D1187" s="44"/>
      <c r="E1187" s="45"/>
      <c r="F1187" s="46"/>
      <c r="G1187" s="45"/>
      <c r="H1187" s="45"/>
      <c r="I1187" s="47"/>
      <c r="J1187" s="48"/>
      <c r="K1187" s="48"/>
      <c r="L1187" s="49"/>
      <c r="M1187" s="49"/>
      <c r="N1187" s="50"/>
      <c r="O1187" s="51"/>
      <c r="P1187" s="52"/>
      <c r="Q1187" s="53"/>
      <c r="R1187" s="77"/>
      <c r="S1187" s="78"/>
      <c r="T1187" s="56"/>
      <c r="U1187" s="80"/>
      <c r="V1187" s="56"/>
      <c r="W1187" s="56"/>
      <c r="Y1187" s="57"/>
      <c r="Z1187" s="58"/>
      <c r="AA1187" s="82"/>
      <c r="AB1187" s="83"/>
      <c r="AC1187" s="83"/>
      <c r="AD1187" s="77"/>
      <c r="AE1187" s="84"/>
      <c r="AF1187" s="84"/>
      <c r="AG1187" s="62"/>
      <c r="AH1187" s="63"/>
    </row>
    <row r="1188" spans="1:34" ht="16.5" thickTop="1" thickBot="1">
      <c r="A1188" s="41"/>
      <c r="B1188" s="42"/>
      <c r="C1188" s="43"/>
      <c r="D1188" s="44"/>
      <c r="E1188" s="45"/>
      <c r="F1188" s="46"/>
      <c r="G1188" s="45"/>
      <c r="H1188" s="45"/>
      <c r="I1188" s="47"/>
      <c r="J1188" s="48"/>
      <c r="K1188" s="48"/>
      <c r="L1188" s="49"/>
      <c r="M1188" s="49"/>
      <c r="N1188" s="50"/>
      <c r="O1188" s="51"/>
      <c r="P1188" s="52"/>
      <c r="Q1188" s="53"/>
      <c r="R1188" s="77"/>
      <c r="S1188" s="78"/>
      <c r="T1188" s="56"/>
      <c r="U1188" s="80"/>
      <c r="V1188" s="56"/>
      <c r="W1188" s="56"/>
      <c r="Y1188" s="57"/>
      <c r="Z1188" s="58"/>
      <c r="AA1188" s="82"/>
      <c r="AB1188" s="83"/>
      <c r="AC1188" s="83"/>
      <c r="AD1188" s="77"/>
      <c r="AE1188" s="84"/>
      <c r="AF1188" s="84"/>
      <c r="AG1188" s="62"/>
      <c r="AH1188" s="63"/>
    </row>
    <row r="1189" spans="1:34" ht="16.5" thickTop="1" thickBot="1">
      <c r="A1189" s="41"/>
      <c r="B1189" s="42"/>
      <c r="C1189" s="43"/>
      <c r="D1189" s="44"/>
      <c r="E1189" s="45"/>
      <c r="F1189" s="46"/>
      <c r="G1189" s="45"/>
      <c r="H1189" s="45"/>
      <c r="I1189" s="47"/>
      <c r="J1189" s="48"/>
      <c r="K1189" s="48"/>
      <c r="L1189" s="49"/>
      <c r="M1189" s="49"/>
      <c r="N1189" s="50"/>
      <c r="O1189" s="51"/>
      <c r="P1189" s="52"/>
      <c r="Q1189" s="53"/>
      <c r="R1189" s="77"/>
      <c r="S1189" s="78"/>
      <c r="T1189" s="56"/>
      <c r="U1189" s="80"/>
      <c r="V1189" s="56"/>
      <c r="W1189" s="56"/>
      <c r="Y1189" s="57"/>
      <c r="Z1189" s="58"/>
      <c r="AA1189" s="82"/>
      <c r="AB1189" s="83"/>
      <c r="AC1189" s="83"/>
      <c r="AD1189" s="77"/>
      <c r="AE1189" s="84"/>
      <c r="AF1189" s="84"/>
      <c r="AG1189" s="62"/>
      <c r="AH1189" s="63"/>
    </row>
    <row r="1190" spans="1:34" ht="16.5" thickTop="1" thickBot="1">
      <c r="A1190" s="41"/>
      <c r="B1190" s="42"/>
      <c r="C1190" s="43"/>
      <c r="D1190" s="44"/>
      <c r="E1190" s="45"/>
      <c r="F1190" s="46"/>
      <c r="G1190" s="45"/>
      <c r="H1190" s="45"/>
      <c r="I1190" s="47"/>
      <c r="J1190" s="48"/>
      <c r="K1190" s="48"/>
      <c r="L1190" s="49"/>
      <c r="M1190" s="49"/>
      <c r="N1190" s="50"/>
      <c r="O1190" s="51"/>
      <c r="P1190" s="52"/>
      <c r="Q1190" s="53"/>
      <c r="R1190" s="77"/>
      <c r="S1190" s="78"/>
      <c r="T1190" s="56"/>
      <c r="U1190" s="80"/>
      <c r="V1190" s="56"/>
      <c r="W1190" s="56"/>
      <c r="Y1190" s="57"/>
      <c r="Z1190" s="58"/>
      <c r="AA1190" s="82"/>
      <c r="AB1190" s="83"/>
      <c r="AC1190" s="83"/>
      <c r="AD1190" s="77"/>
      <c r="AE1190" s="84"/>
      <c r="AF1190" s="84"/>
      <c r="AG1190" s="62"/>
      <c r="AH1190" s="63"/>
    </row>
    <row r="1191" spans="1:34" ht="16.5" thickTop="1" thickBot="1">
      <c r="A1191" s="41"/>
      <c r="B1191" s="42"/>
      <c r="C1191" s="43"/>
      <c r="D1191" s="44"/>
      <c r="E1191" s="45"/>
      <c r="F1191" s="46"/>
      <c r="G1191" s="45"/>
      <c r="H1191" s="45"/>
      <c r="I1191" s="47"/>
      <c r="J1191" s="48"/>
      <c r="K1191" s="48"/>
      <c r="L1191" s="49"/>
      <c r="M1191" s="49"/>
      <c r="N1191" s="50"/>
      <c r="O1191" s="51"/>
      <c r="P1191" s="52"/>
      <c r="Q1191" s="53"/>
      <c r="R1191" s="77"/>
      <c r="S1191" s="78"/>
      <c r="T1191" s="56"/>
      <c r="U1191" s="80"/>
      <c r="V1191" s="56"/>
      <c r="W1191" s="56"/>
      <c r="Y1191" s="57"/>
      <c r="Z1191" s="58"/>
      <c r="AA1191" s="82"/>
      <c r="AB1191" s="83"/>
      <c r="AC1191" s="83"/>
      <c r="AD1191" s="77"/>
      <c r="AE1191" s="84"/>
      <c r="AF1191" s="84"/>
      <c r="AG1191" s="62"/>
      <c r="AH1191" s="63"/>
    </row>
    <row r="1192" spans="1:34" ht="16.5" thickTop="1" thickBot="1">
      <c r="A1192" s="41"/>
      <c r="B1192" s="42"/>
      <c r="C1192" s="43"/>
      <c r="D1192" s="44"/>
      <c r="E1192" s="45"/>
      <c r="F1192" s="46"/>
      <c r="G1192" s="45"/>
      <c r="H1192" s="45"/>
      <c r="I1192" s="47"/>
      <c r="J1192" s="48"/>
      <c r="K1192" s="48"/>
      <c r="L1192" s="49"/>
      <c r="M1192" s="49"/>
      <c r="N1192" s="50"/>
      <c r="O1192" s="51"/>
      <c r="P1192" s="52"/>
      <c r="Q1192" s="53"/>
      <c r="R1192" s="77"/>
      <c r="S1192" s="78"/>
      <c r="T1192" s="56"/>
      <c r="U1192" s="80"/>
      <c r="V1192" s="56"/>
      <c r="W1192" s="56"/>
      <c r="Y1192" s="57"/>
      <c r="Z1192" s="58"/>
      <c r="AA1192" s="82"/>
      <c r="AB1192" s="83"/>
      <c r="AC1192" s="83"/>
      <c r="AD1192" s="77"/>
      <c r="AE1192" s="84"/>
      <c r="AF1192" s="84"/>
      <c r="AG1192" s="62"/>
      <c r="AH1192" s="63"/>
    </row>
    <row r="1193" spans="1:34" ht="16.5" thickTop="1" thickBot="1">
      <c r="A1193" s="41"/>
      <c r="B1193" s="42"/>
      <c r="C1193" s="43"/>
      <c r="D1193" s="44"/>
      <c r="E1193" s="45"/>
      <c r="F1193" s="46"/>
      <c r="G1193" s="45"/>
      <c r="H1193" s="45"/>
      <c r="I1193" s="47"/>
      <c r="J1193" s="48"/>
      <c r="K1193" s="48"/>
      <c r="L1193" s="49"/>
      <c r="M1193" s="49"/>
      <c r="N1193" s="50"/>
      <c r="O1193" s="51"/>
      <c r="P1193" s="52"/>
      <c r="Q1193" s="53"/>
      <c r="R1193" s="77"/>
      <c r="S1193" s="78"/>
      <c r="T1193" s="56"/>
      <c r="U1193" s="80"/>
      <c r="V1193" s="56"/>
      <c r="W1193" s="56"/>
      <c r="Y1193" s="57"/>
      <c r="Z1193" s="58"/>
      <c r="AA1193" s="82"/>
      <c r="AB1193" s="83"/>
      <c r="AC1193" s="83"/>
      <c r="AD1193" s="77"/>
      <c r="AE1193" s="84"/>
      <c r="AF1193" s="84"/>
      <c r="AG1193" s="62"/>
      <c r="AH1193" s="63"/>
    </row>
    <row r="1194" spans="1:34" ht="16.5" thickTop="1" thickBot="1">
      <c r="A1194" s="41"/>
      <c r="B1194" s="42"/>
      <c r="C1194" s="43"/>
      <c r="D1194" s="44"/>
      <c r="E1194" s="45"/>
      <c r="F1194" s="46"/>
      <c r="G1194" s="45"/>
      <c r="H1194" s="45"/>
      <c r="I1194" s="47"/>
      <c r="J1194" s="48"/>
      <c r="K1194" s="48"/>
      <c r="L1194" s="49"/>
      <c r="M1194" s="49"/>
      <c r="N1194" s="50"/>
      <c r="O1194" s="51"/>
      <c r="P1194" s="52"/>
      <c r="Q1194" s="53"/>
      <c r="R1194" s="77"/>
      <c r="S1194" s="78"/>
      <c r="T1194" s="56"/>
      <c r="U1194" s="80"/>
      <c r="V1194" s="56"/>
      <c r="W1194" s="56"/>
      <c r="Y1194" s="57"/>
      <c r="Z1194" s="58"/>
      <c r="AA1194" s="82"/>
      <c r="AB1194" s="83"/>
      <c r="AC1194" s="83"/>
      <c r="AD1194" s="77"/>
      <c r="AE1194" s="84"/>
      <c r="AF1194" s="84"/>
      <c r="AG1194" s="62"/>
      <c r="AH1194" s="63"/>
    </row>
    <row r="1195" spans="1:34" ht="16.5" thickTop="1" thickBot="1">
      <c r="A1195" s="41"/>
      <c r="B1195" s="42"/>
      <c r="C1195" s="43"/>
      <c r="D1195" s="44"/>
      <c r="E1195" s="45"/>
      <c r="F1195" s="46"/>
      <c r="G1195" s="45"/>
      <c r="H1195" s="45"/>
      <c r="I1195" s="47"/>
      <c r="J1195" s="48"/>
      <c r="K1195" s="48"/>
      <c r="L1195" s="49"/>
      <c r="M1195" s="49"/>
      <c r="N1195" s="50"/>
      <c r="O1195" s="51"/>
      <c r="P1195" s="52"/>
      <c r="Q1195" s="53"/>
      <c r="R1195" s="77"/>
      <c r="S1195" s="78"/>
      <c r="T1195" s="56"/>
      <c r="U1195" s="80"/>
      <c r="V1195" s="56"/>
      <c r="W1195" s="56"/>
      <c r="Y1195" s="57"/>
      <c r="Z1195" s="58"/>
      <c r="AA1195" s="82"/>
      <c r="AB1195" s="83"/>
      <c r="AC1195" s="83"/>
      <c r="AD1195" s="77"/>
      <c r="AE1195" s="84"/>
      <c r="AF1195" s="84"/>
      <c r="AG1195" s="62"/>
      <c r="AH1195" s="63"/>
    </row>
    <row r="1196" spans="1:34" ht="16.5" thickTop="1" thickBot="1">
      <c r="A1196" s="41"/>
      <c r="B1196" s="42"/>
      <c r="C1196" s="43"/>
      <c r="D1196" s="44"/>
      <c r="E1196" s="45"/>
      <c r="F1196" s="46"/>
      <c r="G1196" s="45"/>
      <c r="H1196" s="45"/>
      <c r="I1196" s="47"/>
      <c r="J1196" s="48"/>
      <c r="K1196" s="48"/>
      <c r="L1196" s="49"/>
      <c r="M1196" s="49"/>
      <c r="N1196" s="50"/>
      <c r="O1196" s="51"/>
      <c r="P1196" s="52"/>
      <c r="Q1196" s="53"/>
      <c r="R1196" s="54"/>
      <c r="S1196" s="55"/>
      <c r="T1196" s="56"/>
      <c r="U1196" s="57"/>
      <c r="V1196" s="56"/>
      <c r="W1196" s="56"/>
      <c r="Y1196" s="57"/>
      <c r="Z1196" s="58"/>
      <c r="AA1196" s="59"/>
      <c r="AB1196" s="60"/>
      <c r="AC1196" s="60"/>
      <c r="AD1196" s="54"/>
      <c r="AE1196" s="61"/>
      <c r="AF1196" s="61"/>
      <c r="AG1196" s="62"/>
      <c r="AH1196" s="63"/>
    </row>
    <row r="1197" spans="1:34" ht="16.5" thickTop="1" thickBot="1">
      <c r="A1197" s="41"/>
      <c r="B1197" s="42"/>
      <c r="C1197" s="43"/>
      <c r="D1197" s="44"/>
      <c r="E1197" s="45"/>
      <c r="F1197" s="46"/>
      <c r="G1197" s="45"/>
      <c r="H1197" s="45"/>
      <c r="I1197" s="47"/>
      <c r="J1197" s="48"/>
      <c r="K1197" s="48"/>
      <c r="L1197" s="49"/>
      <c r="M1197" s="49"/>
      <c r="N1197" s="50"/>
      <c r="O1197" s="51"/>
      <c r="P1197" s="52"/>
      <c r="Q1197" s="53"/>
      <c r="R1197" s="54"/>
      <c r="S1197" s="55"/>
      <c r="T1197" s="56"/>
      <c r="U1197" s="57"/>
      <c r="V1197" s="56"/>
      <c r="W1197" s="56"/>
      <c r="Y1197" s="57"/>
      <c r="Z1197" s="58"/>
      <c r="AA1197" s="59"/>
      <c r="AB1197" s="60"/>
      <c r="AC1197" s="60"/>
      <c r="AD1197" s="54"/>
      <c r="AE1197" s="61"/>
      <c r="AF1197" s="61"/>
      <c r="AG1197" s="62"/>
      <c r="AH1197" s="63"/>
    </row>
    <row r="1198" spans="1:34" ht="16.5" thickTop="1" thickBot="1">
      <c r="A1198" s="41"/>
      <c r="B1198" s="42"/>
      <c r="C1198" s="43"/>
      <c r="D1198" s="44"/>
      <c r="E1198" s="45"/>
      <c r="F1198" s="46"/>
      <c r="G1198" s="45"/>
      <c r="H1198" s="45"/>
      <c r="I1198" s="47"/>
      <c r="J1198" s="48"/>
      <c r="K1198" s="48"/>
      <c r="L1198" s="49"/>
      <c r="M1198" s="49"/>
      <c r="N1198" s="50"/>
      <c r="O1198" s="51"/>
      <c r="P1198" s="52"/>
      <c r="Q1198" s="53"/>
      <c r="R1198" s="54"/>
      <c r="S1198" s="55"/>
      <c r="T1198" s="56"/>
      <c r="U1198" s="57"/>
      <c r="V1198" s="56"/>
      <c r="W1198" s="56"/>
      <c r="Y1198" s="57"/>
      <c r="Z1198" s="58"/>
      <c r="AA1198" s="59"/>
      <c r="AB1198" s="60"/>
      <c r="AC1198" s="60"/>
      <c r="AD1198" s="54"/>
      <c r="AE1198" s="61"/>
      <c r="AF1198" s="61"/>
      <c r="AG1198" s="62"/>
      <c r="AH1198" s="63"/>
    </row>
    <row r="1199" spans="1:34" ht="16.5" thickTop="1" thickBot="1">
      <c r="A1199" s="41"/>
      <c r="B1199" s="42"/>
      <c r="C1199" s="43"/>
      <c r="D1199" s="44"/>
      <c r="E1199" s="45"/>
      <c r="F1199" s="46"/>
      <c r="G1199" s="45"/>
      <c r="H1199" s="45"/>
      <c r="I1199" s="47"/>
      <c r="J1199" s="48"/>
      <c r="K1199" s="48"/>
      <c r="L1199" s="49"/>
      <c r="M1199" s="49"/>
      <c r="N1199" s="50"/>
      <c r="O1199" s="51"/>
      <c r="P1199" s="52"/>
      <c r="Q1199" s="53"/>
      <c r="R1199" s="54"/>
      <c r="S1199" s="55"/>
      <c r="T1199" s="56"/>
      <c r="U1199" s="57"/>
      <c r="V1199" s="56"/>
      <c r="W1199" s="56"/>
      <c r="X1199" s="93"/>
      <c r="Y1199" s="57"/>
      <c r="Z1199" s="58"/>
      <c r="AA1199" s="59"/>
      <c r="AB1199" s="60"/>
      <c r="AC1199" s="60"/>
      <c r="AD1199" s="54"/>
      <c r="AE1199" s="61"/>
      <c r="AF1199" s="61"/>
      <c r="AG1199" s="62"/>
      <c r="AH1199" s="63"/>
    </row>
    <row r="1200" spans="1:34" ht="16" thickTop="1">
      <c r="A1200" s="41"/>
      <c r="B1200" s="42"/>
      <c r="C1200" s="43"/>
      <c r="D1200" s="44"/>
      <c r="E1200" s="45"/>
      <c r="F1200" s="46"/>
      <c r="G1200" s="45"/>
      <c r="H1200" s="45"/>
      <c r="I1200" s="47"/>
      <c r="J1200" s="48"/>
      <c r="K1200" s="48"/>
      <c r="L1200" s="49"/>
      <c r="M1200" s="49"/>
      <c r="N1200" s="50"/>
      <c r="O1200" s="51"/>
      <c r="P1200" s="52"/>
      <c r="Q1200" s="53"/>
      <c r="R1200" s="54"/>
      <c r="S1200" s="55"/>
      <c r="T1200" s="56"/>
      <c r="U1200" s="57"/>
      <c r="V1200" s="56"/>
      <c r="W1200" s="56"/>
      <c r="X1200" s="57"/>
      <c r="Y1200" s="57"/>
      <c r="Z1200" s="58"/>
      <c r="AA1200" s="59"/>
      <c r="AB1200" s="60"/>
      <c r="AC1200" s="60"/>
      <c r="AD1200" s="54"/>
      <c r="AE1200" s="61"/>
      <c r="AF1200" s="61"/>
      <c r="AG1200" s="62"/>
      <c r="AH1200" s="63"/>
    </row>
    <row r="1201" spans="1:18" ht="15.5">
      <c r="A1201" s="112"/>
      <c r="B1201" s="113"/>
      <c r="C1201" s="114"/>
      <c r="D1201" s="115"/>
      <c r="E1201" s="116"/>
      <c r="F1201" s="117"/>
      <c r="G1201" s="116"/>
      <c r="H1201" s="116"/>
      <c r="I1201" s="118"/>
      <c r="J1201" s="119"/>
      <c r="K1201" s="119"/>
      <c r="L1201" s="120"/>
      <c r="M1201" s="120"/>
      <c r="N1201" s="121"/>
      <c r="O1201" s="122"/>
      <c r="P1201" s="52"/>
      <c r="Q1201" s="123"/>
      <c r="R1201" s="124"/>
    </row>
    <row r="1202" spans="1:18" ht="15.5">
      <c r="A1202" s="112"/>
      <c r="B1202" s="113"/>
      <c r="C1202" s="114"/>
      <c r="D1202" s="115"/>
      <c r="E1202" s="116"/>
      <c r="F1202" s="117"/>
      <c r="G1202" s="116"/>
      <c r="H1202" s="116"/>
      <c r="I1202" s="118"/>
      <c r="J1202" s="119"/>
      <c r="K1202" s="119"/>
      <c r="L1202" s="120"/>
      <c r="M1202" s="120"/>
      <c r="N1202" s="121"/>
      <c r="O1202" s="122"/>
      <c r="P1202" s="52"/>
      <c r="Q1202" s="123"/>
      <c r="R1202" s="124"/>
    </row>
    <row r="1203" spans="1:18" ht="15.5">
      <c r="A1203" s="112"/>
      <c r="B1203" s="113"/>
      <c r="C1203" s="114"/>
      <c r="D1203" s="115"/>
      <c r="E1203" s="116"/>
      <c r="F1203" s="117"/>
      <c r="G1203" s="116"/>
      <c r="H1203" s="116"/>
      <c r="I1203" s="118"/>
      <c r="J1203" s="119"/>
      <c r="K1203" s="119"/>
      <c r="L1203" s="120"/>
      <c r="M1203" s="120"/>
      <c r="N1203" s="121"/>
      <c r="O1203" s="122"/>
      <c r="P1203" s="52"/>
      <c r="Q1203" s="123"/>
      <c r="R1203" s="124"/>
    </row>
    <row r="1204" spans="1:18" ht="15.5">
      <c r="A1204" s="112"/>
      <c r="B1204" s="113"/>
      <c r="C1204" s="114"/>
      <c r="D1204" s="115"/>
      <c r="E1204" s="116"/>
      <c r="F1204" s="117"/>
      <c r="G1204" s="116"/>
      <c r="H1204" s="116"/>
      <c r="I1204" s="118"/>
      <c r="J1204" s="119"/>
      <c r="K1204" s="119"/>
      <c r="L1204" s="120"/>
      <c r="M1204" s="120"/>
      <c r="N1204" s="121"/>
      <c r="O1204" s="122"/>
      <c r="P1204" s="52"/>
      <c r="Q1204" s="123"/>
      <c r="R1204" s="124"/>
    </row>
    <row r="1205" spans="1:18" ht="15.5">
      <c r="A1205" s="112"/>
      <c r="B1205" s="113"/>
      <c r="C1205" s="114"/>
      <c r="D1205" s="115"/>
      <c r="E1205" s="116"/>
      <c r="F1205" s="117"/>
      <c r="G1205" s="116"/>
      <c r="H1205" s="116"/>
      <c r="I1205" s="118"/>
      <c r="J1205" s="119"/>
      <c r="K1205" s="119"/>
      <c r="L1205" s="120"/>
      <c r="M1205" s="120"/>
      <c r="N1205" s="121"/>
      <c r="O1205" s="122"/>
      <c r="P1205" s="52"/>
      <c r="Q1205" s="123"/>
      <c r="R1205" s="124"/>
    </row>
    <row r="1206" spans="1:18" ht="15.5">
      <c r="A1206" s="112"/>
      <c r="B1206" s="113"/>
      <c r="C1206" s="114"/>
      <c r="D1206" s="115"/>
      <c r="E1206" s="116"/>
      <c r="F1206" s="117"/>
      <c r="G1206" s="116"/>
      <c r="H1206" s="116"/>
      <c r="I1206" s="118"/>
      <c r="J1206" s="119"/>
      <c r="K1206" s="119"/>
      <c r="L1206" s="120"/>
      <c r="M1206" s="120"/>
      <c r="N1206" s="121"/>
      <c r="O1206" s="122"/>
      <c r="P1206" s="52"/>
      <c r="Q1206" s="123"/>
      <c r="R1206" s="124"/>
    </row>
    <row r="1207" spans="1:18" ht="15.5">
      <c r="A1207" s="112"/>
      <c r="B1207" s="113"/>
      <c r="C1207" s="114"/>
      <c r="D1207" s="115"/>
      <c r="E1207" s="116"/>
      <c r="F1207" s="117"/>
      <c r="G1207" s="116"/>
      <c r="H1207" s="116"/>
      <c r="I1207" s="118"/>
      <c r="J1207" s="119"/>
      <c r="K1207" s="119"/>
      <c r="L1207" s="120"/>
      <c r="M1207" s="120"/>
      <c r="N1207" s="121"/>
      <c r="O1207" s="122"/>
      <c r="P1207" s="52"/>
      <c r="Q1207" s="123"/>
      <c r="R1207" s="124"/>
    </row>
    <row r="1208" spans="1:18" ht="15.5">
      <c r="A1208" s="112"/>
      <c r="B1208" s="113"/>
      <c r="C1208" s="114"/>
      <c r="D1208" s="115"/>
      <c r="E1208" s="116"/>
      <c r="F1208" s="117"/>
      <c r="G1208" s="116"/>
      <c r="H1208" s="116"/>
      <c r="I1208" s="118"/>
      <c r="J1208" s="119"/>
      <c r="K1208" s="119"/>
      <c r="L1208" s="120"/>
      <c r="M1208" s="120"/>
      <c r="N1208" s="121"/>
      <c r="O1208" s="122"/>
      <c r="P1208" s="52"/>
      <c r="Q1208" s="123"/>
      <c r="R1208" s="124"/>
    </row>
    <row r="1209" spans="1:18" ht="15.5">
      <c r="A1209" s="112"/>
      <c r="B1209" s="113"/>
      <c r="C1209" s="114"/>
      <c r="D1209" s="115"/>
      <c r="E1209" s="116"/>
      <c r="F1209" s="117"/>
      <c r="G1209" s="116"/>
      <c r="H1209" s="116"/>
      <c r="I1209" s="118"/>
      <c r="J1209" s="119"/>
      <c r="K1209" s="119"/>
      <c r="L1209" s="120"/>
      <c r="M1209" s="120"/>
      <c r="N1209" s="121"/>
      <c r="O1209" s="122"/>
      <c r="P1209" s="52"/>
      <c r="Q1209" s="123"/>
      <c r="R1209" s="124"/>
    </row>
    <row r="1210" spans="1:18" ht="15.5">
      <c r="A1210" s="112"/>
      <c r="B1210" s="113"/>
      <c r="C1210" s="114"/>
      <c r="D1210" s="115"/>
      <c r="E1210" s="116"/>
      <c r="F1210" s="117"/>
      <c r="G1210" s="116"/>
      <c r="H1210" s="116"/>
      <c r="I1210" s="118"/>
      <c r="J1210" s="119"/>
      <c r="K1210" s="119"/>
      <c r="L1210" s="120"/>
      <c r="M1210" s="120"/>
      <c r="N1210" s="121"/>
      <c r="O1210" s="122"/>
      <c r="P1210" s="52"/>
      <c r="Q1210" s="123"/>
      <c r="R1210" s="124"/>
    </row>
    <row r="1211" spans="1:18" ht="15.5">
      <c r="A1211" s="112"/>
      <c r="B1211" s="113"/>
      <c r="C1211" s="114"/>
      <c r="D1211" s="115"/>
      <c r="E1211" s="116"/>
      <c r="F1211" s="117"/>
      <c r="G1211" s="116"/>
      <c r="H1211" s="116"/>
      <c r="I1211" s="118"/>
      <c r="J1211" s="119"/>
      <c r="K1211" s="119"/>
      <c r="L1211" s="120"/>
      <c r="M1211" s="120"/>
      <c r="N1211" s="121"/>
      <c r="O1211" s="122"/>
      <c r="P1211" s="52"/>
      <c r="Q1211" s="123"/>
      <c r="R1211" s="124"/>
    </row>
    <row r="1212" spans="1:18" ht="15.5">
      <c r="A1212" s="112"/>
      <c r="B1212" s="113"/>
      <c r="C1212" s="114"/>
      <c r="D1212" s="115"/>
      <c r="E1212" s="116"/>
      <c r="F1212" s="117"/>
      <c r="G1212" s="116"/>
      <c r="H1212" s="116"/>
      <c r="I1212" s="118"/>
      <c r="J1212" s="119"/>
      <c r="K1212" s="119"/>
      <c r="L1212" s="120"/>
      <c r="M1212" s="120"/>
      <c r="N1212" s="121"/>
      <c r="O1212" s="122"/>
      <c r="P1212" s="52"/>
      <c r="Q1212" s="123"/>
      <c r="R1212" s="124"/>
    </row>
    <row r="1213" spans="1:18" ht="15.5">
      <c r="A1213" s="112"/>
      <c r="B1213" s="113"/>
      <c r="C1213" s="114"/>
      <c r="D1213" s="115"/>
      <c r="E1213" s="116"/>
      <c r="F1213" s="117"/>
      <c r="G1213" s="116"/>
      <c r="H1213" s="116"/>
      <c r="I1213" s="118"/>
      <c r="J1213" s="119"/>
      <c r="K1213" s="119"/>
      <c r="L1213" s="120"/>
      <c r="M1213" s="120"/>
      <c r="N1213" s="121"/>
      <c r="O1213" s="122"/>
      <c r="P1213" s="52"/>
      <c r="Q1213" s="123"/>
      <c r="R1213" s="124"/>
    </row>
    <row r="1214" spans="1:18" ht="15.5">
      <c r="A1214" s="112"/>
      <c r="B1214" s="113"/>
      <c r="C1214" s="114"/>
      <c r="D1214" s="115"/>
      <c r="E1214" s="116"/>
      <c r="F1214" s="117"/>
      <c r="G1214" s="116"/>
      <c r="H1214" s="116"/>
      <c r="I1214" s="118"/>
      <c r="J1214" s="119"/>
      <c r="K1214" s="119"/>
      <c r="L1214" s="120"/>
      <c r="M1214" s="120"/>
      <c r="N1214" s="121"/>
      <c r="O1214" s="122"/>
      <c r="P1214" s="52"/>
      <c r="Q1214" s="123"/>
      <c r="R1214" s="124"/>
    </row>
    <row r="1215" spans="1:18" ht="15.5">
      <c r="A1215" s="112"/>
      <c r="B1215" s="113"/>
      <c r="C1215" s="114"/>
      <c r="D1215" s="115"/>
      <c r="E1215" s="116"/>
      <c r="F1215" s="117"/>
      <c r="G1215" s="116"/>
      <c r="H1215" s="116"/>
      <c r="I1215" s="118"/>
      <c r="J1215" s="119"/>
      <c r="K1215" s="119"/>
      <c r="L1215" s="120"/>
      <c r="M1215" s="120"/>
      <c r="N1215" s="121"/>
      <c r="O1215" s="122"/>
      <c r="P1215" s="52"/>
      <c r="Q1215" s="123"/>
      <c r="R1215" s="124"/>
    </row>
    <row r="1216" spans="1:18" ht="15.5">
      <c r="A1216" s="112"/>
      <c r="B1216" s="113"/>
      <c r="C1216" s="114"/>
      <c r="D1216" s="115"/>
      <c r="E1216" s="116"/>
      <c r="F1216" s="117"/>
      <c r="G1216" s="116"/>
      <c r="H1216" s="116"/>
      <c r="I1216" s="118"/>
      <c r="J1216" s="119"/>
      <c r="K1216" s="119"/>
      <c r="L1216" s="120"/>
      <c r="M1216" s="120"/>
      <c r="N1216" s="121"/>
      <c r="O1216" s="122"/>
      <c r="P1216" s="52"/>
      <c r="Q1216" s="123"/>
      <c r="R1216" s="124"/>
    </row>
    <row r="1217" spans="1:34" ht="15.5">
      <c r="A1217" s="112"/>
      <c r="B1217" s="113"/>
      <c r="C1217" s="114"/>
      <c r="D1217" s="115"/>
      <c r="E1217" s="116"/>
      <c r="F1217" s="117"/>
      <c r="G1217" s="116"/>
      <c r="H1217" s="116"/>
      <c r="I1217" s="118"/>
      <c r="J1217" s="119"/>
      <c r="K1217" s="119"/>
      <c r="L1217" s="120"/>
      <c r="M1217" s="120"/>
      <c r="N1217" s="121"/>
      <c r="O1217" s="122"/>
      <c r="P1217" s="52"/>
      <c r="Q1217" s="123"/>
      <c r="R1217" s="124"/>
    </row>
    <row r="1218" spans="1:34" ht="15.5">
      <c r="A1218" s="112"/>
      <c r="B1218" s="113"/>
      <c r="C1218" s="114"/>
      <c r="D1218" s="115"/>
      <c r="E1218" s="116"/>
      <c r="F1218" s="117"/>
      <c r="G1218" s="116"/>
      <c r="H1218" s="116"/>
      <c r="I1218" s="118"/>
      <c r="J1218" s="119"/>
      <c r="K1218" s="119"/>
      <c r="L1218" s="120"/>
      <c r="M1218" s="120"/>
      <c r="N1218" s="121"/>
      <c r="O1218" s="122"/>
      <c r="P1218" s="52"/>
      <c r="Q1218" s="123"/>
      <c r="R1218" s="124"/>
    </row>
    <row r="1219" spans="1:34" ht="15.5">
      <c r="A1219" s="112"/>
      <c r="B1219" s="113"/>
      <c r="C1219" s="114"/>
      <c r="D1219" s="115"/>
      <c r="E1219" s="116"/>
      <c r="F1219" s="117"/>
      <c r="G1219" s="116"/>
      <c r="H1219" s="116"/>
      <c r="I1219" s="118"/>
      <c r="J1219" s="119"/>
      <c r="K1219" s="119"/>
      <c r="L1219" s="120"/>
      <c r="M1219" s="120"/>
      <c r="N1219" s="121"/>
      <c r="O1219" s="122"/>
      <c r="P1219" s="52"/>
      <c r="Q1219" s="123"/>
      <c r="R1219" s="124"/>
    </row>
    <row r="1220" spans="1:34" ht="15.5">
      <c r="A1220" s="112"/>
      <c r="B1220" s="113"/>
      <c r="C1220" s="114"/>
      <c r="D1220" s="115"/>
      <c r="E1220" s="116"/>
      <c r="F1220" s="117"/>
      <c r="G1220" s="116"/>
      <c r="H1220" s="116"/>
      <c r="I1220" s="118"/>
      <c r="J1220" s="119"/>
      <c r="K1220" s="119"/>
      <c r="L1220" s="120"/>
      <c r="M1220" s="120"/>
      <c r="N1220" s="121"/>
      <c r="O1220" s="122"/>
      <c r="P1220" s="52"/>
      <c r="Q1220" s="123"/>
      <c r="R1220" s="124"/>
    </row>
    <row r="1221" spans="1:34" ht="15.5">
      <c r="A1221" s="112"/>
      <c r="B1221" s="113"/>
      <c r="C1221" s="114"/>
      <c r="D1221" s="115"/>
      <c r="E1221" s="116"/>
      <c r="F1221" s="117"/>
      <c r="G1221" s="116"/>
      <c r="H1221" s="116"/>
      <c r="I1221" s="118"/>
      <c r="J1221" s="119"/>
      <c r="K1221" s="119"/>
      <c r="L1221" s="120"/>
      <c r="M1221" s="120"/>
      <c r="N1221" s="121"/>
      <c r="O1221" s="122"/>
      <c r="P1221" s="52"/>
      <c r="Q1221" s="123"/>
      <c r="R1221" s="124"/>
    </row>
    <row r="1222" spans="1:34" ht="15.5">
      <c r="A1222" s="112"/>
      <c r="B1222" s="113"/>
      <c r="C1222" s="114"/>
      <c r="D1222" s="115"/>
      <c r="E1222" s="116"/>
      <c r="F1222" s="117"/>
      <c r="G1222" s="116"/>
      <c r="H1222" s="116"/>
      <c r="I1222" s="118"/>
      <c r="J1222" s="119"/>
      <c r="K1222" s="119"/>
      <c r="L1222" s="120"/>
      <c r="M1222" s="120"/>
      <c r="N1222" s="121"/>
      <c r="O1222" s="122"/>
      <c r="P1222" s="52"/>
      <c r="Q1222" s="123"/>
      <c r="R1222" s="124"/>
    </row>
    <row r="1223" spans="1:34" ht="15.5">
      <c r="A1223" s="112"/>
      <c r="B1223" s="113"/>
      <c r="C1223" s="114"/>
      <c r="D1223" s="115"/>
      <c r="E1223" s="116"/>
      <c r="F1223" s="117"/>
      <c r="G1223" s="116"/>
      <c r="H1223" s="116"/>
      <c r="I1223" s="118"/>
      <c r="J1223" s="119"/>
      <c r="K1223" s="119"/>
      <c r="L1223" s="120"/>
      <c r="M1223" s="120"/>
      <c r="N1223" s="121"/>
      <c r="O1223" s="122"/>
      <c r="P1223" s="52"/>
      <c r="Q1223" s="123"/>
      <c r="R1223" s="124"/>
    </row>
    <row r="1224" spans="1:34" ht="15.5">
      <c r="A1224" s="112"/>
      <c r="B1224" s="113"/>
      <c r="C1224" s="114"/>
      <c r="D1224" s="115"/>
      <c r="E1224" s="116"/>
      <c r="F1224" s="117"/>
      <c r="G1224" s="116"/>
      <c r="H1224" s="116"/>
      <c r="I1224" s="118"/>
      <c r="J1224" s="119"/>
      <c r="K1224" s="119"/>
      <c r="L1224" s="120"/>
      <c r="M1224" s="120"/>
      <c r="N1224" s="121"/>
      <c r="O1224" s="122"/>
      <c r="P1224" s="52"/>
      <c r="Q1224" s="123"/>
      <c r="R1224" s="124"/>
    </row>
    <row r="1225" spans="1:34" ht="15.5">
      <c r="A1225" s="112">
        <v>0</v>
      </c>
      <c r="B1225" s="113">
        <v>0</v>
      </c>
      <c r="C1225" s="114">
        <v>0</v>
      </c>
      <c r="D1225" s="115">
        <v>0</v>
      </c>
      <c r="E1225" s="116">
        <v>0</v>
      </c>
      <c r="F1225" s="117">
        <v>0</v>
      </c>
      <c r="G1225" s="116">
        <v>0</v>
      </c>
      <c r="H1225" s="116">
        <v>0</v>
      </c>
      <c r="I1225" s="118">
        <v>0</v>
      </c>
      <c r="J1225" s="119">
        <v>0</v>
      </c>
      <c r="K1225" s="119">
        <v>0</v>
      </c>
      <c r="L1225" s="120">
        <v>0</v>
      </c>
      <c r="M1225" s="120">
        <v>0</v>
      </c>
      <c r="N1225" s="121">
        <v>0</v>
      </c>
      <c r="O1225" s="122">
        <v>0</v>
      </c>
      <c r="P1225" s="52"/>
      <c r="Q1225" s="123">
        <v>0</v>
      </c>
      <c r="R1225" s="124"/>
      <c r="T1225" s="1">
        <v>0</v>
      </c>
      <c r="V1225" s="1">
        <v>0</v>
      </c>
      <c r="W1225" s="1">
        <v>0</v>
      </c>
      <c r="AH1225" s="131">
        <v>0</v>
      </c>
    </row>
    <row r="1226" spans="1:34" ht="15.5">
      <c r="A1226" s="112">
        <v>0</v>
      </c>
      <c r="B1226" s="113">
        <v>0</v>
      </c>
      <c r="C1226" s="114">
        <v>0</v>
      </c>
      <c r="D1226" s="115">
        <v>0</v>
      </c>
      <c r="E1226" s="116">
        <v>0</v>
      </c>
      <c r="F1226" s="117">
        <v>0</v>
      </c>
      <c r="G1226" s="116">
        <v>0</v>
      </c>
      <c r="H1226" s="116">
        <v>0</v>
      </c>
      <c r="I1226" s="118">
        <v>0</v>
      </c>
      <c r="J1226" s="119">
        <v>0</v>
      </c>
      <c r="K1226" s="119">
        <v>0</v>
      </c>
      <c r="L1226" s="120">
        <v>0</v>
      </c>
      <c r="M1226" s="120">
        <v>0</v>
      </c>
      <c r="N1226" s="121">
        <v>0</v>
      </c>
      <c r="O1226" s="122">
        <v>0</v>
      </c>
      <c r="P1226" s="52"/>
      <c r="Q1226" s="123">
        <v>0</v>
      </c>
      <c r="R1226" s="124"/>
      <c r="T1226" s="1">
        <v>0</v>
      </c>
      <c r="V1226" s="1">
        <v>0</v>
      </c>
      <c r="W1226" s="1">
        <v>0</v>
      </c>
      <c r="AH1226" s="131">
        <v>0</v>
      </c>
    </row>
    <row r="1227" spans="1:34" ht="15.5">
      <c r="A1227" s="112">
        <v>0</v>
      </c>
      <c r="B1227" s="113">
        <v>0</v>
      </c>
      <c r="C1227" s="114">
        <v>0</v>
      </c>
      <c r="D1227" s="115">
        <v>0</v>
      </c>
      <c r="E1227" s="116">
        <v>0</v>
      </c>
      <c r="F1227" s="117">
        <v>0</v>
      </c>
      <c r="G1227" s="116">
        <v>0</v>
      </c>
      <c r="H1227" s="116">
        <v>0</v>
      </c>
      <c r="I1227" s="118">
        <v>0</v>
      </c>
      <c r="J1227" s="119">
        <v>0</v>
      </c>
      <c r="K1227" s="119">
        <v>0</v>
      </c>
      <c r="L1227" s="120">
        <v>0</v>
      </c>
      <c r="M1227" s="120">
        <v>0</v>
      </c>
      <c r="N1227" s="121">
        <v>0</v>
      </c>
      <c r="O1227" s="122">
        <v>0</v>
      </c>
      <c r="P1227" s="52"/>
      <c r="Q1227" s="123">
        <v>0</v>
      </c>
      <c r="R1227" s="124"/>
      <c r="T1227" s="1">
        <v>0</v>
      </c>
      <c r="V1227" s="1">
        <v>0</v>
      </c>
      <c r="W1227" s="1">
        <v>0</v>
      </c>
      <c r="AH1227" s="131">
        <v>0</v>
      </c>
    </row>
    <row r="1228" spans="1:34" ht="15.5">
      <c r="A1228" s="112">
        <v>0</v>
      </c>
      <c r="B1228" s="113">
        <v>0</v>
      </c>
      <c r="C1228" s="114">
        <v>0</v>
      </c>
      <c r="D1228" s="115">
        <v>0</v>
      </c>
      <c r="E1228" s="116">
        <v>0</v>
      </c>
      <c r="F1228" s="117">
        <v>0</v>
      </c>
      <c r="G1228" s="116">
        <v>0</v>
      </c>
      <c r="H1228" s="116">
        <v>0</v>
      </c>
      <c r="I1228" s="118">
        <v>0</v>
      </c>
      <c r="J1228" s="119">
        <v>0</v>
      </c>
      <c r="K1228" s="119">
        <v>0</v>
      </c>
      <c r="L1228" s="120">
        <v>0</v>
      </c>
      <c r="M1228" s="120">
        <v>0</v>
      </c>
      <c r="N1228" s="121">
        <v>0</v>
      </c>
      <c r="O1228" s="122">
        <v>0</v>
      </c>
      <c r="P1228" s="52"/>
      <c r="Q1228" s="123">
        <v>0</v>
      </c>
      <c r="R1228" s="124"/>
      <c r="T1228" s="1">
        <v>0</v>
      </c>
      <c r="V1228" s="1">
        <v>0</v>
      </c>
      <c r="W1228" s="1">
        <v>0</v>
      </c>
      <c r="AH1228" s="131">
        <v>0</v>
      </c>
    </row>
    <row r="1229" spans="1:34" ht="15.5">
      <c r="A1229" s="112">
        <v>0</v>
      </c>
      <c r="B1229" s="113">
        <v>0</v>
      </c>
      <c r="C1229" s="114">
        <v>0</v>
      </c>
      <c r="D1229" s="115">
        <v>0</v>
      </c>
      <c r="E1229" s="116">
        <v>0</v>
      </c>
      <c r="F1229" s="117">
        <v>0</v>
      </c>
      <c r="G1229" s="116">
        <v>0</v>
      </c>
      <c r="H1229" s="116">
        <v>0</v>
      </c>
      <c r="I1229" s="118">
        <v>0</v>
      </c>
      <c r="J1229" s="119">
        <v>0</v>
      </c>
      <c r="K1229" s="119">
        <v>0</v>
      </c>
      <c r="L1229" s="120">
        <v>0</v>
      </c>
      <c r="M1229" s="120">
        <v>0</v>
      </c>
      <c r="N1229" s="121">
        <v>0</v>
      </c>
      <c r="O1229" s="122">
        <v>0</v>
      </c>
      <c r="P1229" s="52"/>
      <c r="Q1229" s="123">
        <v>0</v>
      </c>
      <c r="R1229" s="124"/>
      <c r="T1229" s="1">
        <v>0</v>
      </c>
      <c r="V1229" s="1">
        <v>0</v>
      </c>
      <c r="W1229" s="1">
        <v>0</v>
      </c>
      <c r="AH1229" s="131">
        <v>0</v>
      </c>
    </row>
    <row r="1230" spans="1:34" ht="15.5">
      <c r="A1230" s="112">
        <v>0</v>
      </c>
      <c r="B1230" s="113">
        <v>0</v>
      </c>
      <c r="C1230" s="114">
        <v>0</v>
      </c>
      <c r="D1230" s="115">
        <v>0</v>
      </c>
      <c r="E1230" s="116">
        <v>0</v>
      </c>
      <c r="F1230" s="117">
        <v>0</v>
      </c>
      <c r="G1230" s="116">
        <v>0</v>
      </c>
      <c r="H1230" s="116">
        <v>0</v>
      </c>
      <c r="I1230" s="118">
        <v>0</v>
      </c>
      <c r="J1230" s="119">
        <v>0</v>
      </c>
      <c r="K1230" s="119">
        <v>0</v>
      </c>
      <c r="L1230" s="120">
        <v>0</v>
      </c>
      <c r="M1230" s="120">
        <v>0</v>
      </c>
      <c r="N1230" s="121">
        <v>0</v>
      </c>
      <c r="O1230" s="122">
        <v>0</v>
      </c>
      <c r="P1230" s="52"/>
      <c r="Q1230" s="123">
        <v>0</v>
      </c>
      <c r="R1230" s="124"/>
      <c r="T1230" s="1">
        <v>0</v>
      </c>
      <c r="V1230" s="1">
        <v>0</v>
      </c>
      <c r="W1230" s="1">
        <v>0</v>
      </c>
      <c r="AH1230" s="131">
        <v>0</v>
      </c>
    </row>
    <row r="1231" spans="1:34" ht="15.5">
      <c r="A1231" s="112">
        <v>0</v>
      </c>
      <c r="B1231" s="113">
        <v>0</v>
      </c>
      <c r="C1231" s="114">
        <v>0</v>
      </c>
      <c r="D1231" s="115">
        <v>0</v>
      </c>
      <c r="E1231" s="116">
        <v>0</v>
      </c>
      <c r="F1231" s="117">
        <v>0</v>
      </c>
      <c r="G1231" s="116">
        <v>0</v>
      </c>
      <c r="H1231" s="116">
        <v>0</v>
      </c>
      <c r="I1231" s="118">
        <v>0</v>
      </c>
      <c r="J1231" s="119">
        <v>0</v>
      </c>
      <c r="K1231" s="119">
        <v>0</v>
      </c>
      <c r="L1231" s="120">
        <v>0</v>
      </c>
      <c r="M1231" s="120">
        <v>0</v>
      </c>
      <c r="N1231" s="121">
        <v>0</v>
      </c>
      <c r="O1231" s="122">
        <v>0</v>
      </c>
      <c r="P1231" s="52"/>
      <c r="Q1231" s="123">
        <v>0</v>
      </c>
      <c r="R1231" s="124"/>
      <c r="T1231" s="1">
        <v>0</v>
      </c>
      <c r="V1231" s="1">
        <v>0</v>
      </c>
      <c r="W1231" s="1">
        <v>0</v>
      </c>
      <c r="AH1231" s="131">
        <v>0</v>
      </c>
    </row>
    <row r="1232" spans="1:34" ht="15.5">
      <c r="A1232" s="112">
        <v>0</v>
      </c>
      <c r="B1232" s="113">
        <v>0</v>
      </c>
      <c r="C1232" s="114">
        <v>0</v>
      </c>
      <c r="D1232" s="115">
        <v>0</v>
      </c>
      <c r="E1232" s="116">
        <v>0</v>
      </c>
      <c r="F1232" s="117">
        <v>0</v>
      </c>
      <c r="G1232" s="116">
        <v>0</v>
      </c>
      <c r="H1232" s="116">
        <v>0</v>
      </c>
      <c r="I1232" s="118">
        <v>0</v>
      </c>
      <c r="J1232" s="119">
        <v>0</v>
      </c>
      <c r="K1232" s="119">
        <v>0</v>
      </c>
      <c r="L1232" s="120">
        <v>0</v>
      </c>
      <c r="M1232" s="120">
        <v>0</v>
      </c>
      <c r="N1232" s="121">
        <v>0</v>
      </c>
      <c r="O1232" s="122">
        <v>0</v>
      </c>
      <c r="P1232" s="52"/>
      <c r="Q1232" s="123">
        <v>0</v>
      </c>
      <c r="R1232" s="124"/>
      <c r="T1232" s="1">
        <v>0</v>
      </c>
      <c r="V1232" s="1">
        <v>0</v>
      </c>
      <c r="W1232" s="1">
        <v>0</v>
      </c>
      <c r="AH1232" s="131">
        <v>0</v>
      </c>
    </row>
    <row r="1233" spans="1:34" ht="15.5">
      <c r="A1233" s="112">
        <v>0</v>
      </c>
      <c r="B1233" s="113">
        <v>0</v>
      </c>
      <c r="C1233" s="114">
        <v>0</v>
      </c>
      <c r="D1233" s="115">
        <v>0</v>
      </c>
      <c r="E1233" s="116">
        <v>0</v>
      </c>
      <c r="F1233" s="117">
        <v>0</v>
      </c>
      <c r="G1233" s="116">
        <v>0</v>
      </c>
      <c r="H1233" s="116">
        <v>0</v>
      </c>
      <c r="I1233" s="118">
        <v>0</v>
      </c>
      <c r="J1233" s="119">
        <v>0</v>
      </c>
      <c r="K1233" s="119">
        <v>0</v>
      </c>
      <c r="L1233" s="120">
        <v>0</v>
      </c>
      <c r="M1233" s="120">
        <v>0</v>
      </c>
      <c r="N1233" s="121">
        <v>0</v>
      </c>
      <c r="O1233" s="122">
        <v>0</v>
      </c>
      <c r="P1233" s="52"/>
      <c r="Q1233" s="123">
        <v>0</v>
      </c>
      <c r="R1233" s="124"/>
      <c r="T1233" s="1">
        <v>0</v>
      </c>
      <c r="V1233" s="1">
        <v>0</v>
      </c>
      <c r="W1233" s="1">
        <v>0</v>
      </c>
      <c r="AH1233" s="131">
        <v>0</v>
      </c>
    </row>
    <row r="1234" spans="1:34">
      <c r="A1234" s="1">
        <v>0</v>
      </c>
      <c r="B1234" s="132">
        <v>0</v>
      </c>
      <c r="C1234" s="132">
        <v>0</v>
      </c>
      <c r="D1234" s="1">
        <v>0</v>
      </c>
      <c r="E1234" s="133">
        <v>0</v>
      </c>
      <c r="F1234" s="133">
        <v>0</v>
      </c>
      <c r="G1234" s="133">
        <v>0</v>
      </c>
      <c r="H1234" s="133">
        <v>0</v>
      </c>
      <c r="I1234" s="134">
        <v>0</v>
      </c>
      <c r="J1234" s="135">
        <v>0</v>
      </c>
      <c r="K1234" s="128">
        <v>0</v>
      </c>
      <c r="L1234" s="132">
        <v>0</v>
      </c>
      <c r="M1234" s="132">
        <v>0</v>
      </c>
      <c r="N1234" s="130">
        <v>0</v>
      </c>
      <c r="O1234" s="130">
        <v>0</v>
      </c>
      <c r="Q1234" s="1">
        <v>0</v>
      </c>
      <c r="T1234" s="1">
        <v>0</v>
      </c>
      <c r="V1234" s="1">
        <v>0</v>
      </c>
      <c r="W1234" s="1">
        <v>0</v>
      </c>
      <c r="AH1234" s="131">
        <v>0</v>
      </c>
    </row>
    <row r="1235" spans="1:34">
      <c r="A1235" s="1">
        <v>0</v>
      </c>
      <c r="B1235" s="132">
        <v>0</v>
      </c>
      <c r="C1235" s="132">
        <v>0</v>
      </c>
      <c r="D1235" s="1">
        <v>0</v>
      </c>
      <c r="E1235" s="133">
        <v>0</v>
      </c>
      <c r="F1235" s="133">
        <v>0</v>
      </c>
      <c r="G1235" s="133">
        <v>0</v>
      </c>
      <c r="H1235" s="133">
        <v>0</v>
      </c>
      <c r="I1235" s="134">
        <v>0</v>
      </c>
      <c r="J1235" s="135">
        <v>0</v>
      </c>
      <c r="K1235" s="128">
        <v>0</v>
      </c>
      <c r="L1235" s="132">
        <v>0</v>
      </c>
      <c r="M1235" s="132">
        <v>0</v>
      </c>
      <c r="N1235" s="130">
        <v>0</v>
      </c>
      <c r="O1235" s="130">
        <v>0</v>
      </c>
      <c r="Q1235" s="1">
        <v>0</v>
      </c>
      <c r="T1235" s="1">
        <v>0</v>
      </c>
      <c r="V1235" s="1">
        <v>0</v>
      </c>
      <c r="W1235" s="1">
        <v>0</v>
      </c>
      <c r="AH1235" s="131">
        <v>0</v>
      </c>
    </row>
    <row r="1236" spans="1:34">
      <c r="A1236" s="1">
        <v>0</v>
      </c>
      <c r="B1236" s="132">
        <v>0</v>
      </c>
      <c r="C1236" s="132">
        <v>0</v>
      </c>
      <c r="D1236" s="1">
        <v>0</v>
      </c>
      <c r="E1236" s="133">
        <v>0</v>
      </c>
      <c r="F1236" s="133">
        <v>0</v>
      </c>
      <c r="G1236" s="133">
        <v>0</v>
      </c>
      <c r="H1236" s="133">
        <v>0</v>
      </c>
      <c r="I1236" s="134">
        <v>0</v>
      </c>
      <c r="J1236" s="135">
        <v>0</v>
      </c>
      <c r="K1236" s="128">
        <v>0</v>
      </c>
      <c r="L1236" s="132">
        <v>0</v>
      </c>
      <c r="M1236" s="132">
        <v>0</v>
      </c>
      <c r="N1236" s="130">
        <v>0</v>
      </c>
      <c r="O1236" s="130">
        <v>0</v>
      </c>
      <c r="Q1236" s="1">
        <v>0</v>
      </c>
      <c r="T1236" s="1">
        <v>0</v>
      </c>
      <c r="V1236" s="1">
        <v>0</v>
      </c>
      <c r="W1236" s="1">
        <v>0</v>
      </c>
      <c r="AH1236" s="131">
        <v>0</v>
      </c>
    </row>
    <row r="1237" spans="1:34">
      <c r="A1237" s="1">
        <v>0</v>
      </c>
      <c r="B1237" s="132">
        <v>0</v>
      </c>
      <c r="C1237" s="132">
        <v>0</v>
      </c>
      <c r="D1237" s="1">
        <v>0</v>
      </c>
      <c r="E1237" s="133">
        <v>0</v>
      </c>
      <c r="F1237" s="133">
        <v>0</v>
      </c>
      <c r="G1237" s="133">
        <v>0</v>
      </c>
      <c r="H1237" s="133">
        <v>0</v>
      </c>
      <c r="I1237" s="134">
        <v>0</v>
      </c>
      <c r="J1237" s="135">
        <v>0</v>
      </c>
      <c r="K1237" s="128">
        <v>0</v>
      </c>
      <c r="L1237" s="132">
        <v>0</v>
      </c>
      <c r="M1237" s="132">
        <v>0</v>
      </c>
      <c r="N1237" s="130">
        <v>0</v>
      </c>
      <c r="O1237" s="130">
        <v>0</v>
      </c>
      <c r="Q1237" s="1">
        <v>0</v>
      </c>
      <c r="T1237" s="1">
        <v>0</v>
      </c>
      <c r="V1237" s="1">
        <v>0</v>
      </c>
      <c r="W1237" s="1">
        <v>0</v>
      </c>
      <c r="AH1237" s="131">
        <v>0</v>
      </c>
    </row>
    <row r="1238" spans="1:34">
      <c r="A1238" s="1">
        <v>0</v>
      </c>
      <c r="B1238" s="132">
        <v>0</v>
      </c>
      <c r="C1238" s="132">
        <v>0</v>
      </c>
      <c r="D1238" s="1">
        <v>0</v>
      </c>
      <c r="E1238" s="133">
        <v>0</v>
      </c>
      <c r="F1238" s="133">
        <v>0</v>
      </c>
      <c r="G1238" s="133">
        <v>0</v>
      </c>
      <c r="H1238" s="133">
        <v>0</v>
      </c>
      <c r="I1238" s="134">
        <v>0</v>
      </c>
      <c r="J1238" s="135">
        <v>0</v>
      </c>
      <c r="K1238" s="128">
        <v>0</v>
      </c>
      <c r="L1238" s="132">
        <v>0</v>
      </c>
      <c r="M1238" s="132">
        <v>0</v>
      </c>
      <c r="N1238" s="130">
        <v>0</v>
      </c>
      <c r="O1238" s="130">
        <v>0</v>
      </c>
      <c r="Q1238" s="1">
        <v>0</v>
      </c>
      <c r="T1238" s="1">
        <v>0</v>
      </c>
      <c r="V1238" s="1">
        <v>0</v>
      </c>
      <c r="W1238" s="1">
        <v>0</v>
      </c>
      <c r="AH1238" s="131">
        <v>0</v>
      </c>
    </row>
    <row r="1239" spans="1:34">
      <c r="A1239" s="1">
        <v>0</v>
      </c>
      <c r="B1239" s="132">
        <v>0</v>
      </c>
      <c r="C1239" s="132">
        <v>0</v>
      </c>
      <c r="D1239" s="1">
        <v>0</v>
      </c>
      <c r="E1239" s="133">
        <v>0</v>
      </c>
      <c r="F1239" s="133">
        <v>0</v>
      </c>
      <c r="G1239" s="133">
        <v>0</v>
      </c>
      <c r="H1239" s="133">
        <v>0</v>
      </c>
      <c r="I1239" s="134">
        <v>0</v>
      </c>
      <c r="J1239" s="135">
        <v>0</v>
      </c>
      <c r="K1239" s="128">
        <v>0</v>
      </c>
      <c r="L1239" s="132">
        <v>0</v>
      </c>
      <c r="M1239" s="132">
        <v>0</v>
      </c>
      <c r="N1239" s="130">
        <v>0</v>
      </c>
      <c r="O1239" s="130">
        <v>0</v>
      </c>
      <c r="Q1239" s="1">
        <v>0</v>
      </c>
      <c r="T1239" s="1">
        <v>0</v>
      </c>
      <c r="V1239" s="1">
        <v>0</v>
      </c>
      <c r="W1239" s="1">
        <v>0</v>
      </c>
      <c r="AH1239" s="131">
        <v>0</v>
      </c>
    </row>
    <row r="1240" spans="1:34">
      <c r="A1240" s="1">
        <v>0</v>
      </c>
      <c r="B1240" s="132">
        <v>0</v>
      </c>
      <c r="C1240" s="132">
        <v>0</v>
      </c>
      <c r="D1240" s="1">
        <v>0</v>
      </c>
      <c r="E1240" s="133">
        <v>0</v>
      </c>
      <c r="F1240" s="133">
        <v>0</v>
      </c>
      <c r="G1240" s="133">
        <v>0</v>
      </c>
      <c r="H1240" s="133">
        <v>0</v>
      </c>
      <c r="I1240" s="134">
        <v>0</v>
      </c>
      <c r="J1240" s="135">
        <v>0</v>
      </c>
      <c r="K1240" s="128">
        <v>0</v>
      </c>
      <c r="L1240" s="132">
        <v>0</v>
      </c>
      <c r="M1240" s="132">
        <v>0</v>
      </c>
      <c r="N1240" s="130">
        <v>0</v>
      </c>
      <c r="O1240" s="130">
        <v>0</v>
      </c>
      <c r="Q1240" s="1">
        <v>0</v>
      </c>
      <c r="T1240" s="1">
        <v>0</v>
      </c>
      <c r="V1240" s="1">
        <v>0</v>
      </c>
      <c r="W1240" s="1">
        <v>0</v>
      </c>
      <c r="AH1240" s="131">
        <v>0</v>
      </c>
    </row>
    <row r="1241" spans="1:34">
      <c r="A1241" s="1">
        <v>0</v>
      </c>
      <c r="B1241" s="132">
        <v>0</v>
      </c>
      <c r="C1241" s="132">
        <v>0</v>
      </c>
      <c r="D1241" s="1">
        <v>0</v>
      </c>
      <c r="E1241" s="133">
        <v>0</v>
      </c>
      <c r="F1241" s="133">
        <v>0</v>
      </c>
      <c r="G1241" s="133">
        <v>0</v>
      </c>
      <c r="H1241" s="133">
        <v>0</v>
      </c>
      <c r="I1241" s="134">
        <v>0</v>
      </c>
      <c r="J1241" s="135">
        <v>0</v>
      </c>
      <c r="K1241" s="128">
        <v>0</v>
      </c>
      <c r="L1241" s="132">
        <v>0</v>
      </c>
      <c r="M1241" s="132">
        <v>0</v>
      </c>
      <c r="N1241" s="130">
        <v>0</v>
      </c>
      <c r="O1241" s="130">
        <v>0</v>
      </c>
      <c r="Q1241" s="1">
        <v>0</v>
      </c>
      <c r="T1241" s="1">
        <v>0</v>
      </c>
      <c r="V1241" s="1">
        <v>0</v>
      </c>
      <c r="W1241" s="1">
        <v>0</v>
      </c>
      <c r="AH1241" s="131">
        <v>0</v>
      </c>
    </row>
    <row r="1242" spans="1:34">
      <c r="A1242" s="1">
        <v>0</v>
      </c>
      <c r="B1242" s="132">
        <v>0</v>
      </c>
      <c r="C1242" s="132">
        <v>0</v>
      </c>
      <c r="D1242" s="1">
        <v>0</v>
      </c>
      <c r="E1242" s="133">
        <v>0</v>
      </c>
      <c r="F1242" s="133">
        <v>0</v>
      </c>
      <c r="G1242" s="133">
        <v>0</v>
      </c>
      <c r="H1242" s="133">
        <v>0</v>
      </c>
      <c r="I1242" s="134">
        <v>0</v>
      </c>
      <c r="J1242" s="135">
        <v>0</v>
      </c>
      <c r="K1242" s="128">
        <v>0</v>
      </c>
      <c r="L1242" s="132">
        <v>0</v>
      </c>
      <c r="M1242" s="132">
        <v>0</v>
      </c>
      <c r="N1242" s="130">
        <v>0</v>
      </c>
      <c r="O1242" s="130">
        <v>0</v>
      </c>
      <c r="Q1242" s="1">
        <v>0</v>
      </c>
      <c r="T1242" s="1">
        <v>0</v>
      </c>
      <c r="V1242" s="1">
        <v>0</v>
      </c>
      <c r="W1242" s="1">
        <v>0</v>
      </c>
      <c r="AH1242" s="131">
        <v>0</v>
      </c>
    </row>
    <row r="1243" spans="1:34">
      <c r="A1243" s="1">
        <v>0</v>
      </c>
      <c r="B1243" s="132">
        <v>0</v>
      </c>
      <c r="C1243" s="132">
        <v>0</v>
      </c>
      <c r="D1243" s="1">
        <v>0</v>
      </c>
      <c r="E1243" s="133">
        <v>0</v>
      </c>
      <c r="F1243" s="133">
        <v>0</v>
      </c>
      <c r="G1243" s="133">
        <v>0</v>
      </c>
      <c r="H1243" s="133">
        <v>0</v>
      </c>
      <c r="I1243" s="134">
        <v>0</v>
      </c>
      <c r="J1243" s="135">
        <v>0</v>
      </c>
      <c r="K1243" s="128">
        <v>0</v>
      </c>
      <c r="L1243" s="132">
        <v>0</v>
      </c>
      <c r="M1243" s="132">
        <v>0</v>
      </c>
      <c r="N1243" s="130">
        <v>0</v>
      </c>
      <c r="O1243" s="130">
        <v>0</v>
      </c>
      <c r="Q1243" s="1">
        <v>0</v>
      </c>
      <c r="T1243" s="1">
        <v>0</v>
      </c>
      <c r="V1243" s="1">
        <v>0</v>
      </c>
      <c r="W1243" s="1">
        <v>0</v>
      </c>
      <c r="AH1243" s="131">
        <v>0</v>
      </c>
    </row>
    <row r="1244" spans="1:34">
      <c r="A1244" s="1">
        <v>0</v>
      </c>
      <c r="B1244" s="132">
        <v>0</v>
      </c>
      <c r="C1244" s="132">
        <v>0</v>
      </c>
      <c r="D1244" s="1">
        <v>0</v>
      </c>
      <c r="E1244" s="133">
        <v>0</v>
      </c>
      <c r="F1244" s="133">
        <v>0</v>
      </c>
      <c r="G1244" s="133">
        <v>0</v>
      </c>
      <c r="H1244" s="133">
        <v>0</v>
      </c>
      <c r="I1244" s="134">
        <v>0</v>
      </c>
      <c r="J1244" s="135">
        <v>0</v>
      </c>
      <c r="K1244" s="128">
        <v>0</v>
      </c>
      <c r="L1244" s="132">
        <v>0</v>
      </c>
      <c r="M1244" s="132">
        <v>0</v>
      </c>
      <c r="N1244" s="130">
        <v>0</v>
      </c>
      <c r="O1244" s="130">
        <v>0</v>
      </c>
      <c r="Q1244" s="1">
        <v>0</v>
      </c>
      <c r="T1244" s="1">
        <v>0</v>
      </c>
      <c r="V1244" s="1">
        <v>0</v>
      </c>
      <c r="W1244" s="1">
        <v>0</v>
      </c>
      <c r="AH1244" s="131">
        <v>0</v>
      </c>
    </row>
    <row r="1245" spans="1:34">
      <c r="A1245" s="1">
        <v>0</v>
      </c>
      <c r="B1245" s="132">
        <v>0</v>
      </c>
      <c r="C1245" s="132">
        <v>0</v>
      </c>
      <c r="D1245" s="1">
        <v>0</v>
      </c>
      <c r="E1245" s="133">
        <v>0</v>
      </c>
      <c r="F1245" s="133">
        <v>0</v>
      </c>
      <c r="G1245" s="133">
        <v>0</v>
      </c>
      <c r="H1245" s="133">
        <v>0</v>
      </c>
      <c r="I1245" s="134">
        <v>0</v>
      </c>
      <c r="J1245" s="135">
        <v>0</v>
      </c>
      <c r="K1245" s="128">
        <v>0</v>
      </c>
      <c r="L1245" s="132">
        <v>0</v>
      </c>
      <c r="M1245" s="132">
        <v>0</v>
      </c>
      <c r="N1245" s="130">
        <v>0</v>
      </c>
      <c r="O1245" s="130">
        <v>0</v>
      </c>
      <c r="Q1245" s="1">
        <v>0</v>
      </c>
      <c r="T1245" s="1">
        <v>0</v>
      </c>
      <c r="V1245" s="1">
        <v>0</v>
      </c>
      <c r="W1245" s="1">
        <v>0</v>
      </c>
      <c r="AH1245" s="131">
        <v>0</v>
      </c>
    </row>
    <row r="1246" spans="1:34">
      <c r="A1246" s="1">
        <v>0</v>
      </c>
      <c r="B1246" s="132">
        <v>0</v>
      </c>
      <c r="C1246" s="132">
        <v>0</v>
      </c>
      <c r="D1246" s="1">
        <v>0</v>
      </c>
      <c r="E1246" s="133">
        <v>0</v>
      </c>
      <c r="F1246" s="133">
        <v>0</v>
      </c>
      <c r="G1246" s="133">
        <v>0</v>
      </c>
      <c r="H1246" s="133">
        <v>0</v>
      </c>
      <c r="I1246" s="134">
        <v>0</v>
      </c>
      <c r="J1246" s="135">
        <v>0</v>
      </c>
      <c r="K1246" s="128">
        <v>0</v>
      </c>
      <c r="L1246" s="132">
        <v>0</v>
      </c>
      <c r="M1246" s="132">
        <v>0</v>
      </c>
      <c r="N1246" s="130">
        <v>0</v>
      </c>
      <c r="O1246" s="130">
        <v>0</v>
      </c>
      <c r="Q1246" s="1">
        <v>0</v>
      </c>
      <c r="T1246" s="1">
        <v>0</v>
      </c>
      <c r="V1246" s="1">
        <v>0</v>
      </c>
      <c r="W1246" s="1">
        <v>0</v>
      </c>
      <c r="AH1246" s="131">
        <v>0</v>
      </c>
    </row>
    <row r="1247" spans="1:34">
      <c r="A1247" s="1">
        <v>0</v>
      </c>
      <c r="B1247" s="132">
        <v>0</v>
      </c>
      <c r="C1247" s="132">
        <v>0</v>
      </c>
      <c r="D1247" s="1">
        <v>0</v>
      </c>
      <c r="E1247" s="133">
        <v>0</v>
      </c>
      <c r="F1247" s="133">
        <v>0</v>
      </c>
      <c r="G1247" s="133">
        <v>0</v>
      </c>
      <c r="H1247" s="133">
        <v>0</v>
      </c>
      <c r="I1247" s="134">
        <v>0</v>
      </c>
      <c r="J1247" s="135">
        <v>0</v>
      </c>
      <c r="K1247" s="128">
        <v>0</v>
      </c>
      <c r="L1247" s="132">
        <v>0</v>
      </c>
      <c r="M1247" s="132">
        <v>0</v>
      </c>
      <c r="N1247" s="130">
        <v>0</v>
      </c>
      <c r="O1247" s="130">
        <v>0</v>
      </c>
      <c r="Q1247" s="1">
        <v>0</v>
      </c>
      <c r="T1247" s="1">
        <v>0</v>
      </c>
      <c r="V1247" s="1">
        <v>0</v>
      </c>
      <c r="W1247" s="1">
        <v>0</v>
      </c>
      <c r="AH1247" s="131">
        <v>0</v>
      </c>
    </row>
    <row r="1248" spans="1:34">
      <c r="A1248" s="1">
        <v>0</v>
      </c>
      <c r="B1248" s="132">
        <v>0</v>
      </c>
      <c r="C1248" s="132">
        <v>0</v>
      </c>
      <c r="D1248" s="1">
        <v>0</v>
      </c>
      <c r="E1248" s="133">
        <v>0</v>
      </c>
      <c r="F1248" s="133">
        <v>0</v>
      </c>
      <c r="G1248" s="133">
        <v>0</v>
      </c>
      <c r="H1248" s="133">
        <v>0</v>
      </c>
      <c r="I1248" s="134">
        <v>0</v>
      </c>
      <c r="J1248" s="135">
        <v>0</v>
      </c>
      <c r="K1248" s="128">
        <v>0</v>
      </c>
      <c r="L1248" s="132">
        <v>0</v>
      </c>
      <c r="M1248" s="132">
        <v>0</v>
      </c>
      <c r="N1248" s="130">
        <v>0</v>
      </c>
      <c r="O1248" s="130">
        <v>0</v>
      </c>
      <c r="Q1248" s="1">
        <v>0</v>
      </c>
      <c r="T1248" s="1">
        <v>0</v>
      </c>
      <c r="V1248" s="1">
        <v>0</v>
      </c>
      <c r="W1248" s="1">
        <v>0</v>
      </c>
      <c r="AH1248" s="131">
        <v>0</v>
      </c>
    </row>
    <row r="1249" spans="1:34">
      <c r="A1249" s="1">
        <v>0</v>
      </c>
      <c r="B1249" s="132">
        <v>0</v>
      </c>
      <c r="C1249" s="132">
        <v>0</v>
      </c>
      <c r="D1249" s="1">
        <v>0</v>
      </c>
      <c r="E1249" s="133">
        <v>0</v>
      </c>
      <c r="F1249" s="133">
        <v>0</v>
      </c>
      <c r="G1249" s="133">
        <v>0</v>
      </c>
      <c r="H1249" s="133">
        <v>0</v>
      </c>
      <c r="I1249" s="134">
        <v>0</v>
      </c>
      <c r="J1249" s="135">
        <v>0</v>
      </c>
      <c r="K1249" s="128">
        <v>0</v>
      </c>
      <c r="L1249" s="132">
        <v>0</v>
      </c>
      <c r="M1249" s="132">
        <v>0</v>
      </c>
      <c r="N1249" s="130">
        <v>0</v>
      </c>
      <c r="O1249" s="130">
        <v>0</v>
      </c>
      <c r="Q1249" s="1">
        <v>0</v>
      </c>
      <c r="T1249" s="1">
        <v>0</v>
      </c>
      <c r="V1249" s="1">
        <v>0</v>
      </c>
      <c r="W1249" s="1">
        <v>0</v>
      </c>
      <c r="AH1249" s="131">
        <v>0</v>
      </c>
    </row>
    <row r="1250" spans="1:34">
      <c r="A1250" s="1">
        <v>0</v>
      </c>
      <c r="B1250" s="132">
        <v>0</v>
      </c>
      <c r="C1250" s="132">
        <v>0</v>
      </c>
      <c r="D1250" s="1">
        <v>0</v>
      </c>
      <c r="E1250" s="133">
        <v>0</v>
      </c>
      <c r="F1250" s="133">
        <v>0</v>
      </c>
      <c r="G1250" s="133">
        <v>0</v>
      </c>
      <c r="H1250" s="133">
        <v>0</v>
      </c>
      <c r="I1250" s="134">
        <v>0</v>
      </c>
      <c r="J1250" s="135">
        <v>0</v>
      </c>
      <c r="K1250" s="128">
        <v>0</v>
      </c>
      <c r="L1250" s="132">
        <v>0</v>
      </c>
      <c r="M1250" s="132">
        <v>0</v>
      </c>
      <c r="N1250" s="130">
        <v>0</v>
      </c>
      <c r="O1250" s="130">
        <v>0</v>
      </c>
      <c r="Q1250" s="1">
        <v>0</v>
      </c>
      <c r="T1250" s="1">
        <v>0</v>
      </c>
      <c r="V1250" s="1">
        <v>0</v>
      </c>
      <c r="W1250" s="1">
        <v>0</v>
      </c>
      <c r="AH1250" s="131">
        <v>0</v>
      </c>
    </row>
    <row r="1251" spans="1:34">
      <c r="A1251" s="1">
        <v>0</v>
      </c>
      <c r="B1251" s="132">
        <v>0</v>
      </c>
      <c r="C1251" s="132">
        <v>0</v>
      </c>
      <c r="D1251" s="1">
        <v>0</v>
      </c>
      <c r="E1251" s="133">
        <v>0</v>
      </c>
      <c r="F1251" s="133">
        <v>0</v>
      </c>
      <c r="G1251" s="133">
        <v>0</v>
      </c>
      <c r="H1251" s="133">
        <v>0</v>
      </c>
      <c r="I1251" s="134">
        <v>0</v>
      </c>
      <c r="J1251" s="135">
        <v>0</v>
      </c>
      <c r="K1251" s="128">
        <v>0</v>
      </c>
      <c r="L1251" s="132">
        <v>0</v>
      </c>
      <c r="M1251" s="132">
        <v>0</v>
      </c>
      <c r="N1251" s="130">
        <v>0</v>
      </c>
      <c r="O1251" s="130">
        <v>0</v>
      </c>
      <c r="Q1251" s="1">
        <v>0</v>
      </c>
      <c r="T1251" s="1">
        <v>0</v>
      </c>
      <c r="V1251" s="1">
        <v>0</v>
      </c>
      <c r="W1251" s="1">
        <v>0</v>
      </c>
      <c r="AH1251" s="131">
        <v>0</v>
      </c>
    </row>
    <row r="1252" spans="1:34">
      <c r="A1252" s="1">
        <v>0</v>
      </c>
      <c r="B1252" s="132">
        <v>0</v>
      </c>
      <c r="C1252" s="132">
        <v>0</v>
      </c>
      <c r="D1252" s="1">
        <v>0</v>
      </c>
      <c r="E1252" s="133">
        <v>0</v>
      </c>
      <c r="F1252" s="133">
        <v>0</v>
      </c>
      <c r="G1252" s="133">
        <v>0</v>
      </c>
      <c r="H1252" s="133">
        <v>0</v>
      </c>
      <c r="I1252" s="134">
        <v>0</v>
      </c>
      <c r="J1252" s="135">
        <v>0</v>
      </c>
      <c r="K1252" s="128">
        <v>0</v>
      </c>
      <c r="L1252" s="132">
        <v>0</v>
      </c>
      <c r="M1252" s="132">
        <v>0</v>
      </c>
      <c r="N1252" s="130">
        <v>0</v>
      </c>
      <c r="O1252" s="130">
        <v>0</v>
      </c>
      <c r="Q1252" s="1">
        <v>0</v>
      </c>
      <c r="T1252" s="1">
        <v>0</v>
      </c>
      <c r="V1252" s="1">
        <v>0</v>
      </c>
      <c r="W1252" s="1">
        <v>0</v>
      </c>
      <c r="AH1252" s="131">
        <v>0</v>
      </c>
    </row>
    <row r="1253" spans="1:34">
      <c r="A1253" s="1">
        <v>0</v>
      </c>
      <c r="B1253" s="132">
        <v>0</v>
      </c>
      <c r="C1253" s="132">
        <v>0</v>
      </c>
      <c r="D1253" s="1">
        <v>0</v>
      </c>
      <c r="E1253" s="133">
        <v>0</v>
      </c>
      <c r="F1253" s="133">
        <v>0</v>
      </c>
      <c r="G1253" s="133">
        <v>0</v>
      </c>
      <c r="H1253" s="133">
        <v>0</v>
      </c>
      <c r="I1253" s="134">
        <v>0</v>
      </c>
      <c r="J1253" s="135">
        <v>0</v>
      </c>
      <c r="K1253" s="128">
        <v>0</v>
      </c>
      <c r="L1253" s="132">
        <v>0</v>
      </c>
      <c r="M1253" s="132">
        <v>0</v>
      </c>
      <c r="N1253" s="130">
        <v>0</v>
      </c>
      <c r="O1253" s="130">
        <v>0</v>
      </c>
      <c r="Q1253" s="1">
        <v>0</v>
      </c>
      <c r="T1253" s="1">
        <v>0</v>
      </c>
      <c r="V1253" s="1">
        <v>0</v>
      </c>
      <c r="W1253" s="1">
        <v>0</v>
      </c>
      <c r="AH1253" s="131">
        <v>0</v>
      </c>
    </row>
    <row r="1254" spans="1:34">
      <c r="A1254" s="1">
        <v>0</v>
      </c>
      <c r="B1254" s="132">
        <v>0</v>
      </c>
      <c r="C1254" s="132">
        <v>0</v>
      </c>
      <c r="D1254" s="1">
        <v>0</v>
      </c>
      <c r="E1254" s="133">
        <v>0</v>
      </c>
      <c r="F1254" s="133">
        <v>0</v>
      </c>
      <c r="G1254" s="133">
        <v>0</v>
      </c>
      <c r="H1254" s="133">
        <v>0</v>
      </c>
      <c r="I1254" s="134">
        <v>0</v>
      </c>
      <c r="J1254" s="135">
        <v>0</v>
      </c>
      <c r="K1254" s="128">
        <v>0</v>
      </c>
      <c r="L1254" s="132">
        <v>0</v>
      </c>
      <c r="M1254" s="132">
        <v>0</v>
      </c>
      <c r="N1254" s="130">
        <v>0</v>
      </c>
      <c r="O1254" s="130">
        <v>0</v>
      </c>
      <c r="Q1254" s="1">
        <v>0</v>
      </c>
      <c r="T1254" s="1">
        <v>0</v>
      </c>
      <c r="V1254" s="1">
        <v>0</v>
      </c>
      <c r="W1254" s="1">
        <v>0</v>
      </c>
      <c r="AH1254" s="131">
        <v>0</v>
      </c>
    </row>
    <row r="1255" spans="1:34">
      <c r="A1255" s="1">
        <v>0</v>
      </c>
      <c r="B1255" s="132">
        <v>0</v>
      </c>
      <c r="C1255" s="132">
        <v>0</v>
      </c>
      <c r="D1255" s="1">
        <v>0</v>
      </c>
      <c r="E1255" s="133">
        <v>0</v>
      </c>
      <c r="F1255" s="133">
        <v>0</v>
      </c>
      <c r="G1255" s="133">
        <v>0</v>
      </c>
      <c r="H1255" s="133">
        <v>0</v>
      </c>
      <c r="I1255" s="134">
        <v>0</v>
      </c>
      <c r="J1255" s="135">
        <v>0</v>
      </c>
      <c r="K1255" s="128">
        <v>0</v>
      </c>
      <c r="L1255" s="132">
        <v>0</v>
      </c>
      <c r="M1255" s="132">
        <v>0</v>
      </c>
      <c r="N1255" s="130">
        <v>0</v>
      </c>
      <c r="O1255" s="130">
        <v>0</v>
      </c>
      <c r="Q1255" s="1">
        <v>0</v>
      </c>
      <c r="T1255" s="1">
        <v>0</v>
      </c>
      <c r="V1255" s="1">
        <v>0</v>
      </c>
      <c r="W1255" s="1">
        <v>0</v>
      </c>
      <c r="AH1255" s="131">
        <v>0</v>
      </c>
    </row>
    <row r="1256" spans="1:34">
      <c r="A1256" s="1">
        <v>0</v>
      </c>
      <c r="B1256" s="132">
        <v>0</v>
      </c>
      <c r="C1256" s="132">
        <v>0</v>
      </c>
      <c r="D1256" s="1">
        <v>0</v>
      </c>
      <c r="E1256" s="133">
        <v>0</v>
      </c>
      <c r="F1256" s="133">
        <v>0</v>
      </c>
      <c r="G1256" s="133">
        <v>0</v>
      </c>
      <c r="H1256" s="133">
        <v>0</v>
      </c>
      <c r="I1256" s="134">
        <v>0</v>
      </c>
      <c r="J1256" s="135">
        <v>0</v>
      </c>
      <c r="K1256" s="128">
        <v>0</v>
      </c>
      <c r="L1256" s="132">
        <v>0</v>
      </c>
      <c r="M1256" s="132">
        <v>0</v>
      </c>
      <c r="N1256" s="130">
        <v>0</v>
      </c>
      <c r="O1256" s="130">
        <v>0</v>
      </c>
      <c r="Q1256" s="1">
        <v>0</v>
      </c>
      <c r="T1256" s="1">
        <v>0</v>
      </c>
      <c r="V1256" s="1">
        <v>0</v>
      </c>
      <c r="W1256" s="1">
        <v>0</v>
      </c>
      <c r="AH1256" s="131">
        <v>0</v>
      </c>
    </row>
    <row r="1257" spans="1:34">
      <c r="A1257" s="1">
        <v>0</v>
      </c>
      <c r="B1257" s="132">
        <v>0</v>
      </c>
      <c r="C1257" s="132">
        <v>0</v>
      </c>
      <c r="D1257" s="1">
        <v>0</v>
      </c>
      <c r="E1257" s="133">
        <v>0</v>
      </c>
      <c r="F1257" s="133">
        <v>0</v>
      </c>
      <c r="G1257" s="133">
        <v>0</v>
      </c>
      <c r="H1257" s="133">
        <v>0</v>
      </c>
      <c r="I1257" s="134">
        <v>0</v>
      </c>
      <c r="J1257" s="135">
        <v>0</v>
      </c>
      <c r="K1257" s="128">
        <v>0</v>
      </c>
      <c r="L1257" s="132">
        <v>0</v>
      </c>
      <c r="M1257" s="132">
        <v>0</v>
      </c>
      <c r="N1257" s="130">
        <v>0</v>
      </c>
      <c r="O1257" s="130">
        <v>0</v>
      </c>
      <c r="Q1257" s="1">
        <v>0</v>
      </c>
      <c r="T1257" s="1">
        <v>0</v>
      </c>
      <c r="V1257" s="1">
        <v>0</v>
      </c>
      <c r="W1257" s="1">
        <v>0</v>
      </c>
      <c r="AH1257" s="131">
        <v>0</v>
      </c>
    </row>
    <row r="1258" spans="1:34">
      <c r="A1258" s="1">
        <v>0</v>
      </c>
      <c r="B1258" s="132">
        <v>0</v>
      </c>
      <c r="C1258" s="132">
        <v>0</v>
      </c>
      <c r="D1258" s="1">
        <v>0</v>
      </c>
      <c r="E1258" s="133">
        <v>0</v>
      </c>
      <c r="F1258" s="133">
        <v>0</v>
      </c>
      <c r="G1258" s="133">
        <v>0</v>
      </c>
      <c r="H1258" s="133">
        <v>0</v>
      </c>
      <c r="I1258" s="134">
        <v>0</v>
      </c>
      <c r="J1258" s="135">
        <v>0</v>
      </c>
      <c r="K1258" s="128">
        <v>0</v>
      </c>
      <c r="L1258" s="132">
        <v>0</v>
      </c>
      <c r="M1258" s="132">
        <v>0</v>
      </c>
      <c r="N1258" s="130">
        <v>0</v>
      </c>
      <c r="O1258" s="130">
        <v>0</v>
      </c>
      <c r="Q1258" s="1">
        <v>0</v>
      </c>
      <c r="T1258" s="1">
        <v>0</v>
      </c>
      <c r="V1258" s="1">
        <v>0</v>
      </c>
      <c r="W1258" s="1">
        <v>0</v>
      </c>
      <c r="AH1258" s="131">
        <v>0</v>
      </c>
    </row>
    <row r="1259" spans="1:34">
      <c r="A1259" s="1">
        <v>0</v>
      </c>
      <c r="B1259" s="132">
        <v>0</v>
      </c>
      <c r="C1259" s="132">
        <v>0</v>
      </c>
      <c r="D1259" s="1">
        <v>0</v>
      </c>
      <c r="E1259" s="133">
        <v>0</v>
      </c>
      <c r="F1259" s="133">
        <v>0</v>
      </c>
      <c r="G1259" s="133">
        <v>0</v>
      </c>
      <c r="H1259" s="133">
        <v>0</v>
      </c>
      <c r="I1259" s="134">
        <v>0</v>
      </c>
      <c r="J1259" s="135">
        <v>0</v>
      </c>
      <c r="K1259" s="128">
        <v>0</v>
      </c>
      <c r="L1259" s="132">
        <v>0</v>
      </c>
      <c r="M1259" s="132">
        <v>0</v>
      </c>
      <c r="N1259" s="130">
        <v>0</v>
      </c>
      <c r="O1259" s="130">
        <v>0</v>
      </c>
      <c r="Q1259" s="1">
        <v>0</v>
      </c>
      <c r="T1259" s="1">
        <v>0</v>
      </c>
      <c r="V1259" s="1">
        <v>0</v>
      </c>
      <c r="W1259" s="1">
        <v>0</v>
      </c>
      <c r="AH1259" s="131">
        <v>0</v>
      </c>
    </row>
    <row r="1260" spans="1:34">
      <c r="A1260" s="1">
        <v>0</v>
      </c>
      <c r="B1260" s="132">
        <v>0</v>
      </c>
      <c r="C1260" s="132">
        <v>0</v>
      </c>
      <c r="D1260" s="1">
        <v>0</v>
      </c>
      <c r="E1260" s="133">
        <v>0</v>
      </c>
      <c r="F1260" s="133">
        <v>0</v>
      </c>
      <c r="G1260" s="133">
        <v>0</v>
      </c>
      <c r="H1260" s="133">
        <v>0</v>
      </c>
      <c r="I1260" s="134">
        <v>0</v>
      </c>
      <c r="J1260" s="135">
        <v>0</v>
      </c>
      <c r="K1260" s="128">
        <v>0</v>
      </c>
      <c r="L1260" s="132">
        <v>0</v>
      </c>
      <c r="M1260" s="132">
        <v>0</v>
      </c>
      <c r="N1260" s="130">
        <v>0</v>
      </c>
      <c r="O1260" s="130">
        <v>0</v>
      </c>
      <c r="Q1260" s="1">
        <v>0</v>
      </c>
      <c r="T1260" s="1">
        <v>0</v>
      </c>
      <c r="V1260" s="1">
        <v>0</v>
      </c>
      <c r="W1260" s="1">
        <v>0</v>
      </c>
      <c r="AH1260" s="131">
        <v>0</v>
      </c>
    </row>
    <row r="1261" spans="1:34">
      <c r="A1261" s="1">
        <v>0</v>
      </c>
      <c r="B1261" s="132">
        <v>0</v>
      </c>
      <c r="C1261" s="132">
        <v>0</v>
      </c>
      <c r="D1261" s="1">
        <v>0</v>
      </c>
      <c r="E1261" s="133">
        <v>0</v>
      </c>
      <c r="F1261" s="133">
        <v>0</v>
      </c>
      <c r="G1261" s="133">
        <v>0</v>
      </c>
      <c r="H1261" s="133">
        <v>0</v>
      </c>
      <c r="I1261" s="134">
        <v>0</v>
      </c>
      <c r="J1261" s="135">
        <v>0</v>
      </c>
      <c r="K1261" s="128">
        <v>0</v>
      </c>
      <c r="L1261" s="132">
        <v>0</v>
      </c>
      <c r="M1261" s="132">
        <v>0</v>
      </c>
      <c r="N1261" s="130">
        <v>0</v>
      </c>
      <c r="O1261" s="130">
        <v>0</v>
      </c>
      <c r="Q1261" s="1">
        <v>0</v>
      </c>
      <c r="T1261" s="1">
        <v>0</v>
      </c>
      <c r="V1261" s="1">
        <v>0</v>
      </c>
      <c r="W1261" s="1">
        <v>0</v>
      </c>
      <c r="AH1261" s="131">
        <v>0</v>
      </c>
    </row>
    <row r="1262" spans="1:34">
      <c r="A1262" s="1">
        <v>0</v>
      </c>
      <c r="B1262" s="132">
        <v>0</v>
      </c>
      <c r="C1262" s="132">
        <v>0</v>
      </c>
      <c r="D1262" s="1">
        <v>0</v>
      </c>
      <c r="E1262" s="133">
        <v>0</v>
      </c>
      <c r="F1262" s="133">
        <v>0</v>
      </c>
      <c r="G1262" s="133">
        <v>0</v>
      </c>
      <c r="H1262" s="133">
        <v>0</v>
      </c>
      <c r="I1262" s="134">
        <v>0</v>
      </c>
      <c r="J1262" s="135">
        <v>0</v>
      </c>
      <c r="K1262" s="128">
        <v>0</v>
      </c>
      <c r="L1262" s="132">
        <v>0</v>
      </c>
      <c r="M1262" s="132">
        <v>0</v>
      </c>
      <c r="N1262" s="130">
        <v>0</v>
      </c>
      <c r="O1262" s="130">
        <v>0</v>
      </c>
      <c r="Q1262" s="1">
        <v>0</v>
      </c>
      <c r="T1262" s="1">
        <v>0</v>
      </c>
      <c r="V1262" s="1">
        <v>0</v>
      </c>
      <c r="W1262" s="1">
        <v>0</v>
      </c>
      <c r="AH1262" s="131">
        <v>0</v>
      </c>
    </row>
    <row r="1263" spans="1:34">
      <c r="A1263" s="1">
        <v>0</v>
      </c>
      <c r="B1263" s="132">
        <v>0</v>
      </c>
      <c r="C1263" s="132">
        <v>0</v>
      </c>
      <c r="D1263" s="1">
        <v>0</v>
      </c>
      <c r="E1263" s="133">
        <v>0</v>
      </c>
      <c r="F1263" s="133">
        <v>0</v>
      </c>
      <c r="G1263" s="133">
        <v>0</v>
      </c>
      <c r="H1263" s="133">
        <v>0</v>
      </c>
      <c r="I1263" s="134">
        <v>0</v>
      </c>
      <c r="J1263" s="135">
        <v>0</v>
      </c>
      <c r="K1263" s="128">
        <v>0</v>
      </c>
      <c r="L1263" s="132">
        <v>0</v>
      </c>
      <c r="M1263" s="132">
        <v>0</v>
      </c>
      <c r="N1263" s="130">
        <v>0</v>
      </c>
      <c r="O1263" s="130">
        <v>0</v>
      </c>
      <c r="Q1263" s="1">
        <v>0</v>
      </c>
      <c r="T1263" s="1">
        <v>0</v>
      </c>
      <c r="V1263" s="1">
        <v>0</v>
      </c>
      <c r="W1263" s="1">
        <v>0</v>
      </c>
      <c r="AH1263" s="131">
        <v>0</v>
      </c>
    </row>
    <row r="1264" spans="1:34">
      <c r="A1264" s="1">
        <v>0</v>
      </c>
      <c r="B1264" s="132">
        <v>0</v>
      </c>
      <c r="C1264" s="132">
        <v>0</v>
      </c>
      <c r="D1264" s="1">
        <v>0</v>
      </c>
      <c r="E1264" s="133">
        <v>0</v>
      </c>
      <c r="F1264" s="133">
        <v>0</v>
      </c>
      <c r="G1264" s="133">
        <v>0</v>
      </c>
      <c r="H1264" s="133">
        <v>0</v>
      </c>
      <c r="I1264" s="134">
        <v>0</v>
      </c>
      <c r="J1264" s="135">
        <v>0</v>
      </c>
      <c r="K1264" s="128">
        <v>0</v>
      </c>
      <c r="L1264" s="132">
        <v>0</v>
      </c>
      <c r="M1264" s="132">
        <v>0</v>
      </c>
      <c r="N1264" s="130">
        <v>0</v>
      </c>
      <c r="O1264" s="130">
        <v>0</v>
      </c>
      <c r="Q1264" s="1">
        <v>0</v>
      </c>
      <c r="T1264" s="1">
        <v>0</v>
      </c>
      <c r="V1264" s="1">
        <v>0</v>
      </c>
      <c r="W1264" s="1">
        <v>0</v>
      </c>
      <c r="AH1264" s="131">
        <v>0</v>
      </c>
    </row>
    <row r="1265" spans="1:34">
      <c r="A1265" s="1">
        <v>0</v>
      </c>
      <c r="B1265" s="132">
        <v>0</v>
      </c>
      <c r="C1265" s="132">
        <v>0</v>
      </c>
      <c r="D1265" s="1">
        <v>0</v>
      </c>
      <c r="E1265" s="133">
        <v>0</v>
      </c>
      <c r="F1265" s="133">
        <v>0</v>
      </c>
      <c r="G1265" s="133">
        <v>0</v>
      </c>
      <c r="H1265" s="133">
        <v>0</v>
      </c>
      <c r="I1265" s="134">
        <v>0</v>
      </c>
      <c r="J1265" s="135">
        <v>0</v>
      </c>
      <c r="K1265" s="128">
        <v>0</v>
      </c>
      <c r="L1265" s="132">
        <v>0</v>
      </c>
      <c r="M1265" s="132">
        <v>0</v>
      </c>
      <c r="N1265" s="130">
        <v>0</v>
      </c>
      <c r="O1265" s="130">
        <v>0</v>
      </c>
      <c r="Q1265" s="1">
        <v>0</v>
      </c>
      <c r="T1265" s="1">
        <v>0</v>
      </c>
      <c r="V1265" s="1">
        <v>0</v>
      </c>
      <c r="W1265" s="1">
        <v>0</v>
      </c>
      <c r="AH1265" s="131">
        <v>0</v>
      </c>
    </row>
    <row r="1266" spans="1:34">
      <c r="A1266" s="1">
        <v>0</v>
      </c>
      <c r="B1266" s="132">
        <v>0</v>
      </c>
      <c r="C1266" s="132">
        <v>0</v>
      </c>
      <c r="D1266" s="1">
        <v>0</v>
      </c>
      <c r="E1266" s="133">
        <v>0</v>
      </c>
      <c r="F1266" s="133">
        <v>0</v>
      </c>
      <c r="G1266" s="133">
        <v>0</v>
      </c>
      <c r="H1266" s="133">
        <v>0</v>
      </c>
      <c r="I1266" s="134">
        <v>0</v>
      </c>
      <c r="J1266" s="135">
        <v>0</v>
      </c>
      <c r="K1266" s="128">
        <v>0</v>
      </c>
      <c r="L1266" s="132">
        <v>0</v>
      </c>
      <c r="M1266" s="132">
        <v>0</v>
      </c>
      <c r="N1266" s="130">
        <v>0</v>
      </c>
      <c r="O1266" s="130">
        <v>0</v>
      </c>
      <c r="Q1266" s="1">
        <v>0</v>
      </c>
      <c r="T1266" s="1">
        <v>0</v>
      </c>
      <c r="V1266" s="1">
        <v>0</v>
      </c>
      <c r="W1266" s="1">
        <v>0</v>
      </c>
      <c r="AH1266" s="131">
        <v>0</v>
      </c>
    </row>
    <row r="1267" spans="1:34">
      <c r="A1267" s="1">
        <v>0</v>
      </c>
      <c r="B1267" s="132">
        <v>0</v>
      </c>
      <c r="C1267" s="132">
        <v>0</v>
      </c>
      <c r="D1267" s="1">
        <v>0</v>
      </c>
      <c r="E1267" s="133">
        <v>0</v>
      </c>
      <c r="F1267" s="133">
        <v>0</v>
      </c>
      <c r="G1267" s="133">
        <v>0</v>
      </c>
      <c r="H1267" s="133">
        <v>0</v>
      </c>
      <c r="I1267" s="134">
        <v>0</v>
      </c>
      <c r="J1267" s="135">
        <v>0</v>
      </c>
      <c r="K1267" s="128">
        <v>0</v>
      </c>
      <c r="L1267" s="132">
        <v>0</v>
      </c>
      <c r="M1267" s="132">
        <v>0</v>
      </c>
      <c r="N1267" s="130">
        <v>0</v>
      </c>
      <c r="O1267" s="130">
        <v>0</v>
      </c>
      <c r="Q1267" s="1">
        <v>0</v>
      </c>
      <c r="T1267" s="1">
        <v>0</v>
      </c>
      <c r="V1267" s="1">
        <v>0</v>
      </c>
      <c r="W1267" s="1">
        <v>0</v>
      </c>
      <c r="AH1267" s="131">
        <v>0</v>
      </c>
    </row>
    <row r="1268" spans="1:34">
      <c r="A1268" s="1">
        <v>0</v>
      </c>
      <c r="B1268" s="132">
        <v>0</v>
      </c>
      <c r="C1268" s="132">
        <v>0</v>
      </c>
      <c r="D1268" s="1">
        <v>0</v>
      </c>
      <c r="E1268" s="133">
        <v>0</v>
      </c>
      <c r="F1268" s="133">
        <v>0</v>
      </c>
      <c r="G1268" s="133">
        <v>0</v>
      </c>
      <c r="H1268" s="133">
        <v>0</v>
      </c>
      <c r="I1268" s="134">
        <v>0</v>
      </c>
      <c r="J1268" s="135">
        <v>0</v>
      </c>
      <c r="K1268" s="128">
        <v>0</v>
      </c>
      <c r="L1268" s="132">
        <v>0</v>
      </c>
      <c r="M1268" s="132">
        <v>0</v>
      </c>
      <c r="N1268" s="130">
        <v>0</v>
      </c>
      <c r="O1268" s="130">
        <v>0</v>
      </c>
      <c r="Q1268" s="1">
        <v>0</v>
      </c>
      <c r="T1268" s="1">
        <v>0</v>
      </c>
      <c r="V1268" s="1">
        <v>0</v>
      </c>
      <c r="W1268" s="1">
        <v>0</v>
      </c>
      <c r="AH1268" s="131">
        <v>0</v>
      </c>
    </row>
    <row r="1269" spans="1:34">
      <c r="A1269" s="1">
        <v>0</v>
      </c>
      <c r="B1269" s="132">
        <v>0</v>
      </c>
      <c r="C1269" s="132">
        <v>0</v>
      </c>
      <c r="D1269" s="1">
        <v>0</v>
      </c>
      <c r="E1269" s="133">
        <v>0</v>
      </c>
      <c r="F1269" s="133">
        <v>0</v>
      </c>
      <c r="G1269" s="133">
        <v>0</v>
      </c>
      <c r="H1269" s="133">
        <v>0</v>
      </c>
      <c r="I1269" s="134">
        <v>0</v>
      </c>
      <c r="J1269" s="135">
        <v>0</v>
      </c>
      <c r="K1269" s="128">
        <v>0</v>
      </c>
      <c r="L1269" s="132">
        <v>0</v>
      </c>
      <c r="M1269" s="132">
        <v>0</v>
      </c>
      <c r="N1269" s="130">
        <v>0</v>
      </c>
      <c r="O1269" s="130">
        <v>0</v>
      </c>
      <c r="Q1269" s="1">
        <v>0</v>
      </c>
      <c r="T1269" s="1">
        <v>0</v>
      </c>
      <c r="V1269" s="1">
        <v>0</v>
      </c>
      <c r="W1269" s="1">
        <v>0</v>
      </c>
      <c r="AH1269" s="131">
        <v>0</v>
      </c>
    </row>
    <row r="1270" spans="1:34">
      <c r="A1270" s="1">
        <v>0</v>
      </c>
      <c r="B1270" s="132">
        <v>0</v>
      </c>
      <c r="C1270" s="132">
        <v>0</v>
      </c>
      <c r="D1270" s="1">
        <v>0</v>
      </c>
      <c r="E1270" s="133">
        <v>0</v>
      </c>
      <c r="F1270" s="133">
        <v>0</v>
      </c>
      <c r="G1270" s="133">
        <v>0</v>
      </c>
      <c r="H1270" s="133">
        <v>0</v>
      </c>
      <c r="I1270" s="134">
        <v>0</v>
      </c>
      <c r="J1270" s="135">
        <v>0</v>
      </c>
      <c r="K1270" s="128">
        <v>0</v>
      </c>
      <c r="L1270" s="132">
        <v>0</v>
      </c>
      <c r="M1270" s="132">
        <v>0</v>
      </c>
      <c r="N1270" s="130">
        <v>0</v>
      </c>
      <c r="O1270" s="130">
        <v>0</v>
      </c>
      <c r="Q1270" s="1">
        <v>0</v>
      </c>
      <c r="T1270" s="1">
        <v>0</v>
      </c>
      <c r="V1270" s="1">
        <v>0</v>
      </c>
      <c r="W1270" s="1">
        <v>0</v>
      </c>
      <c r="AH1270" s="131">
        <v>0</v>
      </c>
    </row>
    <row r="1271" spans="1:34">
      <c r="A1271" s="1">
        <v>0</v>
      </c>
      <c r="B1271" s="132">
        <v>0</v>
      </c>
      <c r="C1271" s="132">
        <v>0</v>
      </c>
      <c r="D1271" s="1">
        <v>0</v>
      </c>
      <c r="E1271" s="133">
        <v>0</v>
      </c>
      <c r="F1271" s="133">
        <v>0</v>
      </c>
      <c r="G1271" s="133">
        <v>0</v>
      </c>
      <c r="H1271" s="133">
        <v>0</v>
      </c>
      <c r="I1271" s="134">
        <v>0</v>
      </c>
      <c r="J1271" s="135">
        <v>0</v>
      </c>
      <c r="K1271" s="128">
        <v>0</v>
      </c>
      <c r="L1271" s="132">
        <v>0</v>
      </c>
      <c r="M1271" s="132">
        <v>0</v>
      </c>
      <c r="N1271" s="130">
        <v>0</v>
      </c>
      <c r="O1271" s="130">
        <v>0</v>
      </c>
      <c r="Q1271" s="1">
        <v>0</v>
      </c>
      <c r="T1271" s="1">
        <v>0</v>
      </c>
      <c r="V1271" s="1">
        <v>0</v>
      </c>
      <c r="W1271" s="1">
        <v>0</v>
      </c>
      <c r="AH1271" s="131">
        <v>0</v>
      </c>
    </row>
    <row r="1272" spans="1:34">
      <c r="A1272" s="1">
        <v>0</v>
      </c>
      <c r="B1272" s="132">
        <v>0</v>
      </c>
      <c r="C1272" s="132">
        <v>0</v>
      </c>
      <c r="D1272" s="1">
        <v>0</v>
      </c>
      <c r="E1272" s="133">
        <v>0</v>
      </c>
      <c r="F1272" s="133">
        <v>0</v>
      </c>
      <c r="G1272" s="133">
        <v>0</v>
      </c>
      <c r="H1272" s="133">
        <v>0</v>
      </c>
      <c r="I1272" s="134">
        <v>0</v>
      </c>
      <c r="J1272" s="135">
        <v>0</v>
      </c>
      <c r="K1272" s="128">
        <v>0</v>
      </c>
      <c r="L1272" s="132">
        <v>0</v>
      </c>
      <c r="M1272" s="132">
        <v>0</v>
      </c>
      <c r="N1272" s="130">
        <v>0</v>
      </c>
      <c r="O1272" s="130">
        <v>0</v>
      </c>
      <c r="Q1272" s="1">
        <v>0</v>
      </c>
      <c r="T1272" s="1">
        <v>0</v>
      </c>
      <c r="V1272" s="1">
        <v>0</v>
      </c>
      <c r="W1272" s="1">
        <v>0</v>
      </c>
      <c r="AH1272" s="131">
        <v>0</v>
      </c>
    </row>
    <row r="1273" spans="1:34">
      <c r="A1273" s="1">
        <v>0</v>
      </c>
      <c r="B1273" s="132">
        <v>0</v>
      </c>
      <c r="C1273" s="132">
        <v>0</v>
      </c>
      <c r="D1273" s="1">
        <v>0</v>
      </c>
      <c r="E1273" s="133">
        <v>0</v>
      </c>
      <c r="F1273" s="133">
        <v>0</v>
      </c>
      <c r="G1273" s="133">
        <v>0</v>
      </c>
      <c r="H1273" s="133">
        <v>0</v>
      </c>
      <c r="I1273" s="134">
        <v>0</v>
      </c>
      <c r="J1273" s="135">
        <v>0</v>
      </c>
      <c r="K1273" s="128">
        <v>0</v>
      </c>
      <c r="L1273" s="132">
        <v>0</v>
      </c>
      <c r="M1273" s="132">
        <v>0</v>
      </c>
      <c r="N1273" s="130">
        <v>0</v>
      </c>
      <c r="O1273" s="130">
        <v>0</v>
      </c>
      <c r="Q1273" s="1">
        <v>0</v>
      </c>
      <c r="T1273" s="1">
        <v>0</v>
      </c>
      <c r="V1273" s="1">
        <v>0</v>
      </c>
      <c r="W1273" s="1">
        <v>0</v>
      </c>
      <c r="AH1273" s="131">
        <v>0</v>
      </c>
    </row>
    <row r="1274" spans="1:34">
      <c r="A1274" s="1">
        <v>0</v>
      </c>
      <c r="B1274" s="132">
        <v>0</v>
      </c>
      <c r="C1274" s="132">
        <v>0</v>
      </c>
      <c r="D1274" s="1">
        <v>0</v>
      </c>
      <c r="E1274" s="133">
        <v>0</v>
      </c>
      <c r="F1274" s="133">
        <v>0</v>
      </c>
      <c r="G1274" s="133">
        <v>0</v>
      </c>
      <c r="H1274" s="133">
        <v>0</v>
      </c>
      <c r="I1274" s="134">
        <v>0</v>
      </c>
      <c r="J1274" s="135">
        <v>0</v>
      </c>
      <c r="K1274" s="128">
        <v>0</v>
      </c>
      <c r="L1274" s="132">
        <v>0</v>
      </c>
      <c r="M1274" s="132">
        <v>0</v>
      </c>
      <c r="N1274" s="130">
        <v>0</v>
      </c>
      <c r="O1274" s="130">
        <v>0</v>
      </c>
      <c r="Q1274" s="1">
        <v>0</v>
      </c>
      <c r="T1274" s="1">
        <v>0</v>
      </c>
      <c r="V1274" s="1">
        <v>0</v>
      </c>
      <c r="W1274" s="1">
        <v>0</v>
      </c>
      <c r="AH1274" s="131">
        <v>0</v>
      </c>
    </row>
    <row r="1275" spans="1:34">
      <c r="A1275" s="1">
        <v>0</v>
      </c>
      <c r="B1275" s="132">
        <v>0</v>
      </c>
      <c r="C1275" s="132">
        <v>0</v>
      </c>
      <c r="D1275" s="1">
        <v>0</v>
      </c>
      <c r="E1275" s="133">
        <v>0</v>
      </c>
      <c r="F1275" s="133">
        <v>0</v>
      </c>
      <c r="G1275" s="133">
        <v>0</v>
      </c>
      <c r="H1275" s="133">
        <v>0</v>
      </c>
      <c r="I1275" s="134">
        <v>0</v>
      </c>
      <c r="J1275" s="135">
        <v>0</v>
      </c>
      <c r="K1275" s="128">
        <v>0</v>
      </c>
      <c r="L1275" s="132">
        <v>0</v>
      </c>
      <c r="M1275" s="132">
        <v>0</v>
      </c>
      <c r="N1275" s="130">
        <v>0</v>
      </c>
      <c r="O1275" s="130">
        <v>0</v>
      </c>
      <c r="Q1275" s="1">
        <v>0</v>
      </c>
      <c r="T1275" s="1">
        <v>0</v>
      </c>
      <c r="V1275" s="1">
        <v>0</v>
      </c>
      <c r="W1275" s="1">
        <v>0</v>
      </c>
      <c r="AH1275" s="131">
        <v>0</v>
      </c>
    </row>
    <row r="1276" spans="1:34">
      <c r="A1276" s="1">
        <v>0</v>
      </c>
      <c r="B1276" s="132">
        <v>0</v>
      </c>
      <c r="C1276" s="132">
        <v>0</v>
      </c>
      <c r="D1276" s="1">
        <v>0</v>
      </c>
      <c r="E1276" s="133">
        <v>0</v>
      </c>
      <c r="F1276" s="133">
        <v>0</v>
      </c>
      <c r="G1276" s="133">
        <v>0</v>
      </c>
      <c r="H1276" s="133">
        <v>0</v>
      </c>
      <c r="I1276" s="134">
        <v>0</v>
      </c>
      <c r="J1276" s="135">
        <v>0</v>
      </c>
      <c r="K1276" s="128">
        <v>0</v>
      </c>
      <c r="L1276" s="132">
        <v>0</v>
      </c>
      <c r="M1276" s="132">
        <v>0</v>
      </c>
      <c r="N1276" s="130">
        <v>0</v>
      </c>
      <c r="O1276" s="130">
        <v>0</v>
      </c>
      <c r="Q1276" s="1">
        <v>0</v>
      </c>
      <c r="T1276" s="1">
        <v>0</v>
      </c>
      <c r="V1276" s="1">
        <v>0</v>
      </c>
      <c r="W1276" s="1">
        <v>0</v>
      </c>
      <c r="AH1276" s="131">
        <v>0</v>
      </c>
    </row>
    <row r="1277" spans="1:34">
      <c r="A1277" s="1">
        <v>0</v>
      </c>
      <c r="B1277" s="132">
        <v>0</v>
      </c>
      <c r="C1277" s="132">
        <v>0</v>
      </c>
      <c r="D1277" s="1">
        <v>0</v>
      </c>
      <c r="E1277" s="133">
        <v>0</v>
      </c>
      <c r="F1277" s="133">
        <v>0</v>
      </c>
      <c r="G1277" s="133">
        <v>0</v>
      </c>
      <c r="H1277" s="133">
        <v>0</v>
      </c>
      <c r="I1277" s="134">
        <v>0</v>
      </c>
      <c r="J1277" s="135">
        <v>0</v>
      </c>
      <c r="K1277" s="128">
        <v>0</v>
      </c>
      <c r="L1277" s="132">
        <v>0</v>
      </c>
      <c r="M1277" s="132">
        <v>0</v>
      </c>
      <c r="N1277" s="130">
        <v>0</v>
      </c>
      <c r="O1277" s="130">
        <v>0</v>
      </c>
      <c r="Q1277" s="1">
        <v>0</v>
      </c>
      <c r="T1277" s="1">
        <v>0</v>
      </c>
      <c r="V1277" s="1">
        <v>0</v>
      </c>
      <c r="W1277" s="1">
        <v>0</v>
      </c>
      <c r="AH1277" s="131">
        <v>0</v>
      </c>
    </row>
    <row r="1278" spans="1:34">
      <c r="A1278" s="1">
        <v>0</v>
      </c>
      <c r="B1278" s="132">
        <v>0</v>
      </c>
      <c r="C1278" s="132">
        <v>0</v>
      </c>
      <c r="D1278" s="1">
        <v>0</v>
      </c>
      <c r="E1278" s="133">
        <v>0</v>
      </c>
      <c r="F1278" s="133">
        <v>0</v>
      </c>
      <c r="G1278" s="133">
        <v>0</v>
      </c>
      <c r="H1278" s="133">
        <v>0</v>
      </c>
      <c r="I1278" s="134">
        <v>0</v>
      </c>
      <c r="J1278" s="135">
        <v>0</v>
      </c>
      <c r="K1278" s="128">
        <v>0</v>
      </c>
      <c r="L1278" s="132">
        <v>0</v>
      </c>
      <c r="M1278" s="132">
        <v>0</v>
      </c>
      <c r="N1278" s="130">
        <v>0</v>
      </c>
      <c r="O1278" s="130">
        <v>0</v>
      </c>
      <c r="Q1278" s="1">
        <v>0</v>
      </c>
      <c r="T1278" s="1">
        <v>0</v>
      </c>
      <c r="V1278" s="1">
        <v>0</v>
      </c>
      <c r="W1278" s="1">
        <v>0</v>
      </c>
      <c r="AH1278" s="131">
        <v>0</v>
      </c>
    </row>
    <row r="1279" spans="1:34">
      <c r="A1279" s="1">
        <v>0</v>
      </c>
      <c r="B1279" s="132">
        <v>0</v>
      </c>
      <c r="C1279" s="132">
        <v>0</v>
      </c>
      <c r="D1279" s="1">
        <v>0</v>
      </c>
      <c r="E1279" s="133">
        <v>0</v>
      </c>
      <c r="F1279" s="133">
        <v>0</v>
      </c>
      <c r="G1279" s="133">
        <v>0</v>
      </c>
      <c r="H1279" s="133">
        <v>0</v>
      </c>
      <c r="I1279" s="134">
        <v>0</v>
      </c>
      <c r="J1279" s="135">
        <v>0</v>
      </c>
      <c r="K1279" s="128">
        <v>0</v>
      </c>
      <c r="L1279" s="132">
        <v>0</v>
      </c>
      <c r="M1279" s="132">
        <v>0</v>
      </c>
      <c r="N1279" s="130">
        <v>0</v>
      </c>
      <c r="O1279" s="130">
        <v>0</v>
      </c>
      <c r="Q1279" s="1">
        <v>0</v>
      </c>
      <c r="T1279" s="1">
        <v>0</v>
      </c>
      <c r="V1279" s="1">
        <v>0</v>
      </c>
      <c r="W1279" s="1">
        <v>0</v>
      </c>
      <c r="AH1279" s="131">
        <v>0</v>
      </c>
    </row>
    <row r="1280" spans="1:34">
      <c r="A1280" s="1">
        <v>0</v>
      </c>
      <c r="B1280" s="132">
        <v>0</v>
      </c>
      <c r="C1280" s="132">
        <v>0</v>
      </c>
      <c r="D1280" s="1">
        <v>0</v>
      </c>
      <c r="E1280" s="133">
        <v>0</v>
      </c>
      <c r="F1280" s="133">
        <v>0</v>
      </c>
      <c r="G1280" s="133">
        <v>0</v>
      </c>
      <c r="H1280" s="133">
        <v>0</v>
      </c>
      <c r="I1280" s="134">
        <v>0</v>
      </c>
      <c r="J1280" s="135">
        <v>0</v>
      </c>
      <c r="K1280" s="128">
        <v>0</v>
      </c>
      <c r="L1280" s="132">
        <v>0</v>
      </c>
      <c r="M1280" s="132">
        <v>0</v>
      </c>
      <c r="N1280" s="130">
        <v>0</v>
      </c>
      <c r="O1280" s="130">
        <v>0</v>
      </c>
      <c r="Q1280" s="1">
        <v>0</v>
      </c>
      <c r="T1280" s="1">
        <v>0</v>
      </c>
      <c r="V1280" s="1">
        <v>0</v>
      </c>
      <c r="W1280" s="1">
        <v>0</v>
      </c>
      <c r="AH1280" s="131">
        <v>0</v>
      </c>
    </row>
    <row r="1281" spans="1:34">
      <c r="A1281" s="1">
        <v>0</v>
      </c>
      <c r="B1281" s="132">
        <v>0</v>
      </c>
      <c r="C1281" s="132">
        <v>0</v>
      </c>
      <c r="D1281" s="1">
        <v>0</v>
      </c>
      <c r="E1281" s="133">
        <v>0</v>
      </c>
      <c r="F1281" s="133">
        <v>0</v>
      </c>
      <c r="G1281" s="133">
        <v>0</v>
      </c>
      <c r="H1281" s="133">
        <v>0</v>
      </c>
      <c r="I1281" s="134">
        <v>0</v>
      </c>
      <c r="J1281" s="135">
        <v>0</v>
      </c>
      <c r="K1281" s="128">
        <v>0</v>
      </c>
      <c r="L1281" s="132">
        <v>0</v>
      </c>
      <c r="M1281" s="132">
        <v>0</v>
      </c>
      <c r="N1281" s="130">
        <v>0</v>
      </c>
      <c r="O1281" s="130">
        <v>0</v>
      </c>
      <c r="Q1281" s="1">
        <v>0</v>
      </c>
      <c r="T1281" s="1">
        <v>0</v>
      </c>
      <c r="V1281" s="1">
        <v>0</v>
      </c>
      <c r="W1281" s="1">
        <v>0</v>
      </c>
      <c r="AH1281" s="131">
        <v>0</v>
      </c>
    </row>
    <row r="1282" spans="1:34">
      <c r="A1282" s="1">
        <v>0</v>
      </c>
      <c r="B1282" s="132">
        <v>0</v>
      </c>
      <c r="C1282" s="132">
        <v>0</v>
      </c>
      <c r="D1282" s="1">
        <v>0</v>
      </c>
      <c r="E1282" s="133">
        <v>0</v>
      </c>
      <c r="F1282" s="133">
        <v>0</v>
      </c>
      <c r="G1282" s="133">
        <v>0</v>
      </c>
      <c r="H1282" s="133">
        <v>0</v>
      </c>
      <c r="I1282" s="134">
        <v>0</v>
      </c>
      <c r="J1282" s="135">
        <v>0</v>
      </c>
      <c r="K1282" s="128">
        <v>0</v>
      </c>
      <c r="L1282" s="132">
        <v>0</v>
      </c>
      <c r="M1282" s="132">
        <v>0</v>
      </c>
      <c r="N1282" s="130">
        <v>0</v>
      </c>
      <c r="O1282" s="130">
        <v>0</v>
      </c>
      <c r="Q1282" s="1">
        <v>0</v>
      </c>
      <c r="T1282" s="1">
        <v>0</v>
      </c>
      <c r="V1282" s="1">
        <v>0</v>
      </c>
      <c r="W1282" s="1">
        <v>0</v>
      </c>
      <c r="AH1282" s="131">
        <v>0</v>
      </c>
    </row>
    <row r="1283" spans="1:34">
      <c r="A1283" s="1">
        <v>0</v>
      </c>
      <c r="B1283" s="132">
        <v>0</v>
      </c>
      <c r="C1283" s="132">
        <v>0</v>
      </c>
      <c r="D1283" s="1">
        <v>0</v>
      </c>
      <c r="E1283" s="133">
        <v>0</v>
      </c>
      <c r="F1283" s="133">
        <v>0</v>
      </c>
      <c r="G1283" s="133">
        <v>0</v>
      </c>
      <c r="H1283" s="133">
        <v>0</v>
      </c>
      <c r="I1283" s="134">
        <v>0</v>
      </c>
      <c r="J1283" s="135">
        <v>0</v>
      </c>
      <c r="K1283" s="128">
        <v>0</v>
      </c>
      <c r="L1283" s="132">
        <v>0</v>
      </c>
      <c r="M1283" s="132">
        <v>0</v>
      </c>
      <c r="N1283" s="130">
        <v>0</v>
      </c>
      <c r="O1283" s="130">
        <v>0</v>
      </c>
      <c r="Q1283" s="1">
        <v>0</v>
      </c>
      <c r="T1283" s="1">
        <v>0</v>
      </c>
      <c r="V1283" s="1">
        <v>0</v>
      </c>
      <c r="W1283" s="1">
        <v>0</v>
      </c>
      <c r="AH1283" s="131">
        <v>0</v>
      </c>
    </row>
    <row r="1284" spans="1:34">
      <c r="A1284" s="1">
        <v>0</v>
      </c>
      <c r="B1284" s="132">
        <v>0</v>
      </c>
      <c r="C1284" s="132">
        <v>0</v>
      </c>
      <c r="D1284" s="1">
        <v>0</v>
      </c>
      <c r="E1284" s="133">
        <v>0</v>
      </c>
      <c r="F1284" s="133">
        <v>0</v>
      </c>
      <c r="G1284" s="133">
        <v>0</v>
      </c>
      <c r="H1284" s="133">
        <v>0</v>
      </c>
      <c r="I1284" s="134">
        <v>0</v>
      </c>
      <c r="J1284" s="135">
        <v>0</v>
      </c>
      <c r="K1284" s="128">
        <v>0</v>
      </c>
      <c r="L1284" s="132">
        <v>0</v>
      </c>
      <c r="M1284" s="132">
        <v>0</v>
      </c>
      <c r="N1284" s="130">
        <v>0</v>
      </c>
      <c r="O1284" s="130">
        <v>0</v>
      </c>
      <c r="Q1284" s="1">
        <v>0</v>
      </c>
      <c r="T1284" s="1">
        <v>0</v>
      </c>
      <c r="V1284" s="1">
        <v>0</v>
      </c>
      <c r="W1284" s="1">
        <v>0</v>
      </c>
      <c r="AH1284" s="131">
        <v>0</v>
      </c>
    </row>
    <row r="1285" spans="1:34">
      <c r="A1285" s="1">
        <v>0</v>
      </c>
      <c r="B1285" s="132">
        <v>0</v>
      </c>
      <c r="C1285" s="132">
        <v>0</v>
      </c>
      <c r="D1285" s="1">
        <v>0</v>
      </c>
      <c r="E1285" s="133">
        <v>0</v>
      </c>
      <c r="F1285" s="133">
        <v>0</v>
      </c>
      <c r="G1285" s="133">
        <v>0</v>
      </c>
      <c r="H1285" s="133">
        <v>0</v>
      </c>
      <c r="I1285" s="134">
        <v>0</v>
      </c>
      <c r="J1285" s="135">
        <v>0</v>
      </c>
      <c r="K1285" s="128">
        <v>0</v>
      </c>
      <c r="L1285" s="132">
        <v>0</v>
      </c>
      <c r="M1285" s="132">
        <v>0</v>
      </c>
      <c r="N1285" s="130">
        <v>0</v>
      </c>
      <c r="O1285" s="130">
        <v>0</v>
      </c>
      <c r="Q1285" s="1">
        <v>0</v>
      </c>
      <c r="T1285" s="1">
        <v>0</v>
      </c>
      <c r="V1285" s="1">
        <v>0</v>
      </c>
      <c r="W1285" s="1">
        <v>0</v>
      </c>
      <c r="AH1285" s="131">
        <v>0</v>
      </c>
    </row>
    <row r="1286" spans="1:34">
      <c r="A1286" s="1">
        <v>0</v>
      </c>
      <c r="B1286" s="132">
        <v>0</v>
      </c>
      <c r="C1286" s="132">
        <v>0</v>
      </c>
      <c r="D1286" s="1">
        <v>0</v>
      </c>
      <c r="E1286" s="133">
        <v>0</v>
      </c>
      <c r="F1286" s="133">
        <v>0</v>
      </c>
      <c r="G1286" s="133">
        <v>0</v>
      </c>
      <c r="H1286" s="133">
        <v>0</v>
      </c>
      <c r="I1286" s="134">
        <v>0</v>
      </c>
      <c r="J1286" s="135">
        <v>0</v>
      </c>
      <c r="K1286" s="128">
        <v>0</v>
      </c>
      <c r="L1286" s="132">
        <v>0</v>
      </c>
      <c r="M1286" s="132">
        <v>0</v>
      </c>
      <c r="N1286" s="130">
        <v>0</v>
      </c>
      <c r="O1286" s="130">
        <v>0</v>
      </c>
      <c r="Q1286" s="1">
        <v>0</v>
      </c>
      <c r="T1286" s="1">
        <v>0</v>
      </c>
      <c r="V1286" s="1">
        <v>0</v>
      </c>
      <c r="W1286" s="1">
        <v>0</v>
      </c>
      <c r="AH1286" s="131">
        <v>0</v>
      </c>
    </row>
    <row r="1287" spans="1:34">
      <c r="A1287" s="1">
        <v>0</v>
      </c>
      <c r="B1287" s="132">
        <v>0</v>
      </c>
      <c r="C1287" s="132">
        <v>0</v>
      </c>
      <c r="D1287" s="1">
        <v>0</v>
      </c>
      <c r="E1287" s="133">
        <v>0</v>
      </c>
      <c r="F1287" s="133">
        <v>0</v>
      </c>
      <c r="G1287" s="133">
        <v>0</v>
      </c>
      <c r="H1287" s="133">
        <v>0</v>
      </c>
      <c r="I1287" s="134">
        <v>0</v>
      </c>
      <c r="J1287" s="135">
        <v>0</v>
      </c>
      <c r="K1287" s="128">
        <v>0</v>
      </c>
      <c r="L1287" s="132">
        <v>0</v>
      </c>
      <c r="M1287" s="132">
        <v>0</v>
      </c>
      <c r="N1287" s="130">
        <v>0</v>
      </c>
      <c r="O1287" s="130">
        <v>0</v>
      </c>
      <c r="Q1287" s="1">
        <v>0</v>
      </c>
      <c r="T1287" s="1">
        <v>0</v>
      </c>
      <c r="V1287" s="1">
        <v>0</v>
      </c>
      <c r="W1287" s="1">
        <v>0</v>
      </c>
      <c r="AH1287" s="131">
        <v>0</v>
      </c>
    </row>
    <row r="1288" spans="1:34">
      <c r="A1288" s="1">
        <v>0</v>
      </c>
      <c r="B1288" s="132">
        <v>0</v>
      </c>
      <c r="C1288" s="132">
        <v>0</v>
      </c>
      <c r="D1288" s="1">
        <v>0</v>
      </c>
      <c r="E1288" s="133">
        <v>0</v>
      </c>
      <c r="F1288" s="133">
        <v>0</v>
      </c>
      <c r="G1288" s="133">
        <v>0</v>
      </c>
      <c r="H1288" s="133">
        <v>0</v>
      </c>
      <c r="I1288" s="134">
        <v>0</v>
      </c>
      <c r="J1288" s="135">
        <v>0</v>
      </c>
      <c r="K1288" s="128">
        <v>0</v>
      </c>
      <c r="L1288" s="132">
        <v>0</v>
      </c>
      <c r="M1288" s="132">
        <v>0</v>
      </c>
      <c r="N1288" s="130">
        <v>0</v>
      </c>
      <c r="O1288" s="130">
        <v>0</v>
      </c>
      <c r="Q1288" s="1">
        <v>0</v>
      </c>
      <c r="T1288" s="1">
        <v>0</v>
      </c>
      <c r="V1288" s="1">
        <v>0</v>
      </c>
      <c r="W1288" s="1">
        <v>0</v>
      </c>
      <c r="AH1288" s="131">
        <v>0</v>
      </c>
    </row>
    <row r="1289" spans="1:34">
      <c r="A1289" s="1">
        <v>0</v>
      </c>
      <c r="B1289" s="132">
        <v>0</v>
      </c>
      <c r="C1289" s="132">
        <v>0</v>
      </c>
      <c r="D1289" s="1">
        <v>0</v>
      </c>
      <c r="E1289" s="133">
        <v>0</v>
      </c>
      <c r="F1289" s="133">
        <v>0</v>
      </c>
      <c r="G1289" s="133">
        <v>0</v>
      </c>
      <c r="H1289" s="133">
        <v>0</v>
      </c>
      <c r="I1289" s="134">
        <v>0</v>
      </c>
      <c r="J1289" s="135">
        <v>0</v>
      </c>
      <c r="K1289" s="128">
        <v>0</v>
      </c>
      <c r="L1289" s="132">
        <v>0</v>
      </c>
      <c r="M1289" s="132">
        <v>0</v>
      </c>
      <c r="N1289" s="130">
        <v>0</v>
      </c>
      <c r="O1289" s="130">
        <v>0</v>
      </c>
      <c r="Q1289" s="1">
        <v>0</v>
      </c>
      <c r="T1289" s="1">
        <v>0</v>
      </c>
      <c r="V1289" s="1">
        <v>0</v>
      </c>
      <c r="W1289" s="1">
        <v>0</v>
      </c>
      <c r="AH1289" s="131">
        <v>0</v>
      </c>
    </row>
    <row r="1290" spans="1:34">
      <c r="A1290" s="1">
        <v>0</v>
      </c>
      <c r="B1290" s="132">
        <v>0</v>
      </c>
      <c r="C1290" s="132">
        <v>0</v>
      </c>
      <c r="D1290" s="1">
        <v>0</v>
      </c>
      <c r="E1290" s="133">
        <v>0</v>
      </c>
      <c r="F1290" s="133">
        <v>0</v>
      </c>
      <c r="G1290" s="133">
        <v>0</v>
      </c>
      <c r="H1290" s="133">
        <v>0</v>
      </c>
      <c r="I1290" s="134">
        <v>0</v>
      </c>
      <c r="J1290" s="135">
        <v>0</v>
      </c>
      <c r="K1290" s="128">
        <v>0</v>
      </c>
      <c r="L1290" s="132">
        <v>0</v>
      </c>
      <c r="M1290" s="132">
        <v>0</v>
      </c>
      <c r="N1290" s="130">
        <v>0</v>
      </c>
      <c r="O1290" s="130">
        <v>0</v>
      </c>
      <c r="Q1290" s="1">
        <v>0</v>
      </c>
      <c r="T1290" s="1">
        <v>0</v>
      </c>
      <c r="V1290" s="1">
        <v>0</v>
      </c>
      <c r="W1290" s="1">
        <v>0</v>
      </c>
      <c r="AH1290" s="131">
        <v>0</v>
      </c>
    </row>
    <row r="1291" spans="1:34">
      <c r="A1291" s="1">
        <v>0</v>
      </c>
      <c r="B1291" s="132">
        <v>0</v>
      </c>
      <c r="C1291" s="132">
        <v>0</v>
      </c>
      <c r="D1291" s="1">
        <v>0</v>
      </c>
      <c r="E1291" s="133">
        <v>0</v>
      </c>
      <c r="F1291" s="133">
        <v>0</v>
      </c>
      <c r="G1291" s="133">
        <v>0</v>
      </c>
      <c r="H1291" s="133">
        <v>0</v>
      </c>
      <c r="I1291" s="134">
        <v>0</v>
      </c>
      <c r="J1291" s="135">
        <v>0</v>
      </c>
      <c r="K1291" s="128">
        <v>0</v>
      </c>
      <c r="L1291" s="132">
        <v>0</v>
      </c>
      <c r="M1291" s="132">
        <v>0</v>
      </c>
      <c r="N1291" s="130">
        <v>0</v>
      </c>
      <c r="O1291" s="130">
        <v>0</v>
      </c>
      <c r="Q1291" s="1">
        <v>0</v>
      </c>
      <c r="T1291" s="1">
        <v>0</v>
      </c>
      <c r="V1291" s="1">
        <v>0</v>
      </c>
      <c r="W1291" s="1">
        <v>0</v>
      </c>
      <c r="AH1291" s="131">
        <v>0</v>
      </c>
    </row>
    <row r="1292" spans="1:34">
      <c r="A1292" s="1">
        <v>0</v>
      </c>
      <c r="B1292" s="132">
        <v>0</v>
      </c>
      <c r="C1292" s="132">
        <v>0</v>
      </c>
      <c r="D1292" s="1">
        <v>0</v>
      </c>
      <c r="E1292" s="133">
        <v>0</v>
      </c>
      <c r="F1292" s="133">
        <v>0</v>
      </c>
      <c r="G1292" s="133">
        <v>0</v>
      </c>
      <c r="H1292" s="133">
        <v>0</v>
      </c>
      <c r="I1292" s="134">
        <v>0</v>
      </c>
      <c r="J1292" s="135">
        <v>0</v>
      </c>
      <c r="K1292" s="128">
        <v>0</v>
      </c>
      <c r="L1292" s="132">
        <v>0</v>
      </c>
      <c r="M1292" s="132">
        <v>0</v>
      </c>
      <c r="N1292" s="130">
        <v>0</v>
      </c>
      <c r="O1292" s="130">
        <v>0</v>
      </c>
      <c r="Q1292" s="1">
        <v>0</v>
      </c>
      <c r="T1292" s="1">
        <v>0</v>
      </c>
      <c r="V1292" s="1">
        <v>0</v>
      </c>
      <c r="W1292" s="1">
        <v>0</v>
      </c>
      <c r="AH1292" s="131">
        <v>0</v>
      </c>
    </row>
    <row r="1293" spans="1:34">
      <c r="A1293" s="1">
        <v>0</v>
      </c>
      <c r="B1293" s="132">
        <v>0</v>
      </c>
      <c r="C1293" s="132">
        <v>0</v>
      </c>
      <c r="D1293" s="1">
        <v>0</v>
      </c>
      <c r="E1293" s="133">
        <v>0</v>
      </c>
      <c r="F1293" s="133">
        <v>0</v>
      </c>
      <c r="G1293" s="133">
        <v>0</v>
      </c>
      <c r="H1293" s="133">
        <v>0</v>
      </c>
      <c r="I1293" s="134">
        <v>0</v>
      </c>
      <c r="J1293" s="135">
        <v>0</v>
      </c>
      <c r="K1293" s="128">
        <v>0</v>
      </c>
      <c r="L1293" s="132">
        <v>0</v>
      </c>
      <c r="M1293" s="132">
        <v>0</v>
      </c>
      <c r="N1293" s="130">
        <v>0</v>
      </c>
      <c r="O1293" s="130">
        <v>0</v>
      </c>
      <c r="Q1293" s="1">
        <v>0</v>
      </c>
      <c r="T1293" s="1">
        <v>0</v>
      </c>
      <c r="V1293" s="1">
        <v>0</v>
      </c>
      <c r="W1293" s="1">
        <v>0</v>
      </c>
      <c r="AH1293" s="131">
        <v>0</v>
      </c>
    </row>
    <row r="1294" spans="1:34">
      <c r="A1294" s="1">
        <v>0</v>
      </c>
      <c r="B1294" s="132">
        <v>0</v>
      </c>
      <c r="C1294" s="132">
        <v>0</v>
      </c>
      <c r="D1294" s="1">
        <v>0</v>
      </c>
      <c r="E1294" s="133">
        <v>0</v>
      </c>
      <c r="F1294" s="133">
        <v>0</v>
      </c>
      <c r="G1294" s="133">
        <v>0</v>
      </c>
      <c r="H1294" s="133">
        <v>0</v>
      </c>
      <c r="I1294" s="134">
        <v>0</v>
      </c>
      <c r="J1294" s="135">
        <v>0</v>
      </c>
      <c r="K1294" s="128">
        <v>0</v>
      </c>
      <c r="L1294" s="132">
        <v>0</v>
      </c>
      <c r="M1294" s="132">
        <v>0</v>
      </c>
      <c r="N1294" s="130">
        <v>0</v>
      </c>
      <c r="O1294" s="130">
        <v>0</v>
      </c>
      <c r="Q1294" s="1">
        <v>0</v>
      </c>
      <c r="T1294" s="1">
        <v>0</v>
      </c>
      <c r="V1294" s="1">
        <v>0</v>
      </c>
      <c r="W1294" s="1">
        <v>0</v>
      </c>
      <c r="AH1294" s="131">
        <v>0</v>
      </c>
    </row>
    <row r="1295" spans="1:34">
      <c r="A1295" s="1">
        <v>0</v>
      </c>
      <c r="B1295" s="132">
        <v>0</v>
      </c>
      <c r="C1295" s="132">
        <v>0</v>
      </c>
      <c r="D1295" s="1">
        <v>0</v>
      </c>
      <c r="E1295" s="133">
        <v>0</v>
      </c>
      <c r="F1295" s="133">
        <v>0</v>
      </c>
      <c r="G1295" s="133">
        <v>0</v>
      </c>
      <c r="H1295" s="133">
        <v>0</v>
      </c>
      <c r="I1295" s="134">
        <v>0</v>
      </c>
      <c r="J1295" s="135">
        <v>0</v>
      </c>
      <c r="K1295" s="128">
        <v>0</v>
      </c>
      <c r="L1295" s="132">
        <v>0</v>
      </c>
      <c r="M1295" s="132">
        <v>0</v>
      </c>
      <c r="N1295" s="130">
        <v>0</v>
      </c>
      <c r="O1295" s="130">
        <v>0</v>
      </c>
      <c r="Q1295" s="1">
        <v>0</v>
      </c>
      <c r="T1295" s="1">
        <v>0</v>
      </c>
      <c r="V1295" s="1">
        <v>0</v>
      </c>
      <c r="W1295" s="1">
        <v>0</v>
      </c>
      <c r="AH1295" s="131">
        <v>0</v>
      </c>
    </row>
    <row r="1296" spans="1:34">
      <c r="A1296" s="1">
        <v>0</v>
      </c>
      <c r="B1296" s="132">
        <v>0</v>
      </c>
      <c r="C1296" s="132">
        <v>0</v>
      </c>
      <c r="D1296" s="1">
        <v>0</v>
      </c>
      <c r="E1296" s="133">
        <v>0</v>
      </c>
      <c r="F1296" s="133">
        <v>0</v>
      </c>
      <c r="G1296" s="133">
        <v>0</v>
      </c>
      <c r="H1296" s="133">
        <v>0</v>
      </c>
      <c r="I1296" s="134">
        <v>0</v>
      </c>
      <c r="J1296" s="135">
        <v>0</v>
      </c>
      <c r="K1296" s="128">
        <v>0</v>
      </c>
      <c r="L1296" s="132">
        <v>0</v>
      </c>
      <c r="M1296" s="132">
        <v>0</v>
      </c>
      <c r="N1296" s="130">
        <v>0</v>
      </c>
      <c r="O1296" s="130">
        <v>0</v>
      </c>
      <c r="Q1296" s="1">
        <v>0</v>
      </c>
      <c r="T1296" s="1">
        <v>0</v>
      </c>
      <c r="V1296" s="1">
        <v>0</v>
      </c>
      <c r="W1296" s="1">
        <v>0</v>
      </c>
      <c r="AH1296" s="131">
        <v>0</v>
      </c>
    </row>
    <row r="1297" spans="1:34">
      <c r="A1297" s="1">
        <v>0</v>
      </c>
      <c r="B1297" s="132">
        <v>0</v>
      </c>
      <c r="C1297" s="132">
        <v>0</v>
      </c>
      <c r="D1297" s="1">
        <v>0</v>
      </c>
      <c r="E1297" s="133">
        <v>0</v>
      </c>
      <c r="F1297" s="133">
        <v>0</v>
      </c>
      <c r="G1297" s="133">
        <v>0</v>
      </c>
      <c r="H1297" s="133">
        <v>0</v>
      </c>
      <c r="I1297" s="134">
        <v>0</v>
      </c>
      <c r="J1297" s="135">
        <v>0</v>
      </c>
      <c r="K1297" s="128">
        <v>0</v>
      </c>
      <c r="L1297" s="132">
        <v>0</v>
      </c>
      <c r="M1297" s="132">
        <v>0</v>
      </c>
      <c r="N1297" s="130">
        <v>0</v>
      </c>
      <c r="O1297" s="130">
        <v>0</v>
      </c>
      <c r="Q1297" s="1">
        <v>0</v>
      </c>
      <c r="T1297" s="1">
        <v>0</v>
      </c>
      <c r="V1297" s="1">
        <v>0</v>
      </c>
      <c r="W1297" s="1">
        <v>0</v>
      </c>
      <c r="AH1297" s="131">
        <v>0</v>
      </c>
    </row>
    <row r="1298" spans="1:34">
      <c r="A1298" s="1">
        <v>0</v>
      </c>
      <c r="B1298" s="132">
        <v>0</v>
      </c>
      <c r="C1298" s="132">
        <v>0</v>
      </c>
      <c r="D1298" s="1">
        <v>0</v>
      </c>
      <c r="E1298" s="133">
        <v>0</v>
      </c>
      <c r="F1298" s="133">
        <v>0</v>
      </c>
      <c r="G1298" s="133">
        <v>0</v>
      </c>
      <c r="H1298" s="133">
        <v>0</v>
      </c>
      <c r="I1298" s="134">
        <v>0</v>
      </c>
      <c r="J1298" s="135">
        <v>0</v>
      </c>
      <c r="K1298" s="128">
        <v>0</v>
      </c>
      <c r="L1298" s="132">
        <v>0</v>
      </c>
      <c r="M1298" s="132">
        <v>0</v>
      </c>
      <c r="N1298" s="130">
        <v>0</v>
      </c>
      <c r="O1298" s="130">
        <v>0</v>
      </c>
      <c r="Q1298" s="1">
        <v>0</v>
      </c>
      <c r="T1298" s="1">
        <v>0</v>
      </c>
      <c r="V1298" s="1">
        <v>0</v>
      </c>
      <c r="W1298" s="1">
        <v>0</v>
      </c>
      <c r="AH1298" s="131">
        <v>0</v>
      </c>
    </row>
    <row r="1299" spans="1:34">
      <c r="A1299" s="1">
        <v>0</v>
      </c>
      <c r="B1299" s="132">
        <v>0</v>
      </c>
      <c r="C1299" s="132">
        <v>0</v>
      </c>
      <c r="D1299" s="1">
        <v>0</v>
      </c>
      <c r="E1299" s="133">
        <v>0</v>
      </c>
      <c r="F1299" s="133">
        <v>0</v>
      </c>
      <c r="G1299" s="133">
        <v>0</v>
      </c>
      <c r="H1299" s="133">
        <v>0</v>
      </c>
      <c r="I1299" s="134">
        <v>0</v>
      </c>
      <c r="J1299" s="135">
        <v>0</v>
      </c>
      <c r="K1299" s="128">
        <v>0</v>
      </c>
      <c r="L1299" s="132">
        <v>0</v>
      </c>
      <c r="M1299" s="132">
        <v>0</v>
      </c>
      <c r="N1299" s="130">
        <v>0</v>
      </c>
      <c r="O1299" s="130">
        <v>0</v>
      </c>
      <c r="Q1299" s="1">
        <v>0</v>
      </c>
      <c r="T1299" s="1">
        <v>0</v>
      </c>
      <c r="V1299" s="1">
        <v>0</v>
      </c>
      <c r="W1299" s="1">
        <v>0</v>
      </c>
      <c r="AH1299" s="131">
        <v>0</v>
      </c>
    </row>
    <row r="1300" spans="1:34">
      <c r="A1300" s="1">
        <v>0</v>
      </c>
      <c r="B1300" s="132">
        <v>0</v>
      </c>
      <c r="C1300" s="132">
        <v>0</v>
      </c>
      <c r="D1300" s="1">
        <v>0</v>
      </c>
      <c r="E1300" s="133">
        <v>0</v>
      </c>
      <c r="F1300" s="133">
        <v>0</v>
      </c>
      <c r="G1300" s="133">
        <v>0</v>
      </c>
      <c r="H1300" s="133">
        <v>0</v>
      </c>
      <c r="I1300" s="134">
        <v>0</v>
      </c>
      <c r="J1300" s="135">
        <v>0</v>
      </c>
      <c r="K1300" s="128">
        <v>0</v>
      </c>
      <c r="L1300" s="132">
        <v>0</v>
      </c>
      <c r="M1300" s="132">
        <v>0</v>
      </c>
      <c r="N1300" s="130">
        <v>0</v>
      </c>
      <c r="O1300" s="130">
        <v>0</v>
      </c>
      <c r="Q1300" s="1">
        <v>0</v>
      </c>
      <c r="T1300" s="1">
        <v>0</v>
      </c>
      <c r="V1300" s="1">
        <v>0</v>
      </c>
      <c r="W1300" s="1">
        <v>0</v>
      </c>
      <c r="AH1300" s="131">
        <v>0</v>
      </c>
    </row>
    <row r="1301" spans="1:34">
      <c r="A1301" s="1">
        <v>0</v>
      </c>
      <c r="B1301" s="132">
        <v>0</v>
      </c>
      <c r="C1301" s="132">
        <v>0</v>
      </c>
      <c r="D1301" s="1">
        <v>0</v>
      </c>
      <c r="E1301" s="133">
        <v>0</v>
      </c>
      <c r="F1301" s="133">
        <v>0</v>
      </c>
      <c r="G1301" s="133">
        <v>0</v>
      </c>
      <c r="H1301" s="133">
        <v>0</v>
      </c>
      <c r="I1301" s="134">
        <v>0</v>
      </c>
      <c r="J1301" s="135">
        <v>0</v>
      </c>
      <c r="K1301" s="128">
        <v>0</v>
      </c>
      <c r="Q1301" s="1">
        <v>0</v>
      </c>
      <c r="T1301" s="1">
        <v>0</v>
      </c>
      <c r="V1301" s="1">
        <v>0</v>
      </c>
      <c r="W1301" s="1">
        <v>0</v>
      </c>
      <c r="AH1301" s="131">
        <v>0</v>
      </c>
    </row>
    <row r="1302" spans="1:34">
      <c r="A1302" s="1">
        <v>0</v>
      </c>
      <c r="B1302" s="132">
        <v>0</v>
      </c>
      <c r="C1302" s="132">
        <v>0</v>
      </c>
      <c r="D1302" s="1">
        <v>0</v>
      </c>
      <c r="E1302" s="133">
        <v>0</v>
      </c>
      <c r="F1302" s="133">
        <v>0</v>
      </c>
      <c r="G1302" s="133">
        <v>0</v>
      </c>
      <c r="H1302" s="133">
        <v>0</v>
      </c>
      <c r="I1302" s="134">
        <v>0</v>
      </c>
      <c r="J1302" s="135">
        <v>0</v>
      </c>
      <c r="K1302" s="128">
        <v>0</v>
      </c>
      <c r="Q1302" s="1">
        <v>0</v>
      </c>
      <c r="T1302" s="1">
        <v>0</v>
      </c>
      <c r="V1302" s="1">
        <v>0</v>
      </c>
      <c r="W1302" s="1">
        <v>0</v>
      </c>
      <c r="AH1302" s="131">
        <v>0</v>
      </c>
    </row>
    <row r="1303" spans="1:34">
      <c r="A1303" s="1">
        <v>0</v>
      </c>
      <c r="B1303" s="132">
        <v>0</v>
      </c>
      <c r="C1303" s="132">
        <v>0</v>
      </c>
      <c r="D1303" s="1">
        <v>0</v>
      </c>
      <c r="E1303" s="133">
        <v>0</v>
      </c>
      <c r="F1303" s="133">
        <v>0</v>
      </c>
      <c r="G1303" s="133">
        <v>0</v>
      </c>
      <c r="H1303" s="133">
        <v>0</v>
      </c>
      <c r="I1303" s="134">
        <v>0</v>
      </c>
      <c r="J1303" s="135">
        <v>0</v>
      </c>
      <c r="K1303" s="128">
        <v>0</v>
      </c>
      <c r="Q1303" s="1">
        <v>0</v>
      </c>
      <c r="T1303" s="1">
        <v>0</v>
      </c>
      <c r="V1303" s="1">
        <v>0</v>
      </c>
      <c r="W1303" s="1">
        <v>0</v>
      </c>
      <c r="AH1303" s="131">
        <v>0</v>
      </c>
    </row>
    <row r="1304" spans="1:34">
      <c r="A1304" s="1">
        <v>0</v>
      </c>
      <c r="B1304" s="132">
        <v>0</v>
      </c>
      <c r="C1304" s="132">
        <v>0</v>
      </c>
      <c r="D1304" s="1">
        <v>0</v>
      </c>
      <c r="E1304" s="133">
        <v>0</v>
      </c>
      <c r="F1304" s="133">
        <v>0</v>
      </c>
      <c r="G1304" s="133">
        <v>0</v>
      </c>
      <c r="H1304" s="133">
        <v>0</v>
      </c>
      <c r="I1304" s="134">
        <v>0</v>
      </c>
      <c r="J1304" s="135">
        <v>0</v>
      </c>
      <c r="K1304" s="128">
        <v>0</v>
      </c>
      <c r="Q1304" s="1">
        <v>0</v>
      </c>
      <c r="T1304" s="1">
        <v>0</v>
      </c>
      <c r="V1304" s="1">
        <v>0</v>
      </c>
      <c r="W1304" s="1">
        <v>0</v>
      </c>
      <c r="AH1304" s="131">
        <v>0</v>
      </c>
    </row>
    <row r="1305" spans="1:34">
      <c r="A1305" s="1">
        <v>0</v>
      </c>
      <c r="B1305" s="132">
        <v>0</v>
      </c>
      <c r="C1305" s="132">
        <v>0</v>
      </c>
      <c r="D1305" s="1">
        <v>0</v>
      </c>
      <c r="E1305" s="133">
        <v>0</v>
      </c>
      <c r="F1305" s="133">
        <v>0</v>
      </c>
      <c r="G1305" s="133">
        <v>0</v>
      </c>
      <c r="H1305" s="133">
        <v>0</v>
      </c>
      <c r="I1305" s="134">
        <v>0</v>
      </c>
      <c r="J1305" s="135">
        <v>0</v>
      </c>
      <c r="K1305" s="128">
        <v>0</v>
      </c>
      <c r="Q1305" s="1">
        <v>0</v>
      </c>
      <c r="T1305" s="1">
        <v>0</v>
      </c>
      <c r="V1305" s="1">
        <v>0</v>
      </c>
      <c r="W1305" s="1">
        <v>0</v>
      </c>
      <c r="AH1305" s="131">
        <v>0</v>
      </c>
    </row>
    <row r="1306" spans="1:34">
      <c r="A1306" s="1">
        <v>0</v>
      </c>
      <c r="B1306" s="132">
        <v>0</v>
      </c>
      <c r="C1306" s="132">
        <v>0</v>
      </c>
      <c r="D1306" s="1">
        <v>0</v>
      </c>
      <c r="E1306" s="133">
        <v>0</v>
      </c>
      <c r="F1306" s="133">
        <v>0</v>
      </c>
      <c r="G1306" s="133">
        <v>0</v>
      </c>
      <c r="H1306" s="133">
        <v>0</v>
      </c>
      <c r="I1306" s="134">
        <v>0</v>
      </c>
      <c r="J1306" s="135">
        <v>0</v>
      </c>
      <c r="K1306" s="128">
        <v>0</v>
      </c>
      <c r="Q1306" s="1">
        <v>0</v>
      </c>
      <c r="T1306" s="1">
        <v>0</v>
      </c>
      <c r="V1306" s="1">
        <v>0</v>
      </c>
      <c r="W1306" s="1">
        <v>0</v>
      </c>
      <c r="AH1306" s="131">
        <v>0</v>
      </c>
    </row>
    <row r="1307" spans="1:34">
      <c r="A1307" s="1">
        <v>0</v>
      </c>
      <c r="B1307" s="132">
        <v>0</v>
      </c>
      <c r="C1307" s="132">
        <v>0</v>
      </c>
      <c r="D1307" s="1">
        <v>0</v>
      </c>
      <c r="E1307" s="133">
        <v>0</v>
      </c>
      <c r="F1307" s="133">
        <v>0</v>
      </c>
      <c r="G1307" s="133">
        <v>0</v>
      </c>
      <c r="H1307" s="133">
        <v>0</v>
      </c>
      <c r="I1307" s="134">
        <v>0</v>
      </c>
      <c r="J1307" s="135">
        <v>0</v>
      </c>
      <c r="K1307" s="128">
        <v>0</v>
      </c>
      <c r="Q1307" s="1">
        <v>0</v>
      </c>
      <c r="T1307" s="1">
        <v>0</v>
      </c>
      <c r="V1307" s="1">
        <v>0</v>
      </c>
      <c r="W1307" s="1">
        <v>0</v>
      </c>
      <c r="AH1307" s="131">
        <v>0</v>
      </c>
    </row>
    <row r="1308" spans="1:34">
      <c r="A1308" s="1">
        <v>0</v>
      </c>
      <c r="B1308" s="132">
        <v>0</v>
      </c>
      <c r="C1308" s="132">
        <v>0</v>
      </c>
      <c r="D1308" s="1">
        <v>0</v>
      </c>
      <c r="E1308" s="133">
        <v>0</v>
      </c>
      <c r="F1308" s="133">
        <v>0</v>
      </c>
      <c r="G1308" s="133">
        <v>0</v>
      </c>
      <c r="H1308" s="133">
        <v>0</v>
      </c>
      <c r="I1308" s="134">
        <v>0</v>
      </c>
      <c r="J1308" s="135">
        <v>0</v>
      </c>
      <c r="K1308" s="128">
        <v>0</v>
      </c>
      <c r="Q1308" s="1">
        <v>0</v>
      </c>
      <c r="T1308" s="1">
        <v>0</v>
      </c>
      <c r="V1308" s="1">
        <v>0</v>
      </c>
      <c r="W1308" s="1">
        <v>0</v>
      </c>
      <c r="AH1308" s="131">
        <v>0</v>
      </c>
    </row>
    <row r="1309" spans="1:34">
      <c r="A1309" s="1">
        <v>0</v>
      </c>
      <c r="B1309" s="132">
        <v>0</v>
      </c>
      <c r="C1309" s="132">
        <v>0</v>
      </c>
      <c r="D1309" s="1">
        <v>0</v>
      </c>
      <c r="E1309" s="133">
        <v>0</v>
      </c>
      <c r="F1309" s="133">
        <v>0</v>
      </c>
      <c r="G1309" s="133">
        <v>0</v>
      </c>
      <c r="H1309" s="133">
        <v>0</v>
      </c>
      <c r="I1309" s="134">
        <v>0</v>
      </c>
      <c r="J1309" s="135">
        <v>0</v>
      </c>
      <c r="K1309" s="128">
        <v>0</v>
      </c>
      <c r="Q1309" s="1">
        <v>0</v>
      </c>
      <c r="T1309" s="1">
        <v>0</v>
      </c>
      <c r="V1309" s="1">
        <v>0</v>
      </c>
      <c r="W1309" s="1">
        <v>0</v>
      </c>
      <c r="AH1309" s="131">
        <v>0</v>
      </c>
    </row>
    <row r="1310" spans="1:34">
      <c r="A1310" s="1">
        <v>0</v>
      </c>
      <c r="B1310" s="132">
        <v>0</v>
      </c>
      <c r="C1310" s="132">
        <v>0</v>
      </c>
      <c r="D1310" s="1">
        <v>0</v>
      </c>
      <c r="E1310" s="133">
        <v>0</v>
      </c>
      <c r="F1310" s="133">
        <v>0</v>
      </c>
      <c r="G1310" s="133">
        <v>0</v>
      </c>
      <c r="H1310" s="133">
        <v>0</v>
      </c>
      <c r="I1310" s="134">
        <v>0</v>
      </c>
      <c r="J1310" s="135">
        <v>0</v>
      </c>
      <c r="K1310" s="128">
        <v>0</v>
      </c>
      <c r="Q1310" s="1">
        <v>0</v>
      </c>
      <c r="T1310" s="1">
        <v>0</v>
      </c>
      <c r="V1310" s="1">
        <v>0</v>
      </c>
      <c r="W1310" s="1">
        <v>0</v>
      </c>
      <c r="AH1310" s="131">
        <v>0</v>
      </c>
    </row>
    <row r="1311" spans="1:34">
      <c r="A1311" s="1">
        <v>0</v>
      </c>
      <c r="B1311" s="132">
        <v>0</v>
      </c>
      <c r="C1311" s="132">
        <v>0</v>
      </c>
      <c r="D1311" s="1">
        <v>0</v>
      </c>
      <c r="E1311" s="133">
        <v>0</v>
      </c>
      <c r="F1311" s="133">
        <v>0</v>
      </c>
      <c r="G1311" s="133">
        <v>0</v>
      </c>
      <c r="H1311" s="133">
        <v>0</v>
      </c>
      <c r="I1311" s="134">
        <v>0</v>
      </c>
      <c r="J1311" s="135">
        <v>0</v>
      </c>
      <c r="K1311" s="128">
        <v>0</v>
      </c>
      <c r="Q1311" s="1">
        <v>0</v>
      </c>
      <c r="T1311" s="1">
        <v>0</v>
      </c>
      <c r="V1311" s="1">
        <v>0</v>
      </c>
      <c r="W1311" s="1">
        <v>0</v>
      </c>
      <c r="AH1311" s="131">
        <v>0</v>
      </c>
    </row>
    <row r="1312" spans="1:34">
      <c r="A1312" s="1">
        <v>0</v>
      </c>
      <c r="B1312" s="132">
        <v>0</v>
      </c>
      <c r="C1312" s="132">
        <v>0</v>
      </c>
      <c r="D1312" s="1">
        <v>0</v>
      </c>
      <c r="E1312" s="133">
        <v>0</v>
      </c>
      <c r="F1312" s="133">
        <v>0</v>
      </c>
      <c r="G1312" s="133">
        <v>0</v>
      </c>
      <c r="H1312" s="133">
        <v>0</v>
      </c>
      <c r="I1312" s="134">
        <v>0</v>
      </c>
      <c r="J1312" s="135">
        <v>0</v>
      </c>
      <c r="K1312" s="128">
        <v>0</v>
      </c>
      <c r="Q1312" s="1">
        <v>0</v>
      </c>
      <c r="T1312" s="1">
        <v>0</v>
      </c>
      <c r="V1312" s="1">
        <v>0</v>
      </c>
      <c r="W1312" s="1">
        <v>0</v>
      </c>
      <c r="AH1312" s="131">
        <v>0</v>
      </c>
    </row>
    <row r="1313" spans="1:34">
      <c r="A1313" s="1">
        <v>0</v>
      </c>
      <c r="B1313" s="132">
        <v>0</v>
      </c>
      <c r="C1313" s="132">
        <v>0</v>
      </c>
      <c r="D1313" s="1">
        <v>0</v>
      </c>
      <c r="E1313" s="133">
        <v>0</v>
      </c>
      <c r="F1313" s="133">
        <v>0</v>
      </c>
      <c r="G1313" s="133">
        <v>0</v>
      </c>
      <c r="H1313" s="133">
        <v>0</v>
      </c>
      <c r="I1313" s="134">
        <v>0</v>
      </c>
      <c r="J1313" s="135">
        <v>0</v>
      </c>
      <c r="K1313" s="128">
        <v>0</v>
      </c>
      <c r="Q1313" s="1">
        <v>0</v>
      </c>
      <c r="T1313" s="1">
        <v>0</v>
      </c>
      <c r="V1313" s="1">
        <v>0</v>
      </c>
      <c r="W1313" s="1">
        <v>0</v>
      </c>
      <c r="AH1313" s="131">
        <v>0</v>
      </c>
    </row>
    <row r="1314" spans="1:34">
      <c r="A1314" s="1">
        <v>0</v>
      </c>
      <c r="B1314" s="132">
        <v>0</v>
      </c>
      <c r="C1314" s="132">
        <v>0</v>
      </c>
      <c r="D1314" s="1">
        <v>0</v>
      </c>
      <c r="E1314" s="133">
        <v>0</v>
      </c>
      <c r="F1314" s="133">
        <v>0</v>
      </c>
      <c r="G1314" s="133">
        <v>0</v>
      </c>
      <c r="H1314" s="133">
        <v>0</v>
      </c>
      <c r="I1314" s="134">
        <v>0</v>
      </c>
      <c r="J1314" s="135">
        <v>0</v>
      </c>
      <c r="K1314" s="128">
        <v>0</v>
      </c>
      <c r="Q1314" s="1">
        <v>0</v>
      </c>
      <c r="T1314" s="1">
        <v>0</v>
      </c>
      <c r="V1314" s="1">
        <v>0</v>
      </c>
      <c r="W1314" s="1">
        <v>0</v>
      </c>
      <c r="AH1314" s="131">
        <v>0</v>
      </c>
    </row>
    <row r="1315" spans="1:34">
      <c r="A1315" s="1">
        <v>0</v>
      </c>
      <c r="B1315" s="132">
        <v>0</v>
      </c>
      <c r="C1315" s="132">
        <v>0</v>
      </c>
      <c r="D1315" s="1">
        <v>0</v>
      </c>
      <c r="E1315" s="133">
        <v>0</v>
      </c>
      <c r="F1315" s="133">
        <v>0</v>
      </c>
      <c r="G1315" s="133">
        <v>0</v>
      </c>
      <c r="H1315" s="133">
        <v>0</v>
      </c>
      <c r="I1315" s="134">
        <v>0</v>
      </c>
      <c r="J1315" s="135">
        <v>0</v>
      </c>
      <c r="K1315" s="128">
        <v>0</v>
      </c>
      <c r="Q1315" s="1">
        <v>0</v>
      </c>
      <c r="T1315" s="1">
        <v>0</v>
      </c>
      <c r="V1315" s="1">
        <v>0</v>
      </c>
      <c r="W1315" s="1">
        <v>0</v>
      </c>
      <c r="AH1315" s="131">
        <v>0</v>
      </c>
    </row>
    <row r="1316" spans="1:34">
      <c r="A1316" s="1">
        <v>0</v>
      </c>
      <c r="B1316" s="132">
        <v>0</v>
      </c>
      <c r="C1316" s="132">
        <v>0</v>
      </c>
      <c r="D1316" s="1">
        <v>0</v>
      </c>
      <c r="E1316" s="133">
        <v>0</v>
      </c>
      <c r="F1316" s="133">
        <v>0</v>
      </c>
      <c r="G1316" s="133">
        <v>0</v>
      </c>
      <c r="H1316" s="133">
        <v>0</v>
      </c>
      <c r="I1316" s="134">
        <v>0</v>
      </c>
      <c r="J1316" s="135">
        <v>0</v>
      </c>
      <c r="K1316" s="128">
        <v>0</v>
      </c>
      <c r="Q1316" s="1">
        <v>0</v>
      </c>
      <c r="T1316" s="1">
        <v>0</v>
      </c>
      <c r="V1316" s="1">
        <v>0</v>
      </c>
      <c r="W1316" s="1">
        <v>0</v>
      </c>
      <c r="AH1316" s="131">
        <v>0</v>
      </c>
    </row>
    <row r="1317" spans="1:34">
      <c r="A1317" s="1">
        <v>0</v>
      </c>
      <c r="B1317" s="132">
        <v>0</v>
      </c>
      <c r="C1317" s="132">
        <v>0</v>
      </c>
      <c r="D1317" s="1">
        <v>0</v>
      </c>
      <c r="E1317" s="133">
        <v>0</v>
      </c>
      <c r="F1317" s="133">
        <v>0</v>
      </c>
      <c r="G1317" s="133">
        <v>0</v>
      </c>
      <c r="H1317" s="133">
        <v>0</v>
      </c>
      <c r="I1317" s="134">
        <v>0</v>
      </c>
      <c r="J1317" s="135">
        <v>0</v>
      </c>
      <c r="K1317" s="128">
        <v>0</v>
      </c>
      <c r="Q1317" s="1">
        <v>0</v>
      </c>
      <c r="T1317" s="1">
        <v>0</v>
      </c>
      <c r="V1317" s="1">
        <v>0</v>
      </c>
      <c r="W1317" s="1">
        <v>0</v>
      </c>
      <c r="AH1317" s="131">
        <v>0</v>
      </c>
    </row>
    <row r="1318" spans="1:34">
      <c r="A1318" s="1">
        <v>0</v>
      </c>
      <c r="B1318" s="132">
        <v>0</v>
      </c>
      <c r="C1318" s="132">
        <v>0</v>
      </c>
      <c r="D1318" s="1">
        <v>0</v>
      </c>
      <c r="E1318" s="133">
        <v>0</v>
      </c>
      <c r="F1318" s="133">
        <v>0</v>
      </c>
      <c r="G1318" s="133">
        <v>0</v>
      </c>
      <c r="H1318" s="133">
        <v>0</v>
      </c>
      <c r="I1318" s="134">
        <v>0</v>
      </c>
      <c r="J1318" s="135">
        <v>0</v>
      </c>
      <c r="K1318" s="128">
        <v>0</v>
      </c>
      <c r="Q1318" s="1">
        <v>0</v>
      </c>
      <c r="T1318" s="1">
        <v>0</v>
      </c>
      <c r="V1318" s="1">
        <v>0</v>
      </c>
      <c r="W1318" s="1">
        <v>0</v>
      </c>
      <c r="AH1318" s="131">
        <v>0</v>
      </c>
    </row>
    <row r="1319" spans="1:34">
      <c r="A1319" s="1">
        <v>0</v>
      </c>
      <c r="B1319" s="132">
        <v>0</v>
      </c>
      <c r="C1319" s="132">
        <v>0</v>
      </c>
      <c r="D1319" s="1">
        <v>0</v>
      </c>
      <c r="E1319" s="133">
        <v>0</v>
      </c>
      <c r="F1319" s="133">
        <v>0</v>
      </c>
      <c r="G1319" s="133">
        <v>0</v>
      </c>
      <c r="H1319" s="133">
        <v>0</v>
      </c>
      <c r="I1319" s="134">
        <v>0</v>
      </c>
      <c r="J1319" s="135">
        <v>0</v>
      </c>
      <c r="K1319" s="128">
        <v>0</v>
      </c>
      <c r="Q1319" s="1">
        <v>0</v>
      </c>
      <c r="T1319" s="1">
        <v>0</v>
      </c>
      <c r="V1319" s="1">
        <v>0</v>
      </c>
      <c r="W1319" s="1">
        <v>0</v>
      </c>
      <c r="AH1319" s="131">
        <v>0</v>
      </c>
    </row>
    <row r="1320" spans="1:34">
      <c r="A1320" s="1">
        <v>0</v>
      </c>
      <c r="B1320" s="132">
        <v>0</v>
      </c>
      <c r="C1320" s="132">
        <v>0</v>
      </c>
      <c r="D1320" s="1">
        <v>0</v>
      </c>
      <c r="E1320" s="133">
        <v>0</v>
      </c>
      <c r="F1320" s="133">
        <v>0</v>
      </c>
      <c r="G1320" s="133">
        <v>0</v>
      </c>
      <c r="H1320" s="133">
        <v>0</v>
      </c>
      <c r="I1320" s="134">
        <v>0</v>
      </c>
      <c r="J1320" s="135">
        <v>0</v>
      </c>
      <c r="K1320" s="128">
        <v>0</v>
      </c>
      <c r="Q1320" s="1">
        <v>0</v>
      </c>
      <c r="T1320" s="1">
        <v>0</v>
      </c>
      <c r="V1320" s="1">
        <v>0</v>
      </c>
      <c r="W1320" s="1">
        <v>0</v>
      </c>
      <c r="AH1320" s="131">
        <v>0</v>
      </c>
    </row>
    <row r="1321" spans="1:34">
      <c r="A1321" s="1">
        <v>0</v>
      </c>
      <c r="B1321" s="132">
        <v>0</v>
      </c>
      <c r="C1321" s="132">
        <v>0</v>
      </c>
      <c r="D1321" s="1">
        <v>0</v>
      </c>
      <c r="E1321" s="133">
        <v>0</v>
      </c>
      <c r="F1321" s="133">
        <v>0</v>
      </c>
      <c r="G1321" s="133">
        <v>0</v>
      </c>
      <c r="H1321" s="133">
        <v>0</v>
      </c>
      <c r="I1321" s="134">
        <v>0</v>
      </c>
      <c r="J1321" s="135">
        <v>0</v>
      </c>
      <c r="K1321" s="128">
        <v>0</v>
      </c>
      <c r="Q1321" s="1">
        <v>0</v>
      </c>
      <c r="T1321" s="1">
        <v>0</v>
      </c>
      <c r="V1321" s="1">
        <v>0</v>
      </c>
      <c r="W1321" s="1">
        <v>0</v>
      </c>
      <c r="AH1321" s="131">
        <v>0</v>
      </c>
    </row>
    <row r="1322" spans="1:34">
      <c r="A1322" s="1">
        <v>0</v>
      </c>
      <c r="B1322" s="132">
        <v>0</v>
      </c>
      <c r="C1322" s="132">
        <v>0</v>
      </c>
      <c r="D1322" s="1">
        <v>0</v>
      </c>
      <c r="E1322" s="133">
        <v>0</v>
      </c>
      <c r="F1322" s="133">
        <v>0</v>
      </c>
      <c r="G1322" s="133">
        <v>0</v>
      </c>
      <c r="H1322" s="133">
        <v>0</v>
      </c>
      <c r="I1322" s="134">
        <v>0</v>
      </c>
      <c r="J1322" s="135">
        <v>0</v>
      </c>
      <c r="K1322" s="128">
        <v>0</v>
      </c>
      <c r="Q1322" s="1">
        <v>0</v>
      </c>
      <c r="T1322" s="1">
        <v>0</v>
      </c>
      <c r="V1322" s="1">
        <v>0</v>
      </c>
      <c r="W1322" s="1">
        <v>0</v>
      </c>
      <c r="AH1322" s="131">
        <v>0</v>
      </c>
    </row>
    <row r="1323" spans="1:34">
      <c r="A1323" s="1">
        <v>0</v>
      </c>
      <c r="B1323" s="132">
        <v>0</v>
      </c>
      <c r="C1323" s="132">
        <v>0</v>
      </c>
      <c r="D1323" s="1">
        <v>0</v>
      </c>
      <c r="E1323" s="133">
        <v>0</v>
      </c>
      <c r="F1323" s="133">
        <v>0</v>
      </c>
      <c r="G1323" s="133">
        <v>0</v>
      </c>
      <c r="H1323" s="133">
        <v>0</v>
      </c>
      <c r="I1323" s="134">
        <v>0</v>
      </c>
      <c r="J1323" s="135">
        <v>0</v>
      </c>
      <c r="K1323" s="128">
        <v>0</v>
      </c>
      <c r="Q1323" s="1">
        <v>0</v>
      </c>
      <c r="T1323" s="1">
        <v>0</v>
      </c>
      <c r="V1323" s="1">
        <v>0</v>
      </c>
      <c r="W1323" s="1">
        <v>0</v>
      </c>
      <c r="AH1323" s="131">
        <v>0</v>
      </c>
    </row>
    <row r="1324" spans="1:34">
      <c r="A1324" s="1">
        <v>0</v>
      </c>
      <c r="B1324" s="132">
        <v>0</v>
      </c>
      <c r="C1324" s="132">
        <v>0</v>
      </c>
      <c r="D1324" s="1">
        <v>0</v>
      </c>
      <c r="E1324" s="133">
        <v>0</v>
      </c>
      <c r="F1324" s="133">
        <v>0</v>
      </c>
      <c r="G1324" s="133">
        <v>0</v>
      </c>
      <c r="H1324" s="133">
        <v>0</v>
      </c>
      <c r="I1324" s="134">
        <v>0</v>
      </c>
      <c r="J1324" s="135">
        <v>0</v>
      </c>
      <c r="K1324" s="128">
        <v>0</v>
      </c>
      <c r="Q1324" s="1">
        <v>0</v>
      </c>
      <c r="T1324" s="1">
        <v>0</v>
      </c>
      <c r="V1324" s="1">
        <v>0</v>
      </c>
      <c r="W1324" s="1">
        <v>0</v>
      </c>
      <c r="AH1324" s="131">
        <v>0</v>
      </c>
    </row>
    <row r="1325" spans="1:34">
      <c r="A1325" s="1">
        <v>0</v>
      </c>
      <c r="B1325" s="132">
        <v>0</v>
      </c>
      <c r="C1325" s="132">
        <v>0</v>
      </c>
      <c r="D1325" s="1">
        <v>0</v>
      </c>
      <c r="E1325" s="133">
        <v>0</v>
      </c>
      <c r="F1325" s="133">
        <v>0</v>
      </c>
      <c r="G1325" s="133">
        <v>0</v>
      </c>
      <c r="H1325" s="133">
        <v>0</v>
      </c>
      <c r="I1325" s="134">
        <v>0</v>
      </c>
      <c r="J1325" s="135">
        <v>0</v>
      </c>
      <c r="K1325" s="128">
        <v>0</v>
      </c>
      <c r="Q1325" s="1">
        <v>0</v>
      </c>
      <c r="T1325" s="1">
        <v>0</v>
      </c>
      <c r="V1325" s="1">
        <v>0</v>
      </c>
      <c r="W1325" s="1">
        <v>0</v>
      </c>
      <c r="AH1325" s="131">
        <v>0</v>
      </c>
    </row>
    <row r="1326" spans="1:34">
      <c r="A1326" s="1">
        <v>0</v>
      </c>
      <c r="B1326" s="132">
        <v>0</v>
      </c>
      <c r="C1326" s="132">
        <v>0</v>
      </c>
      <c r="D1326" s="1">
        <v>0</v>
      </c>
      <c r="E1326" s="133">
        <v>0</v>
      </c>
      <c r="F1326" s="133">
        <v>0</v>
      </c>
      <c r="G1326" s="133">
        <v>0</v>
      </c>
      <c r="H1326" s="133">
        <v>0</v>
      </c>
      <c r="I1326" s="134">
        <v>0</v>
      </c>
      <c r="J1326" s="135">
        <v>0</v>
      </c>
      <c r="K1326" s="128">
        <v>0</v>
      </c>
      <c r="Q1326" s="1">
        <v>0</v>
      </c>
      <c r="T1326" s="1">
        <v>0</v>
      </c>
      <c r="V1326" s="1">
        <v>0</v>
      </c>
      <c r="W1326" s="1">
        <v>0</v>
      </c>
      <c r="AH1326" s="131">
        <v>0</v>
      </c>
    </row>
    <row r="1327" spans="1:34">
      <c r="A1327" s="1">
        <v>0</v>
      </c>
      <c r="B1327" s="132">
        <v>0</v>
      </c>
      <c r="C1327" s="132">
        <v>0</v>
      </c>
      <c r="D1327" s="1">
        <v>0</v>
      </c>
      <c r="E1327" s="133">
        <v>0</v>
      </c>
      <c r="F1327" s="133">
        <v>0</v>
      </c>
      <c r="G1327" s="133">
        <v>0</v>
      </c>
      <c r="H1327" s="133">
        <v>0</v>
      </c>
      <c r="I1327" s="134">
        <v>0</v>
      </c>
      <c r="J1327" s="135">
        <v>0</v>
      </c>
      <c r="K1327" s="128">
        <v>0</v>
      </c>
      <c r="Q1327" s="1">
        <v>0</v>
      </c>
      <c r="T1327" s="1">
        <v>0</v>
      </c>
      <c r="V1327" s="1">
        <v>0</v>
      </c>
      <c r="W1327" s="1">
        <v>0</v>
      </c>
      <c r="AH1327" s="131">
        <v>0</v>
      </c>
    </row>
    <row r="1328" spans="1:34">
      <c r="A1328" s="1">
        <v>0</v>
      </c>
      <c r="B1328" s="132">
        <v>0</v>
      </c>
      <c r="C1328" s="132">
        <v>0</v>
      </c>
      <c r="D1328" s="1">
        <v>0</v>
      </c>
      <c r="E1328" s="133">
        <v>0</v>
      </c>
      <c r="F1328" s="133">
        <v>0</v>
      </c>
      <c r="G1328" s="133">
        <v>0</v>
      </c>
      <c r="H1328" s="133">
        <v>0</v>
      </c>
      <c r="I1328" s="134">
        <v>0</v>
      </c>
      <c r="J1328" s="135">
        <v>0</v>
      </c>
      <c r="K1328" s="128">
        <v>0</v>
      </c>
      <c r="Q1328" s="1">
        <v>0</v>
      </c>
      <c r="T1328" s="1">
        <v>0</v>
      </c>
      <c r="V1328" s="1">
        <v>0</v>
      </c>
      <c r="W1328" s="1">
        <v>0</v>
      </c>
      <c r="AH1328" s="131">
        <v>0</v>
      </c>
    </row>
    <row r="1329" spans="1:34">
      <c r="A1329" s="1">
        <v>0</v>
      </c>
      <c r="B1329" s="132">
        <v>0</v>
      </c>
      <c r="C1329" s="132">
        <v>0</v>
      </c>
      <c r="D1329" s="1">
        <v>0</v>
      </c>
      <c r="E1329" s="133">
        <v>0</v>
      </c>
      <c r="F1329" s="133">
        <v>0</v>
      </c>
      <c r="G1329" s="133">
        <v>0</v>
      </c>
      <c r="H1329" s="133">
        <v>0</v>
      </c>
      <c r="I1329" s="134">
        <v>0</v>
      </c>
      <c r="J1329" s="135">
        <v>0</v>
      </c>
      <c r="K1329" s="128">
        <v>0</v>
      </c>
      <c r="Q1329" s="1">
        <v>0</v>
      </c>
      <c r="T1329" s="1">
        <v>0</v>
      </c>
      <c r="V1329" s="1">
        <v>0</v>
      </c>
      <c r="W1329" s="1">
        <v>0</v>
      </c>
      <c r="AH1329" s="131">
        <v>0</v>
      </c>
    </row>
    <row r="1330" spans="1:34">
      <c r="A1330" s="1">
        <v>0</v>
      </c>
      <c r="B1330" s="132">
        <v>0</v>
      </c>
      <c r="C1330" s="132">
        <v>0</v>
      </c>
      <c r="D1330" s="1">
        <v>0</v>
      </c>
      <c r="E1330" s="133">
        <v>0</v>
      </c>
      <c r="F1330" s="133">
        <v>0</v>
      </c>
      <c r="G1330" s="133">
        <v>0</v>
      </c>
      <c r="H1330" s="133">
        <v>0</v>
      </c>
      <c r="I1330" s="134">
        <v>0</v>
      </c>
      <c r="J1330" s="135">
        <v>0</v>
      </c>
      <c r="K1330" s="128">
        <v>0</v>
      </c>
      <c r="Q1330" s="1">
        <v>0</v>
      </c>
      <c r="T1330" s="1">
        <v>0</v>
      </c>
      <c r="V1330" s="1">
        <v>0</v>
      </c>
      <c r="W1330" s="1">
        <v>0</v>
      </c>
      <c r="AH1330" s="131">
        <v>0</v>
      </c>
    </row>
    <row r="1331" spans="1:34">
      <c r="A1331" s="1">
        <v>0</v>
      </c>
      <c r="B1331" s="132">
        <v>0</v>
      </c>
      <c r="C1331" s="132">
        <v>0</v>
      </c>
      <c r="D1331" s="1">
        <v>0</v>
      </c>
      <c r="E1331" s="133">
        <v>0</v>
      </c>
      <c r="F1331" s="133">
        <v>0</v>
      </c>
      <c r="G1331" s="133">
        <v>0</v>
      </c>
      <c r="H1331" s="133">
        <v>0</v>
      </c>
      <c r="I1331" s="134">
        <v>0</v>
      </c>
      <c r="J1331" s="135">
        <v>0</v>
      </c>
      <c r="K1331" s="128">
        <v>0</v>
      </c>
      <c r="Q1331" s="1">
        <v>0</v>
      </c>
      <c r="T1331" s="1">
        <v>0</v>
      </c>
      <c r="V1331" s="1">
        <v>0</v>
      </c>
      <c r="W1331" s="1">
        <v>0</v>
      </c>
      <c r="AH1331" s="131">
        <v>0</v>
      </c>
    </row>
    <row r="1332" spans="1:34">
      <c r="A1332" s="1">
        <v>0</v>
      </c>
      <c r="B1332" s="132">
        <v>0</v>
      </c>
      <c r="C1332" s="132">
        <v>0</v>
      </c>
      <c r="D1332" s="1">
        <v>0</v>
      </c>
      <c r="E1332" s="133">
        <v>0</v>
      </c>
      <c r="F1332" s="133">
        <v>0</v>
      </c>
      <c r="G1332" s="133">
        <v>0</v>
      </c>
      <c r="H1332" s="133">
        <v>0</v>
      </c>
      <c r="I1332" s="134">
        <v>0</v>
      </c>
      <c r="J1332" s="135">
        <v>0</v>
      </c>
      <c r="K1332" s="128">
        <v>0</v>
      </c>
      <c r="Q1332" s="1">
        <v>0</v>
      </c>
      <c r="T1332" s="1">
        <v>0</v>
      </c>
      <c r="V1332" s="1">
        <v>0</v>
      </c>
      <c r="W1332" s="1">
        <v>0</v>
      </c>
      <c r="AH1332" s="131">
        <v>0</v>
      </c>
    </row>
    <row r="1333" spans="1:34">
      <c r="A1333" s="1">
        <v>0</v>
      </c>
      <c r="B1333" s="132">
        <v>0</v>
      </c>
      <c r="C1333" s="132">
        <v>0</v>
      </c>
      <c r="D1333" s="1">
        <v>0</v>
      </c>
      <c r="E1333" s="133">
        <v>0</v>
      </c>
      <c r="F1333" s="133">
        <v>0</v>
      </c>
      <c r="G1333" s="133">
        <v>0</v>
      </c>
      <c r="H1333" s="133">
        <v>0</v>
      </c>
      <c r="I1333" s="134">
        <v>0</v>
      </c>
      <c r="J1333" s="135">
        <v>0</v>
      </c>
      <c r="K1333" s="128">
        <v>0</v>
      </c>
      <c r="Q1333" s="1">
        <v>0</v>
      </c>
      <c r="T1333" s="1">
        <v>0</v>
      </c>
      <c r="V1333" s="1">
        <v>0</v>
      </c>
      <c r="W1333" s="1">
        <v>0</v>
      </c>
      <c r="AH1333" s="131">
        <v>0</v>
      </c>
    </row>
    <row r="1334" spans="1:34">
      <c r="A1334" s="1">
        <v>0</v>
      </c>
      <c r="B1334" s="132">
        <v>0</v>
      </c>
      <c r="C1334" s="132">
        <v>0</v>
      </c>
      <c r="D1334" s="1">
        <v>0</v>
      </c>
      <c r="E1334" s="133">
        <v>0</v>
      </c>
      <c r="F1334" s="133">
        <v>0</v>
      </c>
      <c r="G1334" s="133">
        <v>0</v>
      </c>
      <c r="H1334" s="133">
        <v>0</v>
      </c>
      <c r="I1334" s="134">
        <v>0</v>
      </c>
      <c r="J1334" s="135">
        <v>0</v>
      </c>
      <c r="K1334" s="128">
        <v>0</v>
      </c>
      <c r="Q1334" s="1">
        <v>0</v>
      </c>
      <c r="T1334" s="1">
        <v>0</v>
      </c>
      <c r="V1334" s="1">
        <v>0</v>
      </c>
      <c r="W1334" s="1">
        <v>0</v>
      </c>
      <c r="AH1334" s="131">
        <v>0</v>
      </c>
    </row>
    <row r="1335" spans="1:34">
      <c r="A1335" s="1">
        <v>0</v>
      </c>
      <c r="B1335" s="132">
        <v>0</v>
      </c>
      <c r="C1335" s="132">
        <v>0</v>
      </c>
      <c r="D1335" s="1">
        <v>0</v>
      </c>
      <c r="E1335" s="133">
        <v>0</v>
      </c>
      <c r="F1335" s="133">
        <v>0</v>
      </c>
      <c r="G1335" s="133">
        <v>0</v>
      </c>
      <c r="H1335" s="133">
        <v>0</v>
      </c>
      <c r="I1335" s="134">
        <v>0</v>
      </c>
      <c r="J1335" s="135">
        <v>0</v>
      </c>
      <c r="K1335" s="128">
        <v>0</v>
      </c>
      <c r="Q1335" s="1">
        <v>0</v>
      </c>
      <c r="T1335" s="1">
        <v>0</v>
      </c>
      <c r="V1335" s="1">
        <v>0</v>
      </c>
      <c r="W1335" s="1">
        <v>0</v>
      </c>
      <c r="AH1335" s="131">
        <v>0</v>
      </c>
    </row>
    <row r="1336" spans="1:34">
      <c r="A1336" s="1">
        <v>0</v>
      </c>
      <c r="B1336" s="132">
        <v>0</v>
      </c>
      <c r="C1336" s="132">
        <v>0</v>
      </c>
      <c r="D1336" s="1">
        <v>0</v>
      </c>
      <c r="E1336" s="133">
        <v>0</v>
      </c>
      <c r="F1336" s="133">
        <v>0</v>
      </c>
      <c r="G1336" s="133">
        <v>0</v>
      </c>
      <c r="H1336" s="133">
        <v>0</v>
      </c>
      <c r="I1336" s="134">
        <v>0</v>
      </c>
      <c r="J1336" s="135">
        <v>0</v>
      </c>
      <c r="K1336" s="128">
        <v>0</v>
      </c>
      <c r="Q1336" s="1">
        <v>0</v>
      </c>
      <c r="T1336" s="1">
        <v>0</v>
      </c>
      <c r="V1336" s="1">
        <v>0</v>
      </c>
      <c r="W1336" s="1">
        <v>0</v>
      </c>
      <c r="AH1336" s="131">
        <v>0</v>
      </c>
    </row>
    <row r="1337" spans="1:34">
      <c r="A1337" s="1">
        <v>0</v>
      </c>
      <c r="B1337" s="132">
        <v>0</v>
      </c>
      <c r="C1337" s="132">
        <v>0</v>
      </c>
      <c r="D1337" s="1">
        <v>0</v>
      </c>
      <c r="E1337" s="133">
        <v>0</v>
      </c>
      <c r="F1337" s="133">
        <v>0</v>
      </c>
      <c r="G1337" s="133">
        <v>0</v>
      </c>
      <c r="H1337" s="133">
        <v>0</v>
      </c>
      <c r="I1337" s="134">
        <v>0</v>
      </c>
      <c r="J1337" s="135">
        <v>0</v>
      </c>
      <c r="K1337" s="128">
        <v>0</v>
      </c>
      <c r="Q1337" s="1">
        <v>0</v>
      </c>
      <c r="T1337" s="1">
        <v>0</v>
      </c>
      <c r="V1337" s="1">
        <v>0</v>
      </c>
      <c r="W1337" s="1">
        <v>0</v>
      </c>
      <c r="AH1337" s="131">
        <v>0</v>
      </c>
    </row>
    <row r="1338" spans="1:34">
      <c r="A1338" s="1">
        <v>0</v>
      </c>
      <c r="B1338" s="132">
        <v>0</v>
      </c>
      <c r="C1338" s="132">
        <v>0</v>
      </c>
      <c r="D1338" s="1">
        <v>0</v>
      </c>
      <c r="E1338" s="133">
        <v>0</v>
      </c>
      <c r="F1338" s="133">
        <v>0</v>
      </c>
      <c r="G1338" s="133">
        <v>0</v>
      </c>
      <c r="H1338" s="133">
        <v>0</v>
      </c>
      <c r="I1338" s="134">
        <v>0</v>
      </c>
      <c r="J1338" s="135">
        <v>0</v>
      </c>
      <c r="K1338" s="128">
        <v>0</v>
      </c>
      <c r="Q1338" s="1">
        <v>0</v>
      </c>
      <c r="T1338" s="1">
        <v>0</v>
      </c>
      <c r="V1338" s="1">
        <v>0</v>
      </c>
      <c r="W1338" s="1">
        <v>0</v>
      </c>
      <c r="AH1338" s="131">
        <v>0</v>
      </c>
    </row>
    <row r="1339" spans="1:34">
      <c r="A1339" s="1">
        <v>0</v>
      </c>
      <c r="B1339" s="132">
        <v>0</v>
      </c>
      <c r="C1339" s="132">
        <v>0</v>
      </c>
      <c r="D1339" s="1">
        <v>0</v>
      </c>
      <c r="E1339" s="133">
        <v>0</v>
      </c>
      <c r="F1339" s="133">
        <v>0</v>
      </c>
      <c r="G1339" s="133">
        <v>0</v>
      </c>
      <c r="H1339" s="133">
        <v>0</v>
      </c>
      <c r="I1339" s="134">
        <v>0</v>
      </c>
      <c r="J1339" s="135">
        <v>0</v>
      </c>
      <c r="K1339" s="128">
        <v>0</v>
      </c>
      <c r="Q1339" s="1">
        <v>0</v>
      </c>
      <c r="T1339" s="1">
        <v>0</v>
      </c>
      <c r="V1339" s="1">
        <v>0</v>
      </c>
      <c r="W1339" s="1">
        <v>0</v>
      </c>
      <c r="AH1339" s="131">
        <v>0</v>
      </c>
    </row>
    <row r="1340" spans="1:34">
      <c r="A1340" s="1">
        <v>0</v>
      </c>
      <c r="B1340" s="132">
        <v>0</v>
      </c>
      <c r="C1340" s="132">
        <v>0</v>
      </c>
      <c r="D1340" s="1">
        <v>0</v>
      </c>
      <c r="E1340" s="133">
        <v>0</v>
      </c>
      <c r="F1340" s="133">
        <v>0</v>
      </c>
      <c r="G1340" s="133">
        <v>0</v>
      </c>
      <c r="H1340" s="133">
        <v>0</v>
      </c>
      <c r="I1340" s="134">
        <v>0</v>
      </c>
      <c r="J1340" s="135">
        <v>0</v>
      </c>
      <c r="K1340" s="128">
        <v>0</v>
      </c>
      <c r="Q1340" s="1">
        <v>0</v>
      </c>
      <c r="T1340" s="1">
        <v>0</v>
      </c>
      <c r="V1340" s="1">
        <v>0</v>
      </c>
      <c r="W1340" s="1">
        <v>0</v>
      </c>
      <c r="AH1340" s="131">
        <v>0</v>
      </c>
    </row>
    <row r="1341" spans="1:34">
      <c r="A1341" s="1">
        <v>0</v>
      </c>
      <c r="B1341" s="132">
        <v>0</v>
      </c>
      <c r="C1341" s="132">
        <v>0</v>
      </c>
      <c r="D1341" s="1">
        <v>0</v>
      </c>
      <c r="E1341" s="133">
        <v>0</v>
      </c>
      <c r="F1341" s="133">
        <v>0</v>
      </c>
      <c r="G1341" s="133">
        <v>0</v>
      </c>
      <c r="H1341" s="133">
        <v>0</v>
      </c>
      <c r="I1341" s="134">
        <v>0</v>
      </c>
      <c r="J1341" s="135">
        <v>0</v>
      </c>
      <c r="K1341" s="128">
        <v>0</v>
      </c>
      <c r="Q1341" s="1">
        <v>0</v>
      </c>
      <c r="T1341" s="1">
        <v>0</v>
      </c>
      <c r="V1341" s="1">
        <v>0</v>
      </c>
      <c r="W1341" s="1">
        <v>0</v>
      </c>
      <c r="AH1341" s="131">
        <v>0</v>
      </c>
    </row>
    <row r="1342" spans="1:34">
      <c r="A1342" s="1">
        <v>0</v>
      </c>
      <c r="B1342" s="132">
        <v>0</v>
      </c>
      <c r="C1342" s="132">
        <v>0</v>
      </c>
      <c r="D1342" s="1">
        <v>0</v>
      </c>
      <c r="E1342" s="133">
        <v>0</v>
      </c>
      <c r="F1342" s="133">
        <v>0</v>
      </c>
      <c r="G1342" s="133">
        <v>0</v>
      </c>
      <c r="H1342" s="133">
        <v>0</v>
      </c>
      <c r="I1342" s="134">
        <v>0</v>
      </c>
      <c r="J1342" s="135">
        <v>0</v>
      </c>
      <c r="K1342" s="128">
        <v>0</v>
      </c>
      <c r="Q1342" s="1">
        <v>0</v>
      </c>
      <c r="T1342" s="1">
        <v>0</v>
      </c>
      <c r="V1342" s="1">
        <v>0</v>
      </c>
      <c r="W1342" s="1">
        <v>0</v>
      </c>
      <c r="AH1342" s="131">
        <v>0</v>
      </c>
    </row>
    <row r="1343" spans="1:34">
      <c r="A1343" s="1">
        <v>0</v>
      </c>
      <c r="B1343" s="132">
        <v>0</v>
      </c>
      <c r="C1343" s="132">
        <v>0</v>
      </c>
      <c r="D1343" s="1">
        <v>0</v>
      </c>
      <c r="E1343" s="133">
        <v>0</v>
      </c>
      <c r="F1343" s="133">
        <v>0</v>
      </c>
      <c r="G1343" s="133">
        <v>0</v>
      </c>
      <c r="H1343" s="133">
        <v>0</v>
      </c>
      <c r="I1343" s="134">
        <v>0</v>
      </c>
      <c r="J1343" s="135">
        <v>0</v>
      </c>
      <c r="K1343" s="128">
        <v>0</v>
      </c>
      <c r="Q1343" s="1">
        <v>0</v>
      </c>
      <c r="T1343" s="1">
        <v>0</v>
      </c>
      <c r="V1343" s="1">
        <v>0</v>
      </c>
      <c r="W1343" s="1">
        <v>0</v>
      </c>
      <c r="AH1343" s="131">
        <v>0</v>
      </c>
    </row>
    <row r="1344" spans="1:34">
      <c r="A1344" s="1">
        <v>0</v>
      </c>
      <c r="B1344" s="132">
        <v>0</v>
      </c>
      <c r="C1344" s="132">
        <v>0</v>
      </c>
      <c r="D1344" s="1">
        <v>0</v>
      </c>
      <c r="E1344" s="133">
        <v>0</v>
      </c>
      <c r="F1344" s="133">
        <v>0</v>
      </c>
      <c r="G1344" s="133">
        <v>0</v>
      </c>
      <c r="H1344" s="133">
        <v>0</v>
      </c>
      <c r="I1344" s="134">
        <v>0</v>
      </c>
      <c r="J1344" s="135">
        <v>0</v>
      </c>
      <c r="K1344" s="128">
        <v>0</v>
      </c>
      <c r="Q1344" s="1">
        <v>0</v>
      </c>
      <c r="T1344" s="1">
        <v>0</v>
      </c>
      <c r="V1344" s="1">
        <v>0</v>
      </c>
      <c r="W1344" s="1">
        <v>0</v>
      </c>
      <c r="AH1344" s="131">
        <v>0</v>
      </c>
    </row>
    <row r="1345" spans="1:34">
      <c r="A1345" s="1">
        <v>0</v>
      </c>
      <c r="B1345" s="132">
        <v>0</v>
      </c>
      <c r="C1345" s="132">
        <v>0</v>
      </c>
      <c r="D1345" s="1">
        <v>0</v>
      </c>
      <c r="E1345" s="133">
        <v>0</v>
      </c>
      <c r="F1345" s="133">
        <v>0</v>
      </c>
      <c r="G1345" s="133">
        <v>0</v>
      </c>
      <c r="H1345" s="133">
        <v>0</v>
      </c>
      <c r="I1345" s="134">
        <v>0</v>
      </c>
      <c r="J1345" s="135">
        <v>0</v>
      </c>
      <c r="K1345" s="128">
        <v>0</v>
      </c>
      <c r="Q1345" s="1">
        <v>0</v>
      </c>
      <c r="T1345" s="1">
        <v>0</v>
      </c>
      <c r="V1345" s="1">
        <v>0</v>
      </c>
      <c r="W1345" s="1">
        <v>0</v>
      </c>
      <c r="AH1345" s="131">
        <v>0</v>
      </c>
    </row>
    <row r="1346" spans="1:34">
      <c r="A1346" s="1">
        <v>0</v>
      </c>
      <c r="B1346" s="132">
        <v>0</v>
      </c>
      <c r="C1346" s="132">
        <v>0</v>
      </c>
      <c r="D1346" s="1">
        <v>0</v>
      </c>
      <c r="E1346" s="133">
        <v>0</v>
      </c>
      <c r="F1346" s="133">
        <v>0</v>
      </c>
      <c r="G1346" s="133">
        <v>0</v>
      </c>
      <c r="H1346" s="133">
        <v>0</v>
      </c>
      <c r="I1346" s="134">
        <v>0</v>
      </c>
      <c r="J1346" s="135">
        <v>0</v>
      </c>
      <c r="K1346" s="128">
        <v>0</v>
      </c>
      <c r="Q1346" s="1">
        <v>0</v>
      </c>
      <c r="T1346" s="1">
        <v>0</v>
      </c>
      <c r="V1346" s="1">
        <v>0</v>
      </c>
      <c r="W1346" s="1">
        <v>0</v>
      </c>
      <c r="AH1346" s="131">
        <v>0</v>
      </c>
    </row>
    <row r="1347" spans="1:34">
      <c r="A1347" s="1">
        <v>0</v>
      </c>
      <c r="B1347" s="132">
        <v>0</v>
      </c>
      <c r="C1347" s="132">
        <v>0</v>
      </c>
      <c r="D1347" s="1">
        <v>0</v>
      </c>
      <c r="E1347" s="133">
        <v>0</v>
      </c>
      <c r="F1347" s="133">
        <v>0</v>
      </c>
      <c r="G1347" s="133">
        <v>0</v>
      </c>
      <c r="H1347" s="133">
        <v>0</v>
      </c>
      <c r="I1347" s="134">
        <v>0</v>
      </c>
      <c r="J1347" s="135">
        <v>0</v>
      </c>
      <c r="K1347" s="128">
        <v>0</v>
      </c>
      <c r="Q1347" s="1">
        <v>0</v>
      </c>
      <c r="T1347" s="1">
        <v>0</v>
      </c>
      <c r="V1347" s="1">
        <v>0</v>
      </c>
      <c r="W1347" s="1">
        <v>0</v>
      </c>
      <c r="AH1347" s="131">
        <v>0</v>
      </c>
    </row>
    <row r="1348" spans="1:34">
      <c r="A1348" s="1">
        <v>0</v>
      </c>
      <c r="B1348" s="132">
        <v>0</v>
      </c>
      <c r="C1348" s="132">
        <v>0</v>
      </c>
      <c r="D1348" s="1">
        <v>0</v>
      </c>
      <c r="E1348" s="133">
        <v>0</v>
      </c>
      <c r="F1348" s="133">
        <v>0</v>
      </c>
      <c r="G1348" s="133">
        <v>0</v>
      </c>
      <c r="H1348" s="133">
        <v>0</v>
      </c>
      <c r="I1348" s="134">
        <v>0</v>
      </c>
      <c r="J1348" s="135">
        <v>0</v>
      </c>
      <c r="K1348" s="128">
        <v>0</v>
      </c>
      <c r="Q1348" s="1">
        <v>0</v>
      </c>
      <c r="T1348" s="1">
        <v>0</v>
      </c>
      <c r="V1348" s="1">
        <v>0</v>
      </c>
      <c r="W1348" s="1">
        <v>0</v>
      </c>
      <c r="AH1348" s="131">
        <v>0</v>
      </c>
    </row>
    <row r="1349" spans="1:34">
      <c r="A1349" s="1">
        <v>0</v>
      </c>
      <c r="B1349" s="132">
        <v>0</v>
      </c>
      <c r="C1349" s="132">
        <v>0</v>
      </c>
      <c r="D1349" s="1">
        <v>0</v>
      </c>
      <c r="E1349" s="133">
        <v>0</v>
      </c>
      <c r="F1349" s="133">
        <v>0</v>
      </c>
      <c r="G1349" s="133">
        <v>0</v>
      </c>
      <c r="H1349" s="133">
        <v>0</v>
      </c>
      <c r="I1349" s="134">
        <v>0</v>
      </c>
      <c r="J1349" s="135">
        <v>0</v>
      </c>
      <c r="K1349" s="128">
        <v>0</v>
      </c>
      <c r="Q1349" s="1">
        <v>0</v>
      </c>
      <c r="T1349" s="1">
        <v>0</v>
      </c>
      <c r="V1349" s="1">
        <v>0</v>
      </c>
      <c r="W1349" s="1">
        <v>0</v>
      </c>
      <c r="AH1349" s="131">
        <v>0</v>
      </c>
    </row>
    <row r="1350" spans="1:34">
      <c r="A1350" s="1">
        <v>0</v>
      </c>
      <c r="B1350" s="132">
        <v>0</v>
      </c>
      <c r="C1350" s="132">
        <v>0</v>
      </c>
      <c r="D1350" s="1">
        <v>0</v>
      </c>
      <c r="E1350" s="133">
        <v>0</v>
      </c>
      <c r="F1350" s="133">
        <v>0</v>
      </c>
      <c r="G1350" s="133">
        <v>0</v>
      </c>
      <c r="H1350" s="133">
        <v>0</v>
      </c>
      <c r="I1350" s="134">
        <v>0</v>
      </c>
      <c r="J1350" s="135">
        <v>0</v>
      </c>
      <c r="K1350" s="128">
        <v>0</v>
      </c>
      <c r="Q1350" s="1">
        <v>0</v>
      </c>
      <c r="T1350" s="1">
        <v>0</v>
      </c>
      <c r="V1350" s="1">
        <v>0</v>
      </c>
      <c r="W1350" s="1">
        <v>0</v>
      </c>
      <c r="AH1350" s="131">
        <v>0</v>
      </c>
    </row>
    <row r="1351" spans="1:34">
      <c r="A1351" s="1">
        <v>0</v>
      </c>
      <c r="B1351" s="132">
        <v>0</v>
      </c>
      <c r="C1351" s="132">
        <v>0</v>
      </c>
      <c r="D1351" s="1">
        <v>0</v>
      </c>
      <c r="E1351" s="133">
        <v>0</v>
      </c>
      <c r="F1351" s="133">
        <v>0</v>
      </c>
      <c r="G1351" s="133">
        <v>0</v>
      </c>
      <c r="H1351" s="133">
        <v>0</v>
      </c>
      <c r="I1351" s="134">
        <v>0</v>
      </c>
      <c r="J1351" s="135">
        <v>0</v>
      </c>
      <c r="K1351" s="128">
        <v>0</v>
      </c>
      <c r="Q1351" s="1">
        <v>0</v>
      </c>
      <c r="T1351" s="1">
        <v>0</v>
      </c>
      <c r="V1351" s="1">
        <v>0</v>
      </c>
      <c r="W1351" s="1">
        <v>0</v>
      </c>
      <c r="AH1351" s="131">
        <v>0</v>
      </c>
    </row>
    <row r="1352" spans="1:34">
      <c r="A1352" s="1">
        <v>0</v>
      </c>
      <c r="B1352" s="132">
        <v>0</v>
      </c>
      <c r="C1352" s="132">
        <v>0</v>
      </c>
      <c r="D1352" s="1">
        <v>0</v>
      </c>
      <c r="E1352" s="133">
        <v>0</v>
      </c>
      <c r="F1352" s="133">
        <v>0</v>
      </c>
      <c r="G1352" s="133">
        <v>0</v>
      </c>
      <c r="H1352" s="133">
        <v>0</v>
      </c>
      <c r="I1352" s="134">
        <v>0</v>
      </c>
      <c r="J1352" s="135">
        <v>0</v>
      </c>
      <c r="K1352" s="128">
        <v>0</v>
      </c>
      <c r="Q1352" s="1">
        <v>0</v>
      </c>
      <c r="T1352" s="1">
        <v>0</v>
      </c>
      <c r="V1352" s="1">
        <v>0</v>
      </c>
      <c r="W1352" s="1">
        <v>0</v>
      </c>
      <c r="AH1352" s="131">
        <v>0</v>
      </c>
    </row>
    <row r="1353" spans="1:34">
      <c r="A1353" s="1">
        <v>0</v>
      </c>
      <c r="B1353" s="132">
        <v>0</v>
      </c>
      <c r="C1353" s="132">
        <v>0</v>
      </c>
      <c r="D1353" s="1">
        <v>0</v>
      </c>
      <c r="E1353" s="133">
        <v>0</v>
      </c>
      <c r="F1353" s="133">
        <v>0</v>
      </c>
      <c r="G1353" s="133">
        <v>0</v>
      </c>
      <c r="H1353" s="133">
        <v>0</v>
      </c>
      <c r="I1353" s="134">
        <v>0</v>
      </c>
      <c r="J1353" s="135">
        <v>0</v>
      </c>
      <c r="K1353" s="128">
        <v>0</v>
      </c>
      <c r="Q1353" s="1">
        <v>0</v>
      </c>
      <c r="T1353" s="1">
        <v>0</v>
      </c>
      <c r="V1353" s="1">
        <v>0</v>
      </c>
      <c r="W1353" s="1">
        <v>0</v>
      </c>
      <c r="AH1353" s="131">
        <v>0</v>
      </c>
    </row>
    <row r="1354" spans="1:34">
      <c r="A1354" s="1">
        <v>0</v>
      </c>
      <c r="B1354" s="132">
        <v>0</v>
      </c>
      <c r="C1354" s="132">
        <v>0</v>
      </c>
      <c r="D1354" s="1">
        <v>0</v>
      </c>
      <c r="E1354" s="133">
        <v>0</v>
      </c>
      <c r="F1354" s="133">
        <v>0</v>
      </c>
      <c r="G1354" s="133">
        <v>0</v>
      </c>
      <c r="H1354" s="133">
        <v>0</v>
      </c>
      <c r="I1354" s="134">
        <v>0</v>
      </c>
      <c r="J1354" s="135">
        <v>0</v>
      </c>
      <c r="K1354" s="128">
        <v>0</v>
      </c>
      <c r="Q1354" s="1">
        <v>0</v>
      </c>
      <c r="T1354" s="1">
        <v>0</v>
      </c>
      <c r="V1354" s="1">
        <v>0</v>
      </c>
      <c r="W1354" s="1">
        <v>0</v>
      </c>
      <c r="AH1354" s="131">
        <v>0</v>
      </c>
    </row>
    <row r="1355" spans="1:34">
      <c r="A1355" s="1">
        <v>0</v>
      </c>
      <c r="B1355" s="132">
        <v>0</v>
      </c>
      <c r="C1355" s="132">
        <v>0</v>
      </c>
      <c r="D1355" s="1">
        <v>0</v>
      </c>
      <c r="E1355" s="133">
        <v>0</v>
      </c>
      <c r="F1355" s="133">
        <v>0</v>
      </c>
      <c r="G1355" s="133">
        <v>0</v>
      </c>
      <c r="H1355" s="133">
        <v>0</v>
      </c>
      <c r="I1355" s="134">
        <v>0</v>
      </c>
      <c r="J1355" s="135">
        <v>0</v>
      </c>
      <c r="K1355" s="128">
        <v>0</v>
      </c>
      <c r="Q1355" s="1">
        <v>0</v>
      </c>
      <c r="T1355" s="1">
        <v>0</v>
      </c>
      <c r="V1355" s="1">
        <v>0</v>
      </c>
      <c r="W1355" s="1">
        <v>0</v>
      </c>
      <c r="AH1355" s="131">
        <v>0</v>
      </c>
    </row>
    <row r="1356" spans="1:34">
      <c r="A1356" s="1">
        <v>0</v>
      </c>
      <c r="B1356" s="132">
        <v>0</v>
      </c>
      <c r="C1356" s="132">
        <v>0</v>
      </c>
      <c r="D1356" s="1">
        <v>0</v>
      </c>
      <c r="E1356" s="133">
        <v>0</v>
      </c>
      <c r="F1356" s="133">
        <v>0</v>
      </c>
      <c r="G1356" s="133">
        <v>0</v>
      </c>
      <c r="H1356" s="133">
        <v>0</v>
      </c>
      <c r="I1356" s="134">
        <v>0</v>
      </c>
      <c r="J1356" s="135">
        <v>0</v>
      </c>
      <c r="K1356" s="128">
        <v>0</v>
      </c>
      <c r="Q1356" s="1">
        <v>0</v>
      </c>
      <c r="T1356" s="1">
        <v>0</v>
      </c>
      <c r="V1356" s="1">
        <v>0</v>
      </c>
      <c r="W1356" s="1">
        <v>0</v>
      </c>
      <c r="AH1356" s="131">
        <v>0</v>
      </c>
    </row>
    <row r="1357" spans="1:34">
      <c r="A1357" s="1">
        <v>0</v>
      </c>
      <c r="B1357" s="132">
        <v>0</v>
      </c>
      <c r="C1357" s="132">
        <v>0</v>
      </c>
      <c r="D1357" s="1">
        <v>0</v>
      </c>
      <c r="E1357" s="133">
        <v>0</v>
      </c>
      <c r="F1357" s="133">
        <v>0</v>
      </c>
      <c r="G1357" s="133">
        <v>0</v>
      </c>
      <c r="H1357" s="133">
        <v>0</v>
      </c>
      <c r="I1357" s="134">
        <v>0</v>
      </c>
      <c r="J1357" s="135">
        <v>0</v>
      </c>
      <c r="K1357" s="128">
        <v>0</v>
      </c>
      <c r="Q1357" s="1">
        <v>0</v>
      </c>
      <c r="T1357" s="1">
        <v>0</v>
      </c>
      <c r="V1357" s="1">
        <v>0</v>
      </c>
      <c r="W1357" s="1">
        <v>0</v>
      </c>
      <c r="AH1357" s="131">
        <v>0</v>
      </c>
    </row>
    <row r="1358" spans="1:34">
      <c r="A1358" s="1">
        <v>0</v>
      </c>
      <c r="B1358" s="132">
        <v>0</v>
      </c>
      <c r="C1358" s="132">
        <v>0</v>
      </c>
      <c r="D1358" s="1">
        <v>0</v>
      </c>
      <c r="E1358" s="133">
        <v>0</v>
      </c>
      <c r="F1358" s="133">
        <v>0</v>
      </c>
      <c r="G1358" s="133">
        <v>0</v>
      </c>
      <c r="H1358" s="133">
        <v>0</v>
      </c>
      <c r="I1358" s="134">
        <v>0</v>
      </c>
      <c r="J1358" s="135">
        <v>0</v>
      </c>
      <c r="K1358" s="128">
        <v>0</v>
      </c>
      <c r="Q1358" s="1">
        <v>0</v>
      </c>
      <c r="T1358" s="1">
        <v>0</v>
      </c>
      <c r="V1358" s="1">
        <v>0</v>
      </c>
      <c r="W1358" s="1">
        <v>0</v>
      </c>
      <c r="AH1358" s="131">
        <v>0</v>
      </c>
    </row>
    <row r="1359" spans="1:34">
      <c r="A1359" s="1">
        <v>0</v>
      </c>
      <c r="B1359" s="132">
        <v>0</v>
      </c>
      <c r="C1359" s="132">
        <v>0</v>
      </c>
      <c r="D1359" s="1">
        <v>0</v>
      </c>
      <c r="E1359" s="133">
        <v>0</v>
      </c>
      <c r="F1359" s="133">
        <v>0</v>
      </c>
      <c r="G1359" s="133">
        <v>0</v>
      </c>
      <c r="H1359" s="133">
        <v>0</v>
      </c>
      <c r="I1359" s="134">
        <v>0</v>
      </c>
      <c r="J1359" s="135">
        <v>0</v>
      </c>
      <c r="K1359" s="128">
        <v>0</v>
      </c>
      <c r="Q1359" s="1">
        <v>0</v>
      </c>
      <c r="T1359" s="1">
        <v>0</v>
      </c>
      <c r="V1359" s="1">
        <v>0</v>
      </c>
      <c r="W1359" s="1">
        <v>0</v>
      </c>
      <c r="AH1359" s="131">
        <v>0</v>
      </c>
    </row>
    <row r="1360" spans="1:34">
      <c r="A1360" s="1">
        <v>0</v>
      </c>
      <c r="B1360" s="132">
        <v>0</v>
      </c>
      <c r="C1360" s="132">
        <v>0</v>
      </c>
      <c r="D1360" s="1">
        <v>0</v>
      </c>
      <c r="E1360" s="133">
        <v>0</v>
      </c>
      <c r="F1360" s="133">
        <v>0</v>
      </c>
      <c r="G1360" s="133">
        <v>0</v>
      </c>
      <c r="H1360" s="133">
        <v>0</v>
      </c>
      <c r="I1360" s="134">
        <v>0</v>
      </c>
      <c r="J1360" s="135">
        <v>0</v>
      </c>
      <c r="K1360" s="128">
        <v>0</v>
      </c>
      <c r="Q1360" s="1">
        <v>0</v>
      </c>
      <c r="T1360" s="1">
        <v>0</v>
      </c>
      <c r="V1360" s="1">
        <v>0</v>
      </c>
      <c r="W1360" s="1">
        <v>0</v>
      </c>
      <c r="AH1360" s="131">
        <v>0</v>
      </c>
    </row>
    <row r="1361" spans="1:34">
      <c r="A1361" s="1">
        <v>0</v>
      </c>
      <c r="B1361" s="132">
        <v>0</v>
      </c>
      <c r="C1361" s="132">
        <v>0</v>
      </c>
      <c r="D1361" s="1">
        <v>0</v>
      </c>
      <c r="E1361" s="133">
        <v>0</v>
      </c>
      <c r="F1361" s="133">
        <v>0</v>
      </c>
      <c r="G1361" s="133">
        <v>0</v>
      </c>
      <c r="H1361" s="133">
        <v>0</v>
      </c>
      <c r="I1361" s="134">
        <v>0</v>
      </c>
      <c r="J1361" s="135">
        <v>0</v>
      </c>
      <c r="K1361" s="128">
        <v>0</v>
      </c>
      <c r="Q1361" s="1">
        <v>0</v>
      </c>
      <c r="T1361" s="1">
        <v>0</v>
      </c>
      <c r="V1361" s="1">
        <v>0</v>
      </c>
      <c r="W1361" s="1">
        <v>0</v>
      </c>
      <c r="AH1361" s="131">
        <v>0</v>
      </c>
    </row>
    <row r="1362" spans="1:34">
      <c r="A1362" s="1">
        <v>0</v>
      </c>
      <c r="B1362" s="132">
        <v>0</v>
      </c>
      <c r="C1362" s="132">
        <v>0</v>
      </c>
      <c r="D1362" s="1">
        <v>0</v>
      </c>
      <c r="E1362" s="133">
        <v>0</v>
      </c>
      <c r="F1362" s="133">
        <v>0</v>
      </c>
      <c r="G1362" s="133">
        <v>0</v>
      </c>
      <c r="H1362" s="133">
        <v>0</v>
      </c>
      <c r="I1362" s="134">
        <v>0</v>
      </c>
      <c r="J1362" s="135">
        <v>0</v>
      </c>
      <c r="K1362" s="128">
        <v>0</v>
      </c>
      <c r="Q1362" s="1">
        <v>0</v>
      </c>
      <c r="T1362" s="1">
        <v>0</v>
      </c>
      <c r="V1362" s="1">
        <v>0</v>
      </c>
      <c r="W1362" s="1">
        <v>0</v>
      </c>
      <c r="AH1362" s="131">
        <v>0</v>
      </c>
    </row>
    <row r="1363" spans="1:34">
      <c r="A1363" s="1">
        <v>0</v>
      </c>
      <c r="B1363" s="132">
        <v>0</v>
      </c>
      <c r="C1363" s="132">
        <v>0</v>
      </c>
      <c r="D1363" s="1">
        <v>0</v>
      </c>
      <c r="E1363" s="133">
        <v>0</v>
      </c>
      <c r="F1363" s="133">
        <v>0</v>
      </c>
      <c r="G1363" s="133">
        <v>0</v>
      </c>
      <c r="H1363" s="133">
        <v>0</v>
      </c>
      <c r="I1363" s="134">
        <v>0</v>
      </c>
      <c r="J1363" s="135">
        <v>0</v>
      </c>
      <c r="K1363" s="128">
        <v>0</v>
      </c>
      <c r="Q1363" s="1">
        <v>0</v>
      </c>
      <c r="T1363" s="1">
        <v>0</v>
      </c>
      <c r="V1363" s="1">
        <v>0</v>
      </c>
      <c r="W1363" s="1">
        <v>0</v>
      </c>
      <c r="AH1363" s="131">
        <v>0</v>
      </c>
    </row>
    <row r="1364" spans="1:34">
      <c r="A1364" s="1">
        <v>0</v>
      </c>
      <c r="B1364" s="132">
        <v>0</v>
      </c>
      <c r="C1364" s="132">
        <v>0</v>
      </c>
      <c r="D1364" s="1">
        <v>0</v>
      </c>
      <c r="E1364" s="133">
        <v>0</v>
      </c>
      <c r="F1364" s="133">
        <v>0</v>
      </c>
      <c r="G1364" s="133">
        <v>0</v>
      </c>
      <c r="H1364" s="133">
        <v>0</v>
      </c>
      <c r="I1364" s="134">
        <v>0</v>
      </c>
      <c r="J1364" s="135">
        <v>0</v>
      </c>
      <c r="K1364" s="128">
        <v>0</v>
      </c>
      <c r="Q1364" s="1">
        <v>0</v>
      </c>
      <c r="T1364" s="1">
        <v>0</v>
      </c>
      <c r="V1364" s="1">
        <v>0</v>
      </c>
      <c r="W1364" s="1">
        <v>0</v>
      </c>
      <c r="AH1364" s="131">
        <v>0</v>
      </c>
    </row>
    <row r="1365" spans="1:34">
      <c r="A1365" s="1">
        <v>0</v>
      </c>
      <c r="B1365" s="132">
        <v>0</v>
      </c>
      <c r="C1365" s="132">
        <v>0</v>
      </c>
      <c r="D1365" s="1">
        <v>0</v>
      </c>
      <c r="E1365" s="133">
        <v>0</v>
      </c>
      <c r="F1365" s="133">
        <v>0</v>
      </c>
      <c r="G1365" s="133">
        <v>0</v>
      </c>
      <c r="H1365" s="133">
        <v>0</v>
      </c>
      <c r="I1365" s="134">
        <v>0</v>
      </c>
      <c r="J1365" s="135">
        <v>0</v>
      </c>
      <c r="K1365" s="128">
        <v>0</v>
      </c>
      <c r="Q1365" s="1">
        <v>0</v>
      </c>
      <c r="T1365" s="1">
        <v>0</v>
      </c>
      <c r="V1365" s="1">
        <v>0</v>
      </c>
      <c r="W1365" s="1">
        <v>0</v>
      </c>
      <c r="AH1365" s="131">
        <v>0</v>
      </c>
    </row>
    <row r="1366" spans="1:34">
      <c r="A1366" s="1">
        <v>0</v>
      </c>
      <c r="B1366" s="132">
        <v>0</v>
      </c>
      <c r="C1366" s="132">
        <v>0</v>
      </c>
      <c r="D1366" s="1">
        <v>0</v>
      </c>
      <c r="E1366" s="133">
        <v>0</v>
      </c>
      <c r="F1366" s="133">
        <v>0</v>
      </c>
      <c r="G1366" s="133">
        <v>0</v>
      </c>
      <c r="H1366" s="133">
        <v>0</v>
      </c>
      <c r="I1366" s="134">
        <v>0</v>
      </c>
      <c r="J1366" s="135">
        <v>0</v>
      </c>
      <c r="K1366" s="128">
        <v>0</v>
      </c>
      <c r="Q1366" s="1">
        <v>0</v>
      </c>
      <c r="T1366" s="1">
        <v>0</v>
      </c>
      <c r="V1366" s="1">
        <v>0</v>
      </c>
      <c r="W1366" s="1">
        <v>0</v>
      </c>
      <c r="AH1366" s="131">
        <v>0</v>
      </c>
    </row>
    <row r="1367" spans="1:34">
      <c r="A1367" s="1">
        <v>0</v>
      </c>
      <c r="B1367" s="132">
        <v>0</v>
      </c>
      <c r="C1367" s="132">
        <v>0</v>
      </c>
      <c r="D1367" s="1">
        <v>0</v>
      </c>
      <c r="E1367" s="133">
        <v>0</v>
      </c>
      <c r="F1367" s="133">
        <v>0</v>
      </c>
      <c r="G1367" s="133">
        <v>0</v>
      </c>
      <c r="H1367" s="133">
        <v>0</v>
      </c>
      <c r="I1367" s="134">
        <v>0</v>
      </c>
      <c r="J1367" s="135">
        <v>0</v>
      </c>
      <c r="K1367" s="128">
        <v>0</v>
      </c>
      <c r="Q1367" s="1">
        <v>0</v>
      </c>
      <c r="T1367" s="1">
        <v>0</v>
      </c>
      <c r="V1367" s="1">
        <v>0</v>
      </c>
      <c r="W1367" s="1">
        <v>0</v>
      </c>
      <c r="AH1367" s="131">
        <v>0</v>
      </c>
    </row>
    <row r="1368" spans="1:34">
      <c r="A1368" s="1">
        <v>0</v>
      </c>
      <c r="B1368" s="132">
        <v>0</v>
      </c>
      <c r="C1368" s="132">
        <v>0</v>
      </c>
      <c r="D1368" s="1">
        <v>0</v>
      </c>
      <c r="E1368" s="133">
        <v>0</v>
      </c>
      <c r="F1368" s="133">
        <v>0</v>
      </c>
      <c r="G1368" s="133">
        <v>0</v>
      </c>
      <c r="H1368" s="133">
        <v>0</v>
      </c>
      <c r="I1368" s="134">
        <v>0</v>
      </c>
      <c r="J1368" s="135">
        <v>0</v>
      </c>
      <c r="K1368" s="128">
        <v>0</v>
      </c>
      <c r="Q1368" s="1">
        <v>0</v>
      </c>
      <c r="T1368" s="1">
        <v>0</v>
      </c>
      <c r="V1368" s="1">
        <v>0</v>
      </c>
      <c r="W1368" s="1">
        <v>0</v>
      </c>
      <c r="AH1368" s="131">
        <v>0</v>
      </c>
    </row>
    <row r="1369" spans="1:34">
      <c r="A1369" s="1">
        <v>0</v>
      </c>
      <c r="B1369" s="132">
        <v>0</v>
      </c>
      <c r="C1369" s="132">
        <v>0</v>
      </c>
      <c r="D1369" s="1">
        <v>0</v>
      </c>
      <c r="E1369" s="133">
        <v>0</v>
      </c>
      <c r="F1369" s="133">
        <v>0</v>
      </c>
      <c r="G1369" s="133">
        <v>0</v>
      </c>
      <c r="H1369" s="133">
        <v>0</v>
      </c>
      <c r="I1369" s="134">
        <v>0</v>
      </c>
      <c r="J1369" s="135">
        <v>0</v>
      </c>
      <c r="K1369" s="128">
        <v>0</v>
      </c>
      <c r="Q1369" s="1">
        <v>0</v>
      </c>
      <c r="T1369" s="1">
        <v>0</v>
      </c>
      <c r="V1369" s="1">
        <v>0</v>
      </c>
      <c r="W1369" s="1">
        <v>0</v>
      </c>
      <c r="AH1369" s="131">
        <v>0</v>
      </c>
    </row>
    <row r="1370" spans="1:34">
      <c r="A1370" s="1">
        <v>0</v>
      </c>
      <c r="B1370" s="132">
        <v>0</v>
      </c>
      <c r="C1370" s="132">
        <v>0</v>
      </c>
      <c r="D1370" s="1">
        <v>0</v>
      </c>
      <c r="E1370" s="133">
        <v>0</v>
      </c>
      <c r="F1370" s="133">
        <v>0</v>
      </c>
      <c r="G1370" s="133">
        <v>0</v>
      </c>
      <c r="H1370" s="133">
        <v>0</v>
      </c>
      <c r="I1370" s="134">
        <v>0</v>
      </c>
      <c r="J1370" s="135">
        <v>0</v>
      </c>
      <c r="K1370" s="128">
        <v>0</v>
      </c>
      <c r="Q1370" s="1">
        <v>0</v>
      </c>
      <c r="T1370" s="1">
        <v>0</v>
      </c>
      <c r="V1370" s="1">
        <v>0</v>
      </c>
      <c r="W1370" s="1">
        <v>0</v>
      </c>
      <c r="AH1370" s="131">
        <v>0</v>
      </c>
    </row>
    <row r="1371" spans="1:34">
      <c r="A1371" s="1">
        <v>0</v>
      </c>
      <c r="B1371" s="132">
        <v>0</v>
      </c>
      <c r="C1371" s="132">
        <v>0</v>
      </c>
      <c r="D1371" s="1">
        <v>0</v>
      </c>
      <c r="E1371" s="133">
        <v>0</v>
      </c>
      <c r="F1371" s="133">
        <v>0</v>
      </c>
      <c r="G1371" s="133">
        <v>0</v>
      </c>
      <c r="H1371" s="133">
        <v>0</v>
      </c>
      <c r="I1371" s="134">
        <v>0</v>
      </c>
      <c r="J1371" s="135">
        <v>0</v>
      </c>
      <c r="K1371" s="128">
        <v>0</v>
      </c>
      <c r="Q1371" s="1">
        <v>0</v>
      </c>
      <c r="T1371" s="1">
        <v>0</v>
      </c>
      <c r="V1371" s="1">
        <v>0</v>
      </c>
      <c r="W1371" s="1">
        <v>0</v>
      </c>
      <c r="AH1371" s="131">
        <v>0</v>
      </c>
    </row>
    <row r="1372" spans="1:34">
      <c r="A1372" s="1">
        <v>0</v>
      </c>
      <c r="B1372" s="132">
        <v>0</v>
      </c>
      <c r="C1372" s="132">
        <v>0</v>
      </c>
      <c r="D1372" s="1">
        <v>0</v>
      </c>
      <c r="E1372" s="133">
        <v>0</v>
      </c>
      <c r="F1372" s="133">
        <v>0</v>
      </c>
      <c r="G1372" s="133">
        <v>0</v>
      </c>
      <c r="H1372" s="133">
        <v>0</v>
      </c>
      <c r="I1372" s="134">
        <v>0</v>
      </c>
      <c r="J1372" s="135">
        <v>0</v>
      </c>
      <c r="K1372" s="128">
        <v>0</v>
      </c>
      <c r="Q1372" s="1">
        <v>0</v>
      </c>
      <c r="T1372" s="1">
        <v>0</v>
      </c>
      <c r="V1372" s="1">
        <v>0</v>
      </c>
      <c r="W1372" s="1">
        <v>0</v>
      </c>
      <c r="AH1372" s="131">
        <v>0</v>
      </c>
    </row>
    <row r="1373" spans="1:34">
      <c r="A1373" s="1">
        <v>0</v>
      </c>
      <c r="B1373" s="132">
        <v>0</v>
      </c>
      <c r="C1373" s="132">
        <v>0</v>
      </c>
      <c r="D1373" s="1">
        <v>0</v>
      </c>
      <c r="E1373" s="133">
        <v>0</v>
      </c>
      <c r="F1373" s="133">
        <v>0</v>
      </c>
      <c r="G1373" s="133">
        <v>0</v>
      </c>
      <c r="H1373" s="133">
        <v>0</v>
      </c>
      <c r="I1373" s="134">
        <v>0</v>
      </c>
      <c r="J1373" s="135">
        <v>0</v>
      </c>
      <c r="K1373" s="128">
        <v>0</v>
      </c>
      <c r="Q1373" s="1">
        <v>0</v>
      </c>
      <c r="T1373" s="1">
        <v>0</v>
      </c>
      <c r="V1373" s="1">
        <v>0</v>
      </c>
      <c r="W1373" s="1">
        <v>0</v>
      </c>
      <c r="AH1373" s="131">
        <v>0</v>
      </c>
    </row>
    <row r="1374" spans="1:34">
      <c r="A1374" s="1">
        <v>0</v>
      </c>
      <c r="B1374" s="132">
        <v>0</v>
      </c>
      <c r="C1374" s="132">
        <v>0</v>
      </c>
      <c r="D1374" s="1">
        <v>0</v>
      </c>
      <c r="E1374" s="133">
        <v>0</v>
      </c>
      <c r="F1374" s="133">
        <v>0</v>
      </c>
      <c r="G1374" s="133">
        <v>0</v>
      </c>
      <c r="H1374" s="133">
        <v>0</v>
      </c>
      <c r="I1374" s="134">
        <v>0</v>
      </c>
      <c r="J1374" s="135">
        <v>0</v>
      </c>
      <c r="K1374" s="128">
        <v>0</v>
      </c>
      <c r="Q1374" s="1">
        <v>0</v>
      </c>
      <c r="T1374" s="1">
        <v>0</v>
      </c>
      <c r="V1374" s="1">
        <v>0</v>
      </c>
      <c r="W1374" s="1">
        <v>0</v>
      </c>
      <c r="AH1374" s="131">
        <v>0</v>
      </c>
    </row>
    <row r="1375" spans="1:34">
      <c r="A1375" s="1">
        <v>0</v>
      </c>
      <c r="B1375" s="132">
        <v>0</v>
      </c>
      <c r="C1375" s="132">
        <v>0</v>
      </c>
      <c r="D1375" s="1">
        <v>0</v>
      </c>
      <c r="E1375" s="133">
        <v>0</v>
      </c>
      <c r="F1375" s="133">
        <v>0</v>
      </c>
      <c r="G1375" s="133">
        <v>0</v>
      </c>
      <c r="H1375" s="133">
        <v>0</v>
      </c>
      <c r="I1375" s="134">
        <v>0</v>
      </c>
      <c r="J1375" s="135">
        <v>0</v>
      </c>
      <c r="K1375" s="128">
        <v>0</v>
      </c>
      <c r="Q1375" s="1">
        <v>0</v>
      </c>
      <c r="T1375" s="1">
        <v>0</v>
      </c>
      <c r="V1375" s="1">
        <v>0</v>
      </c>
      <c r="W1375" s="1">
        <v>0</v>
      </c>
      <c r="AH1375" s="131">
        <v>0</v>
      </c>
    </row>
    <row r="1376" spans="1:34">
      <c r="A1376" s="1">
        <v>0</v>
      </c>
      <c r="B1376" s="132">
        <v>0</v>
      </c>
      <c r="C1376" s="132">
        <v>0</v>
      </c>
      <c r="D1376" s="1">
        <v>0</v>
      </c>
      <c r="E1376" s="133">
        <v>0</v>
      </c>
      <c r="F1376" s="133">
        <v>0</v>
      </c>
      <c r="G1376" s="133">
        <v>0</v>
      </c>
      <c r="H1376" s="133">
        <v>0</v>
      </c>
      <c r="I1376" s="134">
        <v>0</v>
      </c>
      <c r="J1376" s="135">
        <v>0</v>
      </c>
      <c r="K1376" s="128">
        <v>0</v>
      </c>
      <c r="Q1376" s="1">
        <v>0</v>
      </c>
      <c r="T1376" s="1">
        <v>0</v>
      </c>
      <c r="V1376" s="1">
        <v>0</v>
      </c>
      <c r="W1376" s="1">
        <v>0</v>
      </c>
      <c r="AH1376" s="131">
        <v>0</v>
      </c>
    </row>
    <row r="1377" spans="1:34">
      <c r="A1377" s="1">
        <v>0</v>
      </c>
      <c r="B1377" s="132">
        <v>0</v>
      </c>
      <c r="C1377" s="132">
        <v>0</v>
      </c>
      <c r="D1377" s="1">
        <v>0</v>
      </c>
      <c r="E1377" s="133">
        <v>0</v>
      </c>
      <c r="F1377" s="133">
        <v>0</v>
      </c>
      <c r="G1377" s="133">
        <v>0</v>
      </c>
      <c r="H1377" s="133">
        <v>0</v>
      </c>
      <c r="I1377" s="134">
        <v>0</v>
      </c>
      <c r="J1377" s="135">
        <v>0</v>
      </c>
      <c r="K1377" s="128">
        <v>0</v>
      </c>
      <c r="Q1377" s="1">
        <v>0</v>
      </c>
      <c r="T1377" s="1">
        <v>0</v>
      </c>
      <c r="V1377" s="1">
        <v>0</v>
      </c>
      <c r="W1377" s="1">
        <v>0</v>
      </c>
      <c r="AH1377" s="131">
        <v>0</v>
      </c>
    </row>
    <row r="1378" spans="1:34">
      <c r="A1378" s="1">
        <v>0</v>
      </c>
      <c r="B1378" s="132">
        <v>0</v>
      </c>
      <c r="C1378" s="132">
        <v>0</v>
      </c>
      <c r="D1378" s="1">
        <v>0</v>
      </c>
      <c r="E1378" s="133">
        <v>0</v>
      </c>
      <c r="F1378" s="133">
        <v>0</v>
      </c>
      <c r="G1378" s="133">
        <v>0</v>
      </c>
      <c r="H1378" s="133">
        <v>0</v>
      </c>
      <c r="I1378" s="134">
        <v>0</v>
      </c>
      <c r="J1378" s="135">
        <v>0</v>
      </c>
      <c r="K1378" s="128">
        <v>0</v>
      </c>
      <c r="Q1378" s="1">
        <v>0</v>
      </c>
      <c r="T1378" s="1">
        <v>0</v>
      </c>
      <c r="V1378" s="1">
        <v>0</v>
      </c>
      <c r="W1378" s="1">
        <v>0</v>
      </c>
      <c r="AH1378" s="131">
        <v>0</v>
      </c>
    </row>
    <row r="1379" spans="1:34">
      <c r="A1379" s="1">
        <v>0</v>
      </c>
      <c r="B1379" s="132">
        <v>0</v>
      </c>
      <c r="C1379" s="132">
        <v>0</v>
      </c>
      <c r="D1379" s="1">
        <v>0</v>
      </c>
      <c r="E1379" s="133">
        <v>0</v>
      </c>
      <c r="F1379" s="133">
        <v>0</v>
      </c>
      <c r="G1379" s="133">
        <v>0</v>
      </c>
      <c r="H1379" s="133">
        <v>0</v>
      </c>
      <c r="I1379" s="134">
        <v>0</v>
      </c>
      <c r="J1379" s="135">
        <v>0</v>
      </c>
      <c r="K1379" s="128">
        <v>0</v>
      </c>
      <c r="Q1379" s="1">
        <v>0</v>
      </c>
      <c r="T1379" s="1">
        <v>0</v>
      </c>
      <c r="V1379" s="1">
        <v>0</v>
      </c>
      <c r="W1379" s="1">
        <v>0</v>
      </c>
      <c r="AH1379" s="131">
        <v>0</v>
      </c>
    </row>
    <row r="1380" spans="1:34">
      <c r="A1380" s="1">
        <v>0</v>
      </c>
      <c r="B1380" s="132">
        <v>0</v>
      </c>
      <c r="C1380" s="132">
        <v>0</v>
      </c>
      <c r="D1380" s="1">
        <v>0</v>
      </c>
      <c r="E1380" s="133">
        <v>0</v>
      </c>
      <c r="F1380" s="133">
        <v>0</v>
      </c>
      <c r="G1380" s="133">
        <v>0</v>
      </c>
      <c r="H1380" s="133">
        <v>0</v>
      </c>
      <c r="I1380" s="134">
        <v>0</v>
      </c>
      <c r="J1380" s="135">
        <v>0</v>
      </c>
      <c r="K1380" s="128">
        <v>0</v>
      </c>
      <c r="Q1380" s="1">
        <v>0</v>
      </c>
      <c r="T1380" s="1">
        <v>0</v>
      </c>
      <c r="V1380" s="1">
        <v>0</v>
      </c>
      <c r="W1380" s="1">
        <v>0</v>
      </c>
      <c r="AH1380" s="131">
        <v>0</v>
      </c>
    </row>
    <row r="1381" spans="1:34">
      <c r="A1381" s="1">
        <v>0</v>
      </c>
      <c r="B1381" s="132">
        <v>0</v>
      </c>
      <c r="C1381" s="132">
        <v>0</v>
      </c>
      <c r="D1381" s="1">
        <v>0</v>
      </c>
      <c r="E1381" s="133">
        <v>0</v>
      </c>
      <c r="F1381" s="133">
        <v>0</v>
      </c>
      <c r="G1381" s="133">
        <v>0</v>
      </c>
      <c r="H1381" s="133">
        <v>0</v>
      </c>
      <c r="I1381" s="134">
        <v>0</v>
      </c>
      <c r="J1381" s="135">
        <v>0</v>
      </c>
      <c r="K1381" s="128">
        <v>0</v>
      </c>
      <c r="Q1381" s="1">
        <v>0</v>
      </c>
      <c r="T1381" s="1">
        <v>0</v>
      </c>
      <c r="V1381" s="1">
        <v>0</v>
      </c>
      <c r="W1381" s="1">
        <v>0</v>
      </c>
      <c r="AH1381" s="131">
        <v>0</v>
      </c>
    </row>
    <row r="1382" spans="1:34">
      <c r="A1382" s="1">
        <v>0</v>
      </c>
      <c r="B1382" s="132">
        <v>0</v>
      </c>
      <c r="C1382" s="132">
        <v>0</v>
      </c>
      <c r="D1382" s="1">
        <v>0</v>
      </c>
      <c r="E1382" s="133">
        <v>0</v>
      </c>
      <c r="F1382" s="133">
        <v>0</v>
      </c>
      <c r="G1382" s="133">
        <v>0</v>
      </c>
      <c r="H1382" s="133">
        <v>0</v>
      </c>
      <c r="I1382" s="134">
        <v>0</v>
      </c>
      <c r="J1382" s="135">
        <v>0</v>
      </c>
      <c r="K1382" s="128">
        <v>0</v>
      </c>
      <c r="Q1382" s="1">
        <v>0</v>
      </c>
      <c r="T1382" s="1">
        <v>0</v>
      </c>
      <c r="V1382" s="1">
        <v>0</v>
      </c>
      <c r="W1382" s="1">
        <v>0</v>
      </c>
      <c r="AH1382" s="131">
        <v>0</v>
      </c>
    </row>
    <row r="1383" spans="1:34">
      <c r="A1383" s="1">
        <v>0</v>
      </c>
      <c r="B1383" s="132">
        <v>0</v>
      </c>
      <c r="C1383" s="132">
        <v>0</v>
      </c>
      <c r="D1383" s="1">
        <v>0</v>
      </c>
      <c r="E1383" s="133">
        <v>0</v>
      </c>
      <c r="F1383" s="133">
        <v>0</v>
      </c>
      <c r="G1383" s="133">
        <v>0</v>
      </c>
      <c r="H1383" s="133">
        <v>0</v>
      </c>
      <c r="I1383" s="134">
        <v>0</v>
      </c>
      <c r="J1383" s="135">
        <v>0</v>
      </c>
      <c r="K1383" s="128">
        <v>0</v>
      </c>
      <c r="Q1383" s="1">
        <v>0</v>
      </c>
      <c r="T1383" s="1">
        <v>0</v>
      </c>
      <c r="V1383" s="1">
        <v>0</v>
      </c>
      <c r="W1383" s="1">
        <v>0</v>
      </c>
      <c r="AH1383" s="131">
        <v>0</v>
      </c>
    </row>
    <row r="1384" spans="1:34">
      <c r="A1384" s="1">
        <v>0</v>
      </c>
      <c r="B1384" s="132">
        <v>0</v>
      </c>
      <c r="C1384" s="132">
        <v>0</v>
      </c>
      <c r="D1384" s="1">
        <v>0</v>
      </c>
      <c r="E1384" s="133">
        <v>0</v>
      </c>
      <c r="F1384" s="133">
        <v>0</v>
      </c>
      <c r="G1384" s="133">
        <v>0</v>
      </c>
      <c r="H1384" s="133">
        <v>0</v>
      </c>
      <c r="I1384" s="134">
        <v>0</v>
      </c>
      <c r="J1384" s="135">
        <v>0</v>
      </c>
      <c r="K1384" s="128">
        <v>0</v>
      </c>
      <c r="Q1384" s="1">
        <v>0</v>
      </c>
      <c r="T1384" s="1">
        <v>0</v>
      </c>
      <c r="V1384" s="1">
        <v>0</v>
      </c>
      <c r="W1384" s="1">
        <v>0</v>
      </c>
      <c r="AH1384" s="131">
        <v>0</v>
      </c>
    </row>
    <row r="1385" spans="1:34">
      <c r="A1385" s="1">
        <v>0</v>
      </c>
      <c r="B1385" s="132">
        <v>0</v>
      </c>
      <c r="C1385" s="132">
        <v>0</v>
      </c>
      <c r="D1385" s="1">
        <v>0</v>
      </c>
      <c r="E1385" s="133">
        <v>0</v>
      </c>
      <c r="F1385" s="133">
        <v>0</v>
      </c>
      <c r="G1385" s="133">
        <v>0</v>
      </c>
      <c r="H1385" s="133">
        <v>0</v>
      </c>
      <c r="I1385" s="134">
        <v>0</v>
      </c>
      <c r="J1385" s="135">
        <v>0</v>
      </c>
      <c r="K1385" s="128">
        <v>0</v>
      </c>
      <c r="Q1385" s="1">
        <v>0</v>
      </c>
      <c r="T1385" s="1">
        <v>0</v>
      </c>
      <c r="V1385" s="1">
        <v>0</v>
      </c>
      <c r="W1385" s="1">
        <v>0</v>
      </c>
      <c r="AH1385" s="131">
        <v>0</v>
      </c>
    </row>
    <row r="1386" spans="1:34">
      <c r="A1386" s="1">
        <v>0</v>
      </c>
      <c r="B1386" s="132">
        <v>0</v>
      </c>
      <c r="C1386" s="132">
        <v>0</v>
      </c>
      <c r="D1386" s="1">
        <v>0</v>
      </c>
      <c r="E1386" s="133">
        <v>0</v>
      </c>
      <c r="F1386" s="133">
        <v>0</v>
      </c>
      <c r="G1386" s="133">
        <v>0</v>
      </c>
      <c r="H1386" s="133">
        <v>0</v>
      </c>
      <c r="I1386" s="134">
        <v>0</v>
      </c>
      <c r="J1386" s="135">
        <v>0</v>
      </c>
      <c r="K1386" s="128">
        <v>0</v>
      </c>
      <c r="Q1386" s="1">
        <v>0</v>
      </c>
      <c r="T1386" s="1">
        <v>0</v>
      </c>
      <c r="V1386" s="1">
        <v>0</v>
      </c>
      <c r="W1386" s="1">
        <v>0</v>
      </c>
    </row>
    <row r="1387" spans="1:34">
      <c r="A1387" s="1">
        <v>0</v>
      </c>
      <c r="B1387" s="132">
        <v>0</v>
      </c>
      <c r="C1387" s="132">
        <v>0</v>
      </c>
      <c r="D1387" s="1">
        <v>0</v>
      </c>
      <c r="E1387" s="133">
        <v>0</v>
      </c>
      <c r="F1387" s="133">
        <v>0</v>
      </c>
      <c r="G1387" s="133">
        <v>0</v>
      </c>
      <c r="H1387" s="133">
        <v>0</v>
      </c>
      <c r="I1387" s="134">
        <v>0</v>
      </c>
      <c r="J1387" s="135">
        <v>0</v>
      </c>
      <c r="K1387" s="128">
        <v>0</v>
      </c>
      <c r="Q1387" s="1">
        <v>0</v>
      </c>
      <c r="T1387" s="1">
        <v>0</v>
      </c>
      <c r="V1387" s="1">
        <v>0</v>
      </c>
      <c r="W1387" s="1">
        <v>0</v>
      </c>
    </row>
    <row r="1388" spans="1:34">
      <c r="A1388" s="1">
        <v>0</v>
      </c>
      <c r="B1388" s="132">
        <v>0</v>
      </c>
      <c r="C1388" s="132">
        <v>0</v>
      </c>
      <c r="D1388" s="1">
        <v>0</v>
      </c>
      <c r="E1388" s="133">
        <v>0</v>
      </c>
      <c r="F1388" s="133">
        <v>0</v>
      </c>
      <c r="G1388" s="133">
        <v>0</v>
      </c>
      <c r="H1388" s="133">
        <v>0</v>
      </c>
      <c r="I1388" s="134">
        <v>0</v>
      </c>
      <c r="J1388" s="135">
        <v>0</v>
      </c>
      <c r="K1388" s="128">
        <v>0</v>
      </c>
      <c r="Q1388" s="1">
        <v>0</v>
      </c>
      <c r="T1388" s="1">
        <v>0</v>
      </c>
      <c r="V1388" s="1">
        <v>0</v>
      </c>
      <c r="W1388" s="1">
        <v>0</v>
      </c>
    </row>
    <row r="1389" spans="1:34">
      <c r="A1389" s="1">
        <v>0</v>
      </c>
      <c r="B1389" s="132">
        <v>0</v>
      </c>
      <c r="C1389" s="132">
        <v>0</v>
      </c>
      <c r="D1389" s="1">
        <v>0</v>
      </c>
      <c r="E1389" s="133">
        <v>0</v>
      </c>
      <c r="F1389" s="133">
        <v>0</v>
      </c>
      <c r="G1389" s="133">
        <v>0</v>
      </c>
      <c r="H1389" s="133">
        <v>0</v>
      </c>
      <c r="I1389" s="134">
        <v>0</v>
      </c>
      <c r="J1389" s="135">
        <v>0</v>
      </c>
      <c r="K1389" s="128">
        <v>0</v>
      </c>
      <c r="Q1389" s="1">
        <v>0</v>
      </c>
      <c r="T1389" s="1">
        <v>0</v>
      </c>
      <c r="V1389" s="1">
        <v>0</v>
      </c>
      <c r="W1389" s="1">
        <v>0</v>
      </c>
    </row>
    <row r="1390" spans="1:34">
      <c r="A1390" s="1">
        <v>0</v>
      </c>
      <c r="B1390" s="132">
        <v>0</v>
      </c>
      <c r="C1390" s="132">
        <v>0</v>
      </c>
      <c r="D1390" s="1">
        <v>0</v>
      </c>
      <c r="E1390" s="133">
        <v>0</v>
      </c>
      <c r="F1390" s="133">
        <v>0</v>
      </c>
      <c r="G1390" s="133">
        <v>0</v>
      </c>
      <c r="H1390" s="133">
        <v>0</v>
      </c>
      <c r="I1390" s="134">
        <v>0</v>
      </c>
      <c r="J1390" s="135">
        <v>0</v>
      </c>
      <c r="K1390" s="128">
        <v>0</v>
      </c>
      <c r="Q1390" s="1">
        <v>0</v>
      </c>
      <c r="T1390" s="1">
        <v>0</v>
      </c>
      <c r="V1390" s="1">
        <v>0</v>
      </c>
      <c r="W1390" s="1">
        <v>0</v>
      </c>
    </row>
    <row r="1391" spans="1:34">
      <c r="A1391" s="1">
        <v>0</v>
      </c>
      <c r="B1391" s="132">
        <v>0</v>
      </c>
      <c r="C1391" s="132">
        <v>0</v>
      </c>
      <c r="D1391" s="1">
        <v>0</v>
      </c>
      <c r="E1391" s="133">
        <v>0</v>
      </c>
      <c r="F1391" s="133">
        <v>0</v>
      </c>
      <c r="G1391" s="133">
        <v>0</v>
      </c>
      <c r="H1391" s="133">
        <v>0</v>
      </c>
      <c r="I1391" s="134">
        <v>0</v>
      </c>
      <c r="J1391" s="135">
        <v>0</v>
      </c>
      <c r="K1391" s="128">
        <v>0</v>
      </c>
      <c r="Q1391" s="1">
        <v>0</v>
      </c>
      <c r="T1391" s="1">
        <v>0</v>
      </c>
      <c r="V1391" s="1">
        <v>0</v>
      </c>
      <c r="W1391" s="1">
        <v>0</v>
      </c>
    </row>
    <row r="1392" spans="1:34">
      <c r="A1392" s="1">
        <v>0</v>
      </c>
      <c r="B1392" s="132">
        <v>0</v>
      </c>
      <c r="C1392" s="132">
        <v>0</v>
      </c>
      <c r="D1392" s="1">
        <v>0</v>
      </c>
      <c r="E1392" s="133">
        <v>0</v>
      </c>
      <c r="F1392" s="133">
        <v>0</v>
      </c>
      <c r="G1392" s="133">
        <v>0</v>
      </c>
      <c r="H1392" s="133">
        <v>0</v>
      </c>
      <c r="I1392" s="134">
        <v>0</v>
      </c>
      <c r="J1392" s="135">
        <v>0</v>
      </c>
      <c r="K1392" s="128">
        <v>0</v>
      </c>
      <c r="Q1392" s="1">
        <v>0</v>
      </c>
      <c r="T1392" s="1">
        <v>0</v>
      </c>
      <c r="V1392" s="1">
        <v>0</v>
      </c>
      <c r="W1392" s="1">
        <v>0</v>
      </c>
    </row>
    <row r="1393" spans="1:23">
      <c r="A1393" s="1">
        <v>0</v>
      </c>
      <c r="B1393" s="132">
        <v>0</v>
      </c>
      <c r="C1393" s="132">
        <v>0</v>
      </c>
      <c r="D1393" s="1">
        <v>0</v>
      </c>
      <c r="E1393" s="133">
        <v>0</v>
      </c>
      <c r="F1393" s="133">
        <v>0</v>
      </c>
      <c r="G1393" s="133">
        <v>0</v>
      </c>
      <c r="H1393" s="133">
        <v>0</v>
      </c>
      <c r="I1393" s="134">
        <v>0</v>
      </c>
      <c r="J1393" s="135">
        <v>0</v>
      </c>
      <c r="K1393" s="128">
        <v>0</v>
      </c>
      <c r="Q1393" s="1">
        <v>0</v>
      </c>
      <c r="T1393" s="1">
        <v>0</v>
      </c>
      <c r="V1393" s="1">
        <v>0</v>
      </c>
      <c r="W1393" s="1">
        <v>0</v>
      </c>
    </row>
    <row r="1394" spans="1:23">
      <c r="A1394" s="1">
        <v>0</v>
      </c>
      <c r="B1394" s="132">
        <v>0</v>
      </c>
      <c r="C1394" s="132">
        <v>0</v>
      </c>
      <c r="D1394" s="1">
        <v>0</v>
      </c>
      <c r="E1394" s="133">
        <v>0</v>
      </c>
      <c r="F1394" s="133">
        <v>0</v>
      </c>
      <c r="G1394" s="133">
        <v>0</v>
      </c>
      <c r="H1394" s="133">
        <v>0</v>
      </c>
      <c r="I1394" s="134">
        <v>0</v>
      </c>
      <c r="J1394" s="135">
        <v>0</v>
      </c>
      <c r="K1394" s="128">
        <v>0</v>
      </c>
      <c r="Q1394" s="1">
        <v>0</v>
      </c>
      <c r="T1394" s="1">
        <v>0</v>
      </c>
      <c r="V1394" s="1">
        <v>0</v>
      </c>
      <c r="W1394" s="1">
        <v>0</v>
      </c>
    </row>
    <row r="1395" spans="1:23">
      <c r="A1395" s="1">
        <v>0</v>
      </c>
      <c r="B1395" s="132">
        <v>0</v>
      </c>
      <c r="C1395" s="132">
        <v>0</v>
      </c>
      <c r="D1395" s="1">
        <v>0</v>
      </c>
      <c r="E1395" s="133">
        <v>0</v>
      </c>
      <c r="F1395" s="133">
        <v>0</v>
      </c>
      <c r="G1395" s="133">
        <v>0</v>
      </c>
      <c r="H1395" s="133">
        <v>0</v>
      </c>
      <c r="I1395" s="134">
        <v>0</v>
      </c>
      <c r="J1395" s="135">
        <v>0</v>
      </c>
      <c r="K1395" s="128">
        <v>0</v>
      </c>
      <c r="Q1395" s="1">
        <v>0</v>
      </c>
      <c r="T1395" s="1">
        <v>0</v>
      </c>
      <c r="V1395" s="1">
        <v>0</v>
      </c>
      <c r="W1395" s="1">
        <v>0</v>
      </c>
    </row>
    <row r="1396" spans="1:23">
      <c r="A1396" s="1">
        <v>0</v>
      </c>
      <c r="B1396" s="132">
        <v>0</v>
      </c>
      <c r="C1396" s="132">
        <v>0</v>
      </c>
      <c r="D1396" s="1">
        <v>0</v>
      </c>
      <c r="E1396" s="133">
        <v>0</v>
      </c>
      <c r="F1396" s="133">
        <v>0</v>
      </c>
      <c r="G1396" s="133">
        <v>0</v>
      </c>
      <c r="H1396" s="133">
        <v>0</v>
      </c>
      <c r="I1396" s="134">
        <v>0</v>
      </c>
      <c r="J1396" s="135">
        <v>0</v>
      </c>
      <c r="K1396" s="128">
        <v>0</v>
      </c>
      <c r="Q1396" s="1">
        <v>0</v>
      </c>
      <c r="T1396" s="1">
        <v>0</v>
      </c>
      <c r="V1396" s="1">
        <v>0</v>
      </c>
      <c r="W1396" s="1">
        <v>0</v>
      </c>
    </row>
    <row r="1397" spans="1:23">
      <c r="A1397" s="1">
        <v>0</v>
      </c>
      <c r="B1397" s="132">
        <v>0</v>
      </c>
      <c r="C1397" s="132">
        <v>0</v>
      </c>
      <c r="D1397" s="1">
        <v>0</v>
      </c>
      <c r="E1397" s="133">
        <v>0</v>
      </c>
      <c r="F1397" s="133">
        <v>0</v>
      </c>
      <c r="G1397" s="133">
        <v>0</v>
      </c>
      <c r="H1397" s="133">
        <v>0</v>
      </c>
      <c r="I1397" s="134">
        <v>0</v>
      </c>
      <c r="J1397" s="135">
        <v>0</v>
      </c>
      <c r="K1397" s="128">
        <v>0</v>
      </c>
      <c r="Q1397" s="1">
        <v>0</v>
      </c>
      <c r="T1397" s="1">
        <v>0</v>
      </c>
      <c r="V1397" s="1">
        <v>0</v>
      </c>
      <c r="W1397" s="1">
        <v>0</v>
      </c>
    </row>
    <row r="1398" spans="1:23">
      <c r="A1398" s="1">
        <v>0</v>
      </c>
      <c r="B1398" s="132">
        <v>0</v>
      </c>
      <c r="C1398" s="132">
        <v>0</v>
      </c>
      <c r="D1398" s="1">
        <v>0</v>
      </c>
      <c r="E1398" s="133">
        <v>0</v>
      </c>
      <c r="F1398" s="133">
        <v>0</v>
      </c>
      <c r="G1398" s="133">
        <v>0</v>
      </c>
      <c r="H1398" s="133">
        <v>0</v>
      </c>
      <c r="I1398" s="134">
        <v>0</v>
      </c>
      <c r="J1398" s="135">
        <v>0</v>
      </c>
      <c r="K1398" s="128">
        <v>0</v>
      </c>
      <c r="Q1398" s="1">
        <v>0</v>
      </c>
      <c r="T1398" s="1">
        <v>0</v>
      </c>
      <c r="V1398" s="1">
        <v>0</v>
      </c>
      <c r="W1398" s="1">
        <v>0</v>
      </c>
    </row>
    <row r="1399" spans="1:23">
      <c r="A1399" s="1">
        <v>0</v>
      </c>
      <c r="B1399" s="132">
        <v>0</v>
      </c>
      <c r="C1399" s="132">
        <v>0</v>
      </c>
      <c r="D1399" s="1">
        <v>0</v>
      </c>
      <c r="E1399" s="133">
        <v>0</v>
      </c>
      <c r="F1399" s="133">
        <v>0</v>
      </c>
      <c r="G1399" s="133">
        <v>0</v>
      </c>
      <c r="H1399" s="133">
        <v>0</v>
      </c>
      <c r="I1399" s="134">
        <v>0</v>
      </c>
      <c r="J1399" s="135">
        <v>0</v>
      </c>
      <c r="K1399" s="128">
        <v>0</v>
      </c>
      <c r="Q1399" s="1">
        <v>0</v>
      </c>
      <c r="T1399" s="1">
        <v>0</v>
      </c>
    </row>
    <row r="1400" spans="1:23">
      <c r="A1400" s="1">
        <v>0</v>
      </c>
      <c r="B1400" s="132">
        <v>0</v>
      </c>
      <c r="C1400" s="132">
        <v>0</v>
      </c>
      <c r="D1400" s="1">
        <v>0</v>
      </c>
      <c r="E1400" s="133">
        <v>0</v>
      </c>
      <c r="F1400" s="133">
        <v>0</v>
      </c>
      <c r="G1400" s="133">
        <v>0</v>
      </c>
      <c r="H1400" s="133">
        <v>0</v>
      </c>
      <c r="I1400" s="134">
        <v>0</v>
      </c>
      <c r="J1400" s="135">
        <v>0</v>
      </c>
      <c r="K1400" s="128">
        <v>0</v>
      </c>
      <c r="Q1400" s="1">
        <v>0</v>
      </c>
      <c r="T1400" s="1">
        <v>0</v>
      </c>
    </row>
    <row r="1401" spans="1:23">
      <c r="A1401" s="1">
        <v>0</v>
      </c>
      <c r="B1401" s="132">
        <v>0</v>
      </c>
      <c r="C1401" s="132">
        <v>0</v>
      </c>
      <c r="D1401" s="1">
        <v>0</v>
      </c>
      <c r="E1401" s="133">
        <v>0</v>
      </c>
      <c r="F1401" s="133">
        <v>0</v>
      </c>
      <c r="G1401" s="133">
        <v>0</v>
      </c>
      <c r="H1401" s="133">
        <v>0</v>
      </c>
      <c r="I1401" s="134">
        <v>0</v>
      </c>
      <c r="J1401" s="135">
        <v>0</v>
      </c>
      <c r="K1401" s="128">
        <v>0</v>
      </c>
      <c r="Q1401" s="1">
        <v>0</v>
      </c>
      <c r="T1401" s="1">
        <v>0</v>
      </c>
    </row>
    <row r="1402" spans="1:23">
      <c r="A1402" s="1">
        <v>0</v>
      </c>
      <c r="B1402" s="132">
        <v>0</v>
      </c>
      <c r="C1402" s="132">
        <v>0</v>
      </c>
      <c r="D1402" s="1">
        <v>0</v>
      </c>
      <c r="E1402" s="133">
        <v>0</v>
      </c>
      <c r="F1402" s="133">
        <v>0</v>
      </c>
      <c r="G1402" s="133">
        <v>0</v>
      </c>
      <c r="H1402" s="133">
        <v>0</v>
      </c>
      <c r="I1402" s="134">
        <v>0</v>
      </c>
      <c r="J1402" s="135">
        <v>0</v>
      </c>
      <c r="K1402" s="128">
        <v>0</v>
      </c>
      <c r="Q1402" s="1">
        <v>0</v>
      </c>
      <c r="T1402" s="1">
        <v>0</v>
      </c>
    </row>
    <row r="1403" spans="1:23">
      <c r="A1403" s="1">
        <v>0</v>
      </c>
      <c r="B1403" s="132">
        <v>0</v>
      </c>
      <c r="C1403" s="132">
        <v>0</v>
      </c>
      <c r="D1403" s="1">
        <v>0</v>
      </c>
      <c r="E1403" s="133">
        <v>0</v>
      </c>
      <c r="F1403" s="133">
        <v>0</v>
      </c>
      <c r="G1403" s="133">
        <v>0</v>
      </c>
      <c r="H1403" s="133">
        <v>0</v>
      </c>
      <c r="I1403" s="134">
        <v>0</v>
      </c>
      <c r="J1403" s="135">
        <v>0</v>
      </c>
      <c r="K1403" s="128">
        <v>0</v>
      </c>
      <c r="Q1403" s="1">
        <v>0</v>
      </c>
      <c r="T1403" s="1">
        <v>0</v>
      </c>
    </row>
    <row r="1404" spans="1:23">
      <c r="A1404" s="1">
        <v>0</v>
      </c>
      <c r="B1404" s="132">
        <v>0</v>
      </c>
      <c r="C1404" s="132">
        <v>0</v>
      </c>
      <c r="D1404" s="1">
        <v>0</v>
      </c>
      <c r="E1404" s="133">
        <v>0</v>
      </c>
      <c r="F1404" s="133">
        <v>0</v>
      </c>
      <c r="G1404" s="133">
        <v>0</v>
      </c>
      <c r="H1404" s="133">
        <v>0</v>
      </c>
      <c r="I1404" s="134">
        <v>0</v>
      </c>
      <c r="J1404" s="135">
        <v>0</v>
      </c>
      <c r="K1404" s="128">
        <v>0</v>
      </c>
      <c r="Q1404" s="1">
        <v>0</v>
      </c>
      <c r="T1404" s="1">
        <v>0</v>
      </c>
    </row>
    <row r="1405" spans="1:23">
      <c r="A1405" s="1">
        <v>0</v>
      </c>
      <c r="B1405" s="132">
        <v>0</v>
      </c>
      <c r="C1405" s="132">
        <v>0</v>
      </c>
      <c r="D1405" s="1">
        <v>0</v>
      </c>
      <c r="E1405" s="133">
        <v>0</v>
      </c>
      <c r="F1405" s="133">
        <v>0</v>
      </c>
      <c r="G1405" s="133">
        <v>0</v>
      </c>
      <c r="H1405" s="133">
        <v>0</v>
      </c>
      <c r="I1405" s="134">
        <v>0</v>
      </c>
      <c r="J1405" s="135">
        <v>0</v>
      </c>
      <c r="K1405" s="128">
        <v>0</v>
      </c>
      <c r="Q1405" s="1">
        <v>0</v>
      </c>
    </row>
    <row r="1406" spans="1:23">
      <c r="A1406" s="1">
        <v>0</v>
      </c>
      <c r="B1406" s="132">
        <v>0</v>
      </c>
      <c r="C1406" s="132">
        <v>0</v>
      </c>
      <c r="D1406" s="1">
        <v>0</v>
      </c>
      <c r="E1406" s="133">
        <v>0</v>
      </c>
      <c r="F1406" s="133">
        <v>0</v>
      </c>
      <c r="G1406" s="133">
        <v>0</v>
      </c>
      <c r="H1406" s="133">
        <v>0</v>
      </c>
      <c r="I1406" s="134">
        <v>0</v>
      </c>
      <c r="J1406" s="135">
        <v>0</v>
      </c>
      <c r="K1406" s="128">
        <v>0</v>
      </c>
      <c r="Q1406" s="1">
        <v>0</v>
      </c>
    </row>
    <row r="1407" spans="1:23">
      <c r="A1407" s="1">
        <v>0</v>
      </c>
      <c r="B1407" s="132">
        <v>0</v>
      </c>
      <c r="C1407" s="132">
        <v>0</v>
      </c>
      <c r="D1407" s="1">
        <v>0</v>
      </c>
      <c r="E1407" s="133">
        <v>0</v>
      </c>
      <c r="F1407" s="133">
        <v>0</v>
      </c>
      <c r="G1407" s="133">
        <v>0</v>
      </c>
      <c r="H1407" s="133">
        <v>0</v>
      </c>
      <c r="I1407" s="134">
        <v>0</v>
      </c>
      <c r="J1407" s="135">
        <v>0</v>
      </c>
      <c r="K1407" s="128">
        <v>0</v>
      </c>
      <c r="Q1407" s="1">
        <v>0</v>
      </c>
    </row>
    <row r="1408" spans="1:23">
      <c r="A1408" s="1">
        <v>0</v>
      </c>
      <c r="B1408" s="132">
        <v>0</v>
      </c>
      <c r="C1408" s="132">
        <v>0</v>
      </c>
      <c r="D1408" s="1">
        <v>0</v>
      </c>
      <c r="E1408" s="133">
        <v>0</v>
      </c>
      <c r="F1408" s="133">
        <v>0</v>
      </c>
      <c r="G1408" s="133">
        <v>0</v>
      </c>
      <c r="H1408" s="133">
        <v>0</v>
      </c>
      <c r="I1408" s="134">
        <v>0</v>
      </c>
      <c r="J1408" s="135">
        <v>0</v>
      </c>
      <c r="K1408" s="128">
        <v>0</v>
      </c>
      <c r="Q1408" s="1">
        <v>0</v>
      </c>
    </row>
    <row r="1409" spans="1:17">
      <c r="A1409" s="1">
        <v>0</v>
      </c>
      <c r="B1409" s="132">
        <v>0</v>
      </c>
      <c r="C1409" s="132">
        <v>0</v>
      </c>
      <c r="D1409" s="1">
        <v>0</v>
      </c>
      <c r="E1409" s="133">
        <v>0</v>
      </c>
      <c r="F1409" s="133">
        <v>0</v>
      </c>
      <c r="G1409" s="133">
        <v>0</v>
      </c>
      <c r="H1409" s="133">
        <v>0</v>
      </c>
      <c r="I1409" s="134">
        <v>0</v>
      </c>
      <c r="J1409" s="135">
        <v>0</v>
      </c>
      <c r="K1409" s="128">
        <v>0</v>
      </c>
      <c r="Q1409" s="1">
        <v>0</v>
      </c>
    </row>
    <row r="1410" spans="1:17">
      <c r="A1410" s="1">
        <v>0</v>
      </c>
      <c r="B1410" s="132">
        <v>0</v>
      </c>
      <c r="C1410" s="132">
        <v>0</v>
      </c>
      <c r="D1410" s="1">
        <v>0</v>
      </c>
      <c r="E1410" s="133">
        <v>0</v>
      </c>
      <c r="F1410" s="133">
        <v>0</v>
      </c>
      <c r="G1410" s="133">
        <v>0</v>
      </c>
      <c r="H1410" s="133">
        <v>0</v>
      </c>
      <c r="I1410" s="134">
        <v>0</v>
      </c>
      <c r="J1410" s="135">
        <v>0</v>
      </c>
      <c r="K1410" s="128">
        <v>0</v>
      </c>
      <c r="Q1410" s="1">
        <v>0</v>
      </c>
    </row>
    <row r="1411" spans="1:17">
      <c r="A1411" s="1">
        <v>0</v>
      </c>
      <c r="B1411" s="132">
        <v>0</v>
      </c>
      <c r="C1411" s="132">
        <v>0</v>
      </c>
      <c r="D1411" s="1">
        <v>0</v>
      </c>
      <c r="E1411" s="133">
        <v>0</v>
      </c>
      <c r="F1411" s="133">
        <v>0</v>
      </c>
      <c r="G1411" s="133">
        <v>0</v>
      </c>
      <c r="H1411" s="133">
        <v>0</v>
      </c>
      <c r="I1411" s="134">
        <v>0</v>
      </c>
      <c r="J1411" s="135">
        <v>0</v>
      </c>
      <c r="K1411" s="128">
        <v>0</v>
      </c>
      <c r="Q1411" s="1">
        <v>0</v>
      </c>
    </row>
    <row r="1412" spans="1:17">
      <c r="A1412" s="1">
        <v>0</v>
      </c>
      <c r="B1412" s="132">
        <v>0</v>
      </c>
      <c r="C1412" s="132">
        <v>0</v>
      </c>
      <c r="D1412" s="1">
        <v>0</v>
      </c>
      <c r="E1412" s="133">
        <v>0</v>
      </c>
      <c r="F1412" s="133">
        <v>0</v>
      </c>
      <c r="G1412" s="133">
        <v>0</v>
      </c>
      <c r="H1412" s="133">
        <v>0</v>
      </c>
      <c r="I1412" s="134">
        <v>0</v>
      </c>
      <c r="J1412" s="135">
        <v>0</v>
      </c>
      <c r="K1412" s="128">
        <v>0</v>
      </c>
      <c r="Q1412" s="1">
        <v>0</v>
      </c>
    </row>
    <row r="1413" spans="1:17">
      <c r="A1413" s="1">
        <v>0</v>
      </c>
      <c r="B1413" s="132">
        <v>0</v>
      </c>
      <c r="C1413" s="132">
        <v>0</v>
      </c>
      <c r="D1413" s="1">
        <v>0</v>
      </c>
      <c r="E1413" s="133">
        <v>0</v>
      </c>
      <c r="F1413" s="133">
        <v>0</v>
      </c>
      <c r="G1413" s="133">
        <v>0</v>
      </c>
      <c r="H1413" s="133">
        <v>0</v>
      </c>
      <c r="I1413" s="134">
        <v>0</v>
      </c>
      <c r="J1413" s="135">
        <v>0</v>
      </c>
      <c r="K1413" s="128">
        <v>0</v>
      </c>
      <c r="Q1413" s="1">
        <v>0</v>
      </c>
    </row>
    <row r="1414" spans="1:17">
      <c r="A1414" s="1">
        <v>0</v>
      </c>
      <c r="B1414" s="132">
        <v>0</v>
      </c>
      <c r="C1414" s="132">
        <v>0</v>
      </c>
      <c r="D1414" s="1">
        <v>0</v>
      </c>
      <c r="E1414" s="133">
        <v>0</v>
      </c>
      <c r="F1414" s="133">
        <v>0</v>
      </c>
      <c r="G1414" s="133">
        <v>0</v>
      </c>
      <c r="H1414" s="133">
        <v>0</v>
      </c>
      <c r="I1414" s="134">
        <v>0</v>
      </c>
      <c r="J1414" s="135">
        <v>0</v>
      </c>
      <c r="K1414" s="128">
        <v>0</v>
      </c>
      <c r="Q1414" s="1">
        <v>0</v>
      </c>
    </row>
    <row r="1415" spans="1:17">
      <c r="A1415" s="1">
        <v>0</v>
      </c>
      <c r="B1415" s="132">
        <v>0</v>
      </c>
      <c r="C1415" s="132">
        <v>0</v>
      </c>
      <c r="D1415" s="1">
        <v>0</v>
      </c>
      <c r="E1415" s="133">
        <v>0</v>
      </c>
      <c r="F1415" s="133">
        <v>0</v>
      </c>
      <c r="G1415" s="133">
        <v>0</v>
      </c>
      <c r="H1415" s="133">
        <v>0</v>
      </c>
      <c r="I1415" s="134">
        <v>0</v>
      </c>
      <c r="J1415" s="135">
        <v>0</v>
      </c>
      <c r="K1415" s="128">
        <v>0</v>
      </c>
      <c r="Q1415" s="1">
        <v>0</v>
      </c>
    </row>
    <row r="1416" spans="1:17">
      <c r="A1416" s="1">
        <v>0</v>
      </c>
      <c r="B1416" s="132">
        <v>0</v>
      </c>
      <c r="C1416" s="132">
        <v>0</v>
      </c>
      <c r="D1416" s="1">
        <v>0</v>
      </c>
      <c r="E1416" s="133">
        <v>0</v>
      </c>
      <c r="F1416" s="133">
        <v>0</v>
      </c>
      <c r="G1416" s="133">
        <v>0</v>
      </c>
      <c r="H1416" s="133">
        <v>0</v>
      </c>
      <c r="I1416" s="134">
        <v>0</v>
      </c>
      <c r="J1416" s="135">
        <v>0</v>
      </c>
      <c r="K1416" s="128">
        <v>0</v>
      </c>
      <c r="Q1416" s="1">
        <v>0</v>
      </c>
    </row>
    <row r="1417" spans="1:17">
      <c r="A1417" s="1">
        <v>0</v>
      </c>
      <c r="B1417" s="132">
        <v>0</v>
      </c>
      <c r="C1417" s="132">
        <v>0</v>
      </c>
      <c r="D1417" s="1">
        <v>0</v>
      </c>
      <c r="E1417" s="133">
        <v>0</v>
      </c>
      <c r="F1417" s="133">
        <v>0</v>
      </c>
      <c r="G1417" s="133">
        <v>0</v>
      </c>
      <c r="H1417" s="133">
        <v>0</v>
      </c>
      <c r="I1417" s="134">
        <v>0</v>
      </c>
      <c r="J1417" s="135">
        <v>0</v>
      </c>
      <c r="K1417" s="128">
        <v>0</v>
      </c>
      <c r="Q1417" s="1">
        <v>0</v>
      </c>
    </row>
    <row r="1418" spans="1:17">
      <c r="A1418" s="1">
        <v>0</v>
      </c>
      <c r="B1418" s="132">
        <v>0</v>
      </c>
      <c r="C1418" s="132">
        <v>0</v>
      </c>
      <c r="D1418" s="1">
        <v>0</v>
      </c>
      <c r="E1418" s="133">
        <v>0</v>
      </c>
      <c r="F1418" s="133">
        <v>0</v>
      </c>
      <c r="G1418" s="133">
        <v>0</v>
      </c>
      <c r="H1418" s="133">
        <v>0</v>
      </c>
      <c r="I1418" s="134">
        <v>0</v>
      </c>
      <c r="J1418" s="135">
        <v>0</v>
      </c>
      <c r="K1418" s="128">
        <v>0</v>
      </c>
      <c r="Q1418" s="1">
        <v>0</v>
      </c>
    </row>
    <row r="1419" spans="1:17">
      <c r="A1419" s="1">
        <v>0</v>
      </c>
      <c r="B1419" s="132">
        <v>0</v>
      </c>
      <c r="C1419" s="132">
        <v>0</v>
      </c>
      <c r="D1419" s="1">
        <v>0</v>
      </c>
      <c r="E1419" s="133">
        <v>0</v>
      </c>
      <c r="F1419" s="133">
        <v>0</v>
      </c>
      <c r="G1419" s="133">
        <v>0</v>
      </c>
      <c r="H1419" s="133">
        <v>0</v>
      </c>
      <c r="I1419" s="134">
        <v>0</v>
      </c>
      <c r="J1419" s="135">
        <v>0</v>
      </c>
      <c r="K1419" s="128">
        <v>0</v>
      </c>
      <c r="Q1419" s="1">
        <v>0</v>
      </c>
    </row>
    <row r="1420" spans="1:17">
      <c r="A1420" s="1">
        <v>0</v>
      </c>
      <c r="B1420" s="132">
        <v>0</v>
      </c>
      <c r="C1420" s="132">
        <v>0</v>
      </c>
      <c r="D1420" s="1">
        <v>0</v>
      </c>
      <c r="E1420" s="133">
        <v>0</v>
      </c>
      <c r="F1420" s="133">
        <v>0</v>
      </c>
      <c r="G1420" s="133">
        <v>0</v>
      </c>
      <c r="H1420" s="133">
        <v>0</v>
      </c>
      <c r="I1420" s="134">
        <v>0</v>
      </c>
      <c r="J1420" s="135">
        <v>0</v>
      </c>
      <c r="K1420" s="128">
        <v>0</v>
      </c>
      <c r="Q1420" s="1">
        <v>0</v>
      </c>
    </row>
    <row r="1421" spans="1:17">
      <c r="A1421" s="1">
        <v>0</v>
      </c>
      <c r="B1421" s="132">
        <v>0</v>
      </c>
      <c r="C1421" s="132">
        <v>0</v>
      </c>
      <c r="D1421" s="1">
        <v>0</v>
      </c>
      <c r="E1421" s="133">
        <v>0</v>
      </c>
      <c r="F1421" s="133">
        <v>0</v>
      </c>
      <c r="G1421" s="133">
        <v>0</v>
      </c>
      <c r="H1421" s="133">
        <v>0</v>
      </c>
      <c r="I1421" s="134">
        <v>0</v>
      </c>
      <c r="J1421" s="135">
        <v>0</v>
      </c>
      <c r="K1421" s="128">
        <v>0</v>
      </c>
      <c r="Q1421" s="1">
        <v>0</v>
      </c>
    </row>
    <row r="1422" spans="1:17">
      <c r="A1422" s="1">
        <v>0</v>
      </c>
      <c r="B1422" s="132">
        <v>0</v>
      </c>
      <c r="C1422" s="132">
        <v>0</v>
      </c>
      <c r="D1422" s="1">
        <v>0</v>
      </c>
      <c r="E1422" s="133">
        <v>0</v>
      </c>
      <c r="F1422" s="133">
        <v>0</v>
      </c>
      <c r="G1422" s="133">
        <v>0</v>
      </c>
      <c r="H1422" s="133">
        <v>0</v>
      </c>
      <c r="I1422" s="134">
        <v>0</v>
      </c>
      <c r="J1422" s="135">
        <v>0</v>
      </c>
      <c r="K1422" s="128">
        <v>0</v>
      </c>
      <c r="Q1422" s="1">
        <v>0</v>
      </c>
    </row>
    <row r="1423" spans="1:17">
      <c r="A1423" s="1">
        <v>0</v>
      </c>
      <c r="B1423" s="132">
        <v>0</v>
      </c>
      <c r="C1423" s="132">
        <v>0</v>
      </c>
      <c r="D1423" s="1">
        <v>0</v>
      </c>
      <c r="E1423" s="133">
        <v>0</v>
      </c>
      <c r="F1423" s="133">
        <v>0</v>
      </c>
      <c r="G1423" s="133">
        <v>0</v>
      </c>
      <c r="H1423" s="133">
        <v>0</v>
      </c>
      <c r="I1423" s="134">
        <v>0</v>
      </c>
      <c r="J1423" s="135">
        <v>0</v>
      </c>
      <c r="K1423" s="128">
        <v>0</v>
      </c>
      <c r="Q1423" s="1">
        <v>0</v>
      </c>
    </row>
    <row r="1424" spans="1:17">
      <c r="A1424" s="1">
        <v>0</v>
      </c>
      <c r="B1424" s="132">
        <v>0</v>
      </c>
      <c r="C1424" s="132">
        <v>0</v>
      </c>
      <c r="D1424" s="1">
        <v>0</v>
      </c>
      <c r="E1424" s="133">
        <v>0</v>
      </c>
      <c r="F1424" s="133">
        <v>0</v>
      </c>
      <c r="G1424" s="133">
        <v>0</v>
      </c>
      <c r="H1424" s="133">
        <v>0</v>
      </c>
      <c r="I1424" s="134">
        <v>0</v>
      </c>
      <c r="J1424" s="135">
        <v>0</v>
      </c>
      <c r="K1424" s="128">
        <v>0</v>
      </c>
      <c r="Q1424" s="1">
        <v>0</v>
      </c>
    </row>
    <row r="1425" spans="1:17">
      <c r="A1425" s="1">
        <v>0</v>
      </c>
      <c r="B1425" s="132">
        <v>0</v>
      </c>
      <c r="C1425" s="132">
        <v>0</v>
      </c>
      <c r="D1425" s="1">
        <v>0</v>
      </c>
      <c r="E1425" s="133">
        <v>0</v>
      </c>
      <c r="F1425" s="133">
        <v>0</v>
      </c>
      <c r="G1425" s="133">
        <v>0</v>
      </c>
      <c r="H1425" s="133">
        <v>0</v>
      </c>
      <c r="I1425" s="134">
        <v>0</v>
      </c>
      <c r="J1425" s="135">
        <v>0</v>
      </c>
      <c r="K1425" s="128">
        <v>0</v>
      </c>
      <c r="Q1425" s="1">
        <v>0</v>
      </c>
    </row>
    <row r="1426" spans="1:17">
      <c r="A1426" s="1">
        <v>0</v>
      </c>
      <c r="B1426" s="132">
        <v>0</v>
      </c>
      <c r="C1426" s="132">
        <v>0</v>
      </c>
      <c r="D1426" s="1">
        <v>0</v>
      </c>
      <c r="E1426" s="133">
        <v>0</v>
      </c>
      <c r="F1426" s="133">
        <v>0</v>
      </c>
      <c r="G1426" s="133">
        <v>0</v>
      </c>
      <c r="H1426" s="133">
        <v>0</v>
      </c>
      <c r="I1426" s="134">
        <v>0</v>
      </c>
      <c r="J1426" s="135">
        <v>0</v>
      </c>
      <c r="K1426" s="128">
        <v>0</v>
      </c>
      <c r="Q1426" s="1">
        <v>0</v>
      </c>
    </row>
    <row r="1427" spans="1:17">
      <c r="A1427" s="1">
        <v>0</v>
      </c>
      <c r="B1427" s="132">
        <v>0</v>
      </c>
      <c r="C1427" s="132">
        <v>0</v>
      </c>
      <c r="D1427" s="1">
        <v>0</v>
      </c>
      <c r="E1427" s="133">
        <v>0</v>
      </c>
      <c r="F1427" s="133">
        <v>0</v>
      </c>
      <c r="G1427" s="133">
        <v>0</v>
      </c>
      <c r="H1427" s="133">
        <v>0</v>
      </c>
      <c r="I1427" s="134">
        <v>0</v>
      </c>
      <c r="J1427" s="135">
        <v>0</v>
      </c>
      <c r="K1427" s="128">
        <v>0</v>
      </c>
      <c r="Q1427" s="1">
        <v>0</v>
      </c>
    </row>
    <row r="1428" spans="1:17">
      <c r="A1428" s="1">
        <v>0</v>
      </c>
      <c r="B1428" s="132">
        <v>0</v>
      </c>
      <c r="C1428" s="132">
        <v>0</v>
      </c>
      <c r="D1428" s="1">
        <v>0</v>
      </c>
      <c r="E1428" s="133">
        <v>0</v>
      </c>
      <c r="F1428" s="133">
        <v>0</v>
      </c>
      <c r="G1428" s="133">
        <v>0</v>
      </c>
      <c r="H1428" s="133">
        <v>0</v>
      </c>
      <c r="I1428" s="134">
        <v>0</v>
      </c>
      <c r="J1428" s="135">
        <v>0</v>
      </c>
      <c r="K1428" s="128">
        <v>0</v>
      </c>
      <c r="Q1428" s="1">
        <v>0</v>
      </c>
    </row>
    <row r="1429" spans="1:17">
      <c r="A1429" s="1">
        <v>0</v>
      </c>
      <c r="B1429" s="132">
        <v>0</v>
      </c>
      <c r="C1429" s="132">
        <v>0</v>
      </c>
      <c r="D1429" s="1">
        <v>0</v>
      </c>
      <c r="E1429" s="133">
        <v>0</v>
      </c>
      <c r="F1429" s="133">
        <v>0</v>
      </c>
      <c r="G1429" s="133">
        <v>0</v>
      </c>
      <c r="H1429" s="133">
        <v>0</v>
      </c>
      <c r="I1429" s="134">
        <v>0</v>
      </c>
      <c r="J1429" s="135">
        <v>0</v>
      </c>
      <c r="K1429" s="128">
        <v>0</v>
      </c>
      <c r="Q1429" s="1">
        <v>0</v>
      </c>
    </row>
    <row r="1430" spans="1:17">
      <c r="A1430" s="1">
        <v>0</v>
      </c>
      <c r="B1430" s="132">
        <v>0</v>
      </c>
      <c r="C1430" s="132">
        <v>0</v>
      </c>
      <c r="D1430" s="1">
        <v>0</v>
      </c>
      <c r="E1430" s="133">
        <v>0</v>
      </c>
      <c r="F1430" s="133">
        <v>0</v>
      </c>
      <c r="G1430" s="133">
        <v>0</v>
      </c>
      <c r="H1430" s="133">
        <v>0</v>
      </c>
      <c r="I1430" s="134">
        <v>0</v>
      </c>
      <c r="J1430" s="135">
        <v>0</v>
      </c>
      <c r="K1430" s="128">
        <v>0</v>
      </c>
      <c r="Q1430" s="1">
        <v>0</v>
      </c>
    </row>
    <row r="1431" spans="1:17">
      <c r="A1431" s="1">
        <v>0</v>
      </c>
      <c r="B1431" s="132">
        <v>0</v>
      </c>
      <c r="C1431" s="132">
        <v>0</v>
      </c>
      <c r="D1431" s="1">
        <v>0</v>
      </c>
      <c r="E1431" s="133">
        <v>0</v>
      </c>
      <c r="F1431" s="133">
        <v>0</v>
      </c>
      <c r="G1431" s="133">
        <v>0</v>
      </c>
      <c r="H1431" s="133">
        <v>0</v>
      </c>
      <c r="I1431" s="134">
        <v>0</v>
      </c>
      <c r="J1431" s="135">
        <v>0</v>
      </c>
      <c r="K1431" s="128">
        <v>0</v>
      </c>
      <c r="Q1431" s="1">
        <v>0</v>
      </c>
    </row>
    <row r="1432" spans="1:17">
      <c r="A1432" s="1">
        <v>0</v>
      </c>
      <c r="B1432" s="132">
        <v>0</v>
      </c>
      <c r="C1432" s="132">
        <v>0</v>
      </c>
      <c r="D1432" s="1">
        <v>0</v>
      </c>
      <c r="E1432" s="133">
        <v>0</v>
      </c>
      <c r="F1432" s="133">
        <v>0</v>
      </c>
      <c r="G1432" s="133">
        <v>0</v>
      </c>
      <c r="H1432" s="133">
        <v>0</v>
      </c>
      <c r="I1432" s="134">
        <v>0</v>
      </c>
      <c r="J1432" s="135">
        <v>0</v>
      </c>
      <c r="K1432" s="128">
        <v>0</v>
      </c>
    </row>
    <row r="1433" spans="1:17">
      <c r="A1433" s="1">
        <v>0</v>
      </c>
      <c r="B1433" s="132">
        <v>0</v>
      </c>
      <c r="C1433" s="132">
        <v>0</v>
      </c>
      <c r="D1433" s="1">
        <v>0</v>
      </c>
      <c r="E1433" s="133">
        <v>0</v>
      </c>
      <c r="F1433" s="133">
        <v>0</v>
      </c>
      <c r="G1433" s="133">
        <v>0</v>
      </c>
      <c r="H1433" s="133">
        <v>0</v>
      </c>
      <c r="I1433" s="134">
        <v>0</v>
      </c>
      <c r="J1433" s="135">
        <v>0</v>
      </c>
      <c r="K1433" s="128">
        <v>0</v>
      </c>
    </row>
    <row r="1434" spans="1:17">
      <c r="A1434" s="1">
        <v>0</v>
      </c>
      <c r="B1434" s="132">
        <v>0</v>
      </c>
      <c r="C1434" s="132">
        <v>0</v>
      </c>
      <c r="D1434" s="1">
        <v>0</v>
      </c>
      <c r="E1434" s="133">
        <v>0</v>
      </c>
      <c r="F1434" s="133">
        <v>0</v>
      </c>
      <c r="G1434" s="133">
        <v>0</v>
      </c>
      <c r="H1434" s="133">
        <v>0</v>
      </c>
      <c r="I1434" s="134">
        <v>0</v>
      </c>
      <c r="J1434" s="135">
        <v>0</v>
      </c>
      <c r="K1434" s="128">
        <v>0</v>
      </c>
    </row>
    <row r="1435" spans="1:17">
      <c r="A1435" s="1">
        <v>0</v>
      </c>
      <c r="B1435" s="132">
        <v>0</v>
      </c>
      <c r="C1435" s="132">
        <v>0</v>
      </c>
      <c r="D1435" s="1">
        <v>0</v>
      </c>
      <c r="E1435" s="133">
        <v>0</v>
      </c>
      <c r="F1435" s="133">
        <v>0</v>
      </c>
      <c r="G1435" s="133">
        <v>0</v>
      </c>
      <c r="H1435" s="133">
        <v>0</v>
      </c>
      <c r="I1435" s="134">
        <v>0</v>
      </c>
      <c r="J1435" s="135">
        <v>0</v>
      </c>
      <c r="K1435" s="128">
        <v>0</v>
      </c>
    </row>
    <row r="1436" spans="1:17">
      <c r="A1436" s="1">
        <v>0</v>
      </c>
      <c r="B1436" s="132">
        <v>0</v>
      </c>
      <c r="C1436" s="132">
        <v>0</v>
      </c>
      <c r="D1436" s="1">
        <v>0</v>
      </c>
      <c r="E1436" s="133">
        <v>0</v>
      </c>
      <c r="F1436" s="133">
        <v>0</v>
      </c>
      <c r="G1436" s="133">
        <v>0</v>
      </c>
      <c r="H1436" s="133">
        <v>0</v>
      </c>
      <c r="I1436" s="134">
        <v>0</v>
      </c>
      <c r="J1436" s="135">
        <v>0</v>
      </c>
      <c r="K1436" s="128">
        <v>0</v>
      </c>
    </row>
    <row r="1437" spans="1:17">
      <c r="A1437" s="1">
        <v>0</v>
      </c>
      <c r="B1437" s="132">
        <v>0</v>
      </c>
      <c r="C1437" s="132">
        <v>0</v>
      </c>
      <c r="D1437" s="1">
        <v>0</v>
      </c>
      <c r="E1437" s="133">
        <v>0</v>
      </c>
      <c r="F1437" s="133">
        <v>0</v>
      </c>
      <c r="G1437" s="133">
        <v>0</v>
      </c>
      <c r="H1437" s="133">
        <v>0</v>
      </c>
      <c r="I1437" s="134">
        <v>0</v>
      </c>
      <c r="J1437" s="135">
        <v>0</v>
      </c>
      <c r="K1437" s="128">
        <v>0</v>
      </c>
    </row>
    <row r="1438" spans="1:17">
      <c r="A1438" s="1">
        <v>0</v>
      </c>
      <c r="B1438" s="132">
        <v>0</v>
      </c>
      <c r="C1438" s="132">
        <v>0</v>
      </c>
      <c r="D1438" s="1">
        <v>0</v>
      </c>
      <c r="E1438" s="133">
        <v>0</v>
      </c>
      <c r="F1438" s="133">
        <v>0</v>
      </c>
      <c r="G1438" s="133">
        <v>0</v>
      </c>
      <c r="H1438" s="133">
        <v>0</v>
      </c>
      <c r="I1438" s="134">
        <v>0</v>
      </c>
      <c r="J1438" s="135">
        <v>0</v>
      </c>
      <c r="K1438" s="128">
        <v>0</v>
      </c>
    </row>
    <row r="1439" spans="1:17">
      <c r="A1439" s="1">
        <v>0</v>
      </c>
      <c r="B1439" s="132">
        <v>0</v>
      </c>
      <c r="C1439" s="132">
        <v>0</v>
      </c>
      <c r="D1439" s="1">
        <v>0</v>
      </c>
      <c r="E1439" s="133">
        <v>0</v>
      </c>
      <c r="F1439" s="133">
        <v>0</v>
      </c>
      <c r="G1439" s="133">
        <v>0</v>
      </c>
      <c r="H1439" s="133">
        <v>0</v>
      </c>
      <c r="I1439" s="134">
        <v>0</v>
      </c>
      <c r="J1439" s="135">
        <v>0</v>
      </c>
      <c r="K1439" s="128">
        <v>0</v>
      </c>
    </row>
    <row r="1440" spans="1:17">
      <c r="A1440" s="1">
        <v>0</v>
      </c>
      <c r="B1440" s="132">
        <v>0</v>
      </c>
      <c r="C1440" s="132">
        <v>0</v>
      </c>
      <c r="D1440" s="1">
        <v>0</v>
      </c>
      <c r="E1440" s="133">
        <v>0</v>
      </c>
      <c r="F1440" s="133">
        <v>0</v>
      </c>
      <c r="G1440" s="133">
        <v>0</v>
      </c>
      <c r="H1440" s="133">
        <v>0</v>
      </c>
      <c r="I1440" s="134">
        <v>0</v>
      </c>
      <c r="J1440" s="135">
        <v>0</v>
      </c>
      <c r="K1440" s="128">
        <v>0</v>
      </c>
    </row>
    <row r="1441" spans="1:11">
      <c r="A1441" s="1">
        <v>0</v>
      </c>
      <c r="B1441" s="132">
        <v>0</v>
      </c>
      <c r="C1441" s="132">
        <v>0</v>
      </c>
      <c r="D1441" s="1">
        <v>0</v>
      </c>
      <c r="E1441" s="133">
        <v>0</v>
      </c>
      <c r="F1441" s="133">
        <v>0</v>
      </c>
      <c r="G1441" s="133">
        <v>0</v>
      </c>
      <c r="H1441" s="133">
        <v>0</v>
      </c>
      <c r="I1441" s="134">
        <v>0</v>
      </c>
      <c r="J1441" s="135">
        <v>0</v>
      </c>
      <c r="K1441" s="128">
        <v>0</v>
      </c>
    </row>
    <row r="1442" spans="1:11">
      <c r="A1442" s="1">
        <v>0</v>
      </c>
      <c r="B1442" s="132">
        <v>0</v>
      </c>
      <c r="C1442" s="132">
        <v>0</v>
      </c>
      <c r="D1442" s="1">
        <v>0</v>
      </c>
      <c r="E1442" s="133">
        <v>0</v>
      </c>
      <c r="F1442" s="133">
        <v>0</v>
      </c>
      <c r="G1442" s="133">
        <v>0</v>
      </c>
      <c r="H1442" s="133">
        <v>0</v>
      </c>
      <c r="I1442" s="134">
        <v>0</v>
      </c>
      <c r="J1442" s="135">
        <v>0</v>
      </c>
      <c r="K1442" s="128">
        <v>0</v>
      </c>
    </row>
    <row r="1443" spans="1:11">
      <c r="A1443" s="1">
        <v>0</v>
      </c>
      <c r="B1443" s="132">
        <v>0</v>
      </c>
      <c r="C1443" s="132">
        <v>0</v>
      </c>
      <c r="D1443" s="1">
        <v>0</v>
      </c>
      <c r="E1443" s="133">
        <v>0</v>
      </c>
      <c r="F1443" s="133">
        <v>0</v>
      </c>
      <c r="G1443" s="133">
        <v>0</v>
      </c>
      <c r="H1443" s="133">
        <v>0</v>
      </c>
      <c r="I1443" s="134">
        <v>0</v>
      </c>
      <c r="J1443" s="135">
        <v>0</v>
      </c>
      <c r="K1443" s="128">
        <v>0</v>
      </c>
    </row>
    <row r="1444" spans="1:11">
      <c r="A1444" s="1">
        <v>0</v>
      </c>
      <c r="B1444" s="132">
        <v>0</v>
      </c>
      <c r="C1444" s="132">
        <v>0</v>
      </c>
      <c r="D1444" s="1">
        <v>0</v>
      </c>
      <c r="E1444" s="133">
        <v>0</v>
      </c>
      <c r="F1444" s="133">
        <v>0</v>
      </c>
      <c r="G1444" s="133">
        <v>0</v>
      </c>
      <c r="H1444" s="133">
        <v>0</v>
      </c>
      <c r="I1444" s="134">
        <v>0</v>
      </c>
      <c r="J1444" s="135">
        <v>0</v>
      </c>
      <c r="K1444" s="128">
        <v>0</v>
      </c>
    </row>
    <row r="1445" spans="1:11">
      <c r="A1445" s="1">
        <v>0</v>
      </c>
      <c r="B1445" s="132">
        <v>0</v>
      </c>
      <c r="C1445" s="132">
        <v>0</v>
      </c>
      <c r="D1445" s="1">
        <v>0</v>
      </c>
      <c r="E1445" s="133">
        <v>0</v>
      </c>
      <c r="F1445" s="133">
        <v>0</v>
      </c>
      <c r="G1445" s="133">
        <v>0</v>
      </c>
      <c r="H1445" s="133">
        <v>0</v>
      </c>
      <c r="I1445" s="134">
        <v>0</v>
      </c>
      <c r="J1445" s="135">
        <v>0</v>
      </c>
      <c r="K1445" s="128">
        <v>0</v>
      </c>
    </row>
    <row r="1446" spans="1:11">
      <c r="A1446" s="1">
        <v>0</v>
      </c>
      <c r="B1446" s="132">
        <v>0</v>
      </c>
      <c r="C1446" s="132">
        <v>0</v>
      </c>
      <c r="D1446" s="1">
        <v>0</v>
      </c>
      <c r="E1446" s="133">
        <v>0</v>
      </c>
      <c r="F1446" s="133">
        <v>0</v>
      </c>
      <c r="G1446" s="133">
        <v>0</v>
      </c>
      <c r="H1446" s="133">
        <v>0</v>
      </c>
      <c r="I1446" s="134">
        <v>0</v>
      </c>
      <c r="J1446" s="135">
        <v>0</v>
      </c>
      <c r="K1446" s="128">
        <v>0</v>
      </c>
    </row>
    <row r="1447" spans="1:11">
      <c r="A1447" s="1">
        <v>0</v>
      </c>
      <c r="B1447" s="132">
        <v>0</v>
      </c>
      <c r="C1447" s="132">
        <v>0</v>
      </c>
      <c r="D1447" s="1">
        <v>0</v>
      </c>
      <c r="E1447" s="133">
        <v>0</v>
      </c>
      <c r="F1447" s="133">
        <v>0</v>
      </c>
      <c r="G1447" s="133">
        <v>0</v>
      </c>
      <c r="H1447" s="133">
        <v>0</v>
      </c>
      <c r="I1447" s="134">
        <v>0</v>
      </c>
      <c r="J1447" s="135">
        <v>0</v>
      </c>
      <c r="K1447" s="128">
        <v>0</v>
      </c>
    </row>
    <row r="1448" spans="1:11">
      <c r="A1448" s="1">
        <v>0</v>
      </c>
      <c r="B1448" s="132">
        <v>0</v>
      </c>
      <c r="C1448" s="132">
        <v>0</v>
      </c>
      <c r="D1448" s="1">
        <v>0</v>
      </c>
      <c r="E1448" s="133">
        <v>0</v>
      </c>
      <c r="F1448" s="133">
        <v>0</v>
      </c>
      <c r="G1448" s="133">
        <v>0</v>
      </c>
      <c r="H1448" s="133">
        <v>0</v>
      </c>
      <c r="I1448" s="134">
        <v>0</v>
      </c>
      <c r="J1448" s="135">
        <v>0</v>
      </c>
      <c r="K1448" s="128">
        <v>0</v>
      </c>
    </row>
    <row r="1449" spans="1:11">
      <c r="A1449" s="1">
        <v>0</v>
      </c>
      <c r="B1449" s="132">
        <v>0</v>
      </c>
      <c r="C1449" s="132">
        <v>0</v>
      </c>
      <c r="D1449" s="1">
        <v>0</v>
      </c>
      <c r="E1449" s="133">
        <v>0</v>
      </c>
      <c r="F1449" s="133">
        <v>0</v>
      </c>
      <c r="G1449" s="133">
        <v>0</v>
      </c>
      <c r="H1449" s="133">
        <v>0</v>
      </c>
      <c r="I1449" s="134">
        <v>0</v>
      </c>
      <c r="J1449" s="135">
        <v>0</v>
      </c>
      <c r="K1449" s="128">
        <v>0</v>
      </c>
    </row>
    <row r="1450" spans="1:11">
      <c r="A1450" s="1">
        <v>0</v>
      </c>
      <c r="B1450" s="132">
        <v>0</v>
      </c>
      <c r="C1450" s="132">
        <v>0</v>
      </c>
      <c r="D1450" s="1">
        <v>0</v>
      </c>
      <c r="E1450" s="133">
        <v>0</v>
      </c>
      <c r="F1450" s="133">
        <v>0</v>
      </c>
      <c r="G1450" s="133">
        <v>0</v>
      </c>
      <c r="H1450" s="133">
        <v>0</v>
      </c>
      <c r="I1450" s="134">
        <v>0</v>
      </c>
      <c r="J1450" s="135">
        <v>0</v>
      </c>
      <c r="K1450" s="128">
        <v>0</v>
      </c>
    </row>
    <row r="1451" spans="1:11">
      <c r="A1451" s="1">
        <v>0</v>
      </c>
      <c r="B1451" s="132">
        <v>0</v>
      </c>
      <c r="C1451" s="132">
        <v>0</v>
      </c>
      <c r="D1451" s="1">
        <v>0</v>
      </c>
      <c r="E1451" s="133">
        <v>0</v>
      </c>
      <c r="F1451" s="133">
        <v>0</v>
      </c>
      <c r="G1451" s="133">
        <v>0</v>
      </c>
      <c r="H1451" s="133">
        <v>0</v>
      </c>
      <c r="I1451" s="134">
        <v>0</v>
      </c>
      <c r="J1451" s="135">
        <v>0</v>
      </c>
      <c r="K1451" s="128">
        <v>0</v>
      </c>
    </row>
    <row r="1452" spans="1:11">
      <c r="A1452" s="1">
        <v>0</v>
      </c>
      <c r="B1452" s="132">
        <v>0</v>
      </c>
      <c r="C1452" s="132">
        <v>0</v>
      </c>
      <c r="D1452" s="1">
        <v>0</v>
      </c>
      <c r="E1452" s="133">
        <v>0</v>
      </c>
      <c r="F1452" s="133">
        <v>0</v>
      </c>
      <c r="G1452" s="133">
        <v>0</v>
      </c>
      <c r="H1452" s="133">
        <v>0</v>
      </c>
      <c r="I1452" s="134">
        <v>0</v>
      </c>
      <c r="J1452" s="135">
        <v>0</v>
      </c>
      <c r="K1452" s="128">
        <v>0</v>
      </c>
    </row>
    <row r="1453" spans="1:11">
      <c r="A1453" s="1">
        <v>0</v>
      </c>
      <c r="B1453" s="132">
        <v>0</v>
      </c>
      <c r="C1453" s="132">
        <v>0</v>
      </c>
      <c r="D1453" s="1">
        <v>0</v>
      </c>
      <c r="E1453" s="133">
        <v>0</v>
      </c>
      <c r="F1453" s="133">
        <v>0</v>
      </c>
      <c r="G1453" s="133">
        <v>0</v>
      </c>
      <c r="H1453" s="133">
        <v>0</v>
      </c>
      <c r="I1453" s="134">
        <v>0</v>
      </c>
      <c r="J1453" s="135">
        <v>0</v>
      </c>
      <c r="K1453" s="128">
        <v>0</v>
      </c>
    </row>
    <row r="1454" spans="1:11">
      <c r="A1454" s="1">
        <v>0</v>
      </c>
      <c r="B1454" s="132">
        <v>0</v>
      </c>
      <c r="C1454" s="132">
        <v>0</v>
      </c>
      <c r="D1454" s="1">
        <v>0</v>
      </c>
      <c r="E1454" s="133">
        <v>0</v>
      </c>
      <c r="F1454" s="133">
        <v>0</v>
      </c>
      <c r="G1454" s="133">
        <v>0</v>
      </c>
      <c r="H1454" s="133">
        <v>0</v>
      </c>
      <c r="I1454" s="134">
        <v>0</v>
      </c>
      <c r="J1454" s="135">
        <v>0</v>
      </c>
      <c r="K1454" s="128">
        <v>0</v>
      </c>
    </row>
    <row r="1455" spans="1:11">
      <c r="A1455" s="1">
        <v>0</v>
      </c>
      <c r="B1455" s="132">
        <v>0</v>
      </c>
      <c r="C1455" s="132">
        <v>0</v>
      </c>
      <c r="D1455" s="1">
        <v>0</v>
      </c>
      <c r="E1455" s="133">
        <v>0</v>
      </c>
      <c r="F1455" s="133">
        <v>0</v>
      </c>
      <c r="G1455" s="133">
        <v>0</v>
      </c>
      <c r="H1455" s="133">
        <v>0</v>
      </c>
      <c r="I1455" s="134">
        <v>0</v>
      </c>
      <c r="J1455" s="135">
        <v>0</v>
      </c>
      <c r="K1455" s="128">
        <v>0</v>
      </c>
    </row>
    <row r="1456" spans="1:11">
      <c r="A1456" s="1">
        <v>0</v>
      </c>
      <c r="B1456" s="132">
        <v>0</v>
      </c>
      <c r="C1456" s="132">
        <v>0</v>
      </c>
      <c r="D1456" s="1">
        <v>0</v>
      </c>
      <c r="E1456" s="133">
        <v>0</v>
      </c>
      <c r="F1456" s="133">
        <v>0</v>
      </c>
      <c r="G1456" s="133">
        <v>0</v>
      </c>
      <c r="H1456" s="133">
        <v>0</v>
      </c>
      <c r="I1456" s="134">
        <v>0</v>
      </c>
      <c r="J1456" s="135">
        <v>0</v>
      </c>
      <c r="K1456" s="128">
        <v>0</v>
      </c>
    </row>
    <row r="1457" spans="1:11">
      <c r="A1457" s="1">
        <v>0</v>
      </c>
      <c r="B1457" s="132">
        <v>0</v>
      </c>
      <c r="C1457" s="132">
        <v>0</v>
      </c>
      <c r="D1457" s="1">
        <v>0</v>
      </c>
      <c r="E1457" s="133">
        <v>0</v>
      </c>
      <c r="F1457" s="133">
        <v>0</v>
      </c>
      <c r="G1457" s="133">
        <v>0</v>
      </c>
      <c r="H1457" s="133">
        <v>0</v>
      </c>
      <c r="I1457" s="134">
        <v>0</v>
      </c>
      <c r="J1457" s="135">
        <v>0</v>
      </c>
      <c r="K1457" s="128">
        <v>0</v>
      </c>
    </row>
    <row r="1458" spans="1:11">
      <c r="A1458" s="1">
        <v>0</v>
      </c>
      <c r="B1458" s="132">
        <v>0</v>
      </c>
      <c r="C1458" s="132">
        <v>0</v>
      </c>
      <c r="D1458" s="1">
        <v>0</v>
      </c>
      <c r="E1458" s="133">
        <v>0</v>
      </c>
      <c r="F1458" s="133">
        <v>0</v>
      </c>
      <c r="G1458" s="133">
        <v>0</v>
      </c>
      <c r="H1458" s="133">
        <v>0</v>
      </c>
      <c r="I1458" s="134">
        <v>0</v>
      </c>
      <c r="J1458" s="135">
        <v>0</v>
      </c>
      <c r="K1458" s="128">
        <v>0</v>
      </c>
    </row>
    <row r="1459" spans="1:11">
      <c r="A1459" s="1">
        <v>0</v>
      </c>
      <c r="B1459" s="132">
        <v>0</v>
      </c>
      <c r="C1459" s="132">
        <v>0</v>
      </c>
      <c r="D1459" s="1">
        <v>0</v>
      </c>
      <c r="E1459" s="133">
        <v>0</v>
      </c>
      <c r="F1459" s="133">
        <v>0</v>
      </c>
      <c r="G1459" s="133">
        <v>0</v>
      </c>
      <c r="H1459" s="133">
        <v>0</v>
      </c>
      <c r="I1459" s="134">
        <v>0</v>
      </c>
      <c r="J1459" s="135">
        <v>0</v>
      </c>
      <c r="K1459" s="128">
        <v>0</v>
      </c>
    </row>
    <row r="1460" spans="1:11">
      <c r="A1460" s="1">
        <v>0</v>
      </c>
      <c r="B1460" s="132">
        <v>0</v>
      </c>
      <c r="C1460" s="132">
        <v>0</v>
      </c>
      <c r="D1460" s="1">
        <v>0</v>
      </c>
      <c r="E1460" s="133">
        <v>0</v>
      </c>
      <c r="F1460" s="133">
        <v>0</v>
      </c>
      <c r="G1460" s="133">
        <v>0</v>
      </c>
      <c r="H1460" s="133">
        <v>0</v>
      </c>
      <c r="I1460" s="134">
        <v>0</v>
      </c>
      <c r="J1460" s="135">
        <v>0</v>
      </c>
      <c r="K1460" s="128">
        <v>0</v>
      </c>
    </row>
    <row r="1461" spans="1:11">
      <c r="A1461" s="1">
        <v>0</v>
      </c>
      <c r="B1461" s="132">
        <v>0</v>
      </c>
      <c r="C1461" s="132">
        <v>0</v>
      </c>
      <c r="D1461" s="1">
        <v>0</v>
      </c>
      <c r="E1461" s="133">
        <v>0</v>
      </c>
      <c r="F1461" s="133">
        <v>0</v>
      </c>
      <c r="G1461" s="133">
        <v>0</v>
      </c>
      <c r="H1461" s="133">
        <v>0</v>
      </c>
      <c r="I1461" s="134">
        <v>0</v>
      </c>
      <c r="J1461" s="135">
        <v>0</v>
      </c>
      <c r="K1461" s="128">
        <v>0</v>
      </c>
    </row>
    <row r="1462" spans="1:11">
      <c r="A1462" s="1">
        <v>0</v>
      </c>
      <c r="B1462" s="132">
        <v>0</v>
      </c>
      <c r="C1462" s="132">
        <v>0</v>
      </c>
      <c r="D1462" s="1">
        <v>0</v>
      </c>
      <c r="E1462" s="133">
        <v>0</v>
      </c>
      <c r="F1462" s="133">
        <v>0</v>
      </c>
      <c r="G1462" s="133">
        <v>0</v>
      </c>
      <c r="H1462" s="133">
        <v>0</v>
      </c>
      <c r="I1462" s="134">
        <v>0</v>
      </c>
      <c r="J1462" s="135">
        <v>0</v>
      </c>
      <c r="K1462" s="128">
        <v>0</v>
      </c>
    </row>
    <row r="1463" spans="1:11">
      <c r="A1463" s="1">
        <v>0</v>
      </c>
      <c r="B1463" s="132">
        <v>0</v>
      </c>
      <c r="C1463" s="132">
        <v>0</v>
      </c>
      <c r="D1463" s="1">
        <v>0</v>
      </c>
      <c r="E1463" s="133">
        <v>0</v>
      </c>
      <c r="F1463" s="133">
        <v>0</v>
      </c>
      <c r="G1463" s="133">
        <v>0</v>
      </c>
      <c r="H1463" s="133">
        <v>0</v>
      </c>
      <c r="I1463" s="134">
        <v>0</v>
      </c>
      <c r="J1463" s="135">
        <v>0</v>
      </c>
      <c r="K1463" s="128">
        <v>0</v>
      </c>
    </row>
    <row r="1464" spans="1:11">
      <c r="A1464" s="1">
        <v>0</v>
      </c>
      <c r="B1464" s="132">
        <v>0</v>
      </c>
      <c r="C1464" s="132">
        <v>0</v>
      </c>
      <c r="D1464" s="1">
        <v>0</v>
      </c>
      <c r="E1464" s="133">
        <v>0</v>
      </c>
      <c r="F1464" s="133">
        <v>0</v>
      </c>
      <c r="G1464" s="133">
        <v>0</v>
      </c>
      <c r="H1464" s="133">
        <v>0</v>
      </c>
      <c r="I1464" s="134">
        <v>0</v>
      </c>
      <c r="J1464" s="135">
        <v>0</v>
      </c>
      <c r="K1464" s="128">
        <v>0</v>
      </c>
    </row>
    <row r="1465" spans="1:11">
      <c r="A1465" s="1">
        <v>0</v>
      </c>
      <c r="B1465" s="132">
        <v>0</v>
      </c>
      <c r="C1465" s="132">
        <v>0</v>
      </c>
      <c r="D1465" s="1">
        <v>0</v>
      </c>
      <c r="E1465" s="133">
        <v>0</v>
      </c>
      <c r="F1465" s="133">
        <v>0</v>
      </c>
      <c r="G1465" s="133">
        <v>0</v>
      </c>
      <c r="H1465" s="133">
        <v>0</v>
      </c>
      <c r="I1465" s="134">
        <v>0</v>
      </c>
      <c r="J1465" s="135">
        <v>0</v>
      </c>
      <c r="K1465" s="128">
        <v>0</v>
      </c>
    </row>
    <row r="1466" spans="1:11">
      <c r="A1466" s="1">
        <v>0</v>
      </c>
      <c r="B1466" s="132">
        <v>0</v>
      </c>
      <c r="C1466" s="132">
        <v>0</v>
      </c>
      <c r="D1466" s="1">
        <v>0</v>
      </c>
      <c r="E1466" s="133">
        <v>0</v>
      </c>
      <c r="F1466" s="133">
        <v>0</v>
      </c>
      <c r="G1466" s="133">
        <v>0</v>
      </c>
      <c r="H1466" s="133">
        <v>0</v>
      </c>
      <c r="I1466" s="134">
        <v>0</v>
      </c>
      <c r="J1466" s="135">
        <v>0</v>
      </c>
      <c r="K1466" s="128">
        <v>0</v>
      </c>
    </row>
    <row r="1467" spans="1:11">
      <c r="A1467" s="1">
        <v>0</v>
      </c>
      <c r="B1467" s="132">
        <v>0</v>
      </c>
      <c r="C1467" s="132">
        <v>0</v>
      </c>
      <c r="D1467" s="1">
        <v>0</v>
      </c>
      <c r="E1467" s="133">
        <v>0</v>
      </c>
      <c r="F1467" s="133">
        <v>0</v>
      </c>
      <c r="G1467" s="133">
        <v>0</v>
      </c>
      <c r="H1467" s="133">
        <v>0</v>
      </c>
      <c r="I1467" s="134">
        <v>0</v>
      </c>
      <c r="J1467" s="135">
        <v>0</v>
      </c>
      <c r="K1467" s="128">
        <v>0</v>
      </c>
    </row>
    <row r="1468" spans="1:11">
      <c r="A1468" s="1">
        <v>0</v>
      </c>
      <c r="B1468" s="132">
        <v>0</v>
      </c>
      <c r="C1468" s="132">
        <v>0</v>
      </c>
      <c r="D1468" s="1">
        <v>0</v>
      </c>
      <c r="E1468" s="133">
        <v>0</v>
      </c>
      <c r="F1468" s="133">
        <v>0</v>
      </c>
      <c r="G1468" s="133">
        <v>0</v>
      </c>
      <c r="H1468" s="133">
        <v>0</v>
      </c>
      <c r="I1468" s="134">
        <v>0</v>
      </c>
      <c r="J1468" s="135">
        <v>0</v>
      </c>
      <c r="K1468" s="128">
        <v>0</v>
      </c>
    </row>
    <row r="1469" spans="1:11">
      <c r="A1469" s="1">
        <v>0</v>
      </c>
      <c r="B1469" s="132">
        <v>0</v>
      </c>
      <c r="C1469" s="132">
        <v>0</v>
      </c>
      <c r="D1469" s="1">
        <v>0</v>
      </c>
      <c r="E1469" s="133">
        <v>0</v>
      </c>
      <c r="F1469" s="133">
        <v>0</v>
      </c>
      <c r="G1469" s="133">
        <v>0</v>
      </c>
      <c r="H1469" s="133">
        <v>0</v>
      </c>
      <c r="I1469" s="134">
        <v>0</v>
      </c>
      <c r="J1469" s="135">
        <v>0</v>
      </c>
      <c r="K1469" s="128">
        <v>0</v>
      </c>
    </row>
    <row r="1470" spans="1:11">
      <c r="A1470" s="1">
        <v>0</v>
      </c>
      <c r="B1470" s="132">
        <v>0</v>
      </c>
      <c r="C1470" s="132">
        <v>0</v>
      </c>
      <c r="D1470" s="1">
        <v>0</v>
      </c>
      <c r="E1470" s="133">
        <v>0</v>
      </c>
      <c r="F1470" s="133">
        <v>0</v>
      </c>
      <c r="G1470" s="133">
        <v>0</v>
      </c>
      <c r="H1470" s="133">
        <v>0</v>
      </c>
      <c r="I1470" s="134">
        <v>0</v>
      </c>
      <c r="J1470" s="135">
        <v>0</v>
      </c>
      <c r="K1470" s="128">
        <v>0</v>
      </c>
    </row>
    <row r="1471" spans="1:11">
      <c r="A1471" s="1">
        <v>0</v>
      </c>
      <c r="B1471" s="132">
        <v>0</v>
      </c>
      <c r="C1471" s="132">
        <v>0</v>
      </c>
      <c r="D1471" s="1">
        <v>0</v>
      </c>
      <c r="E1471" s="133">
        <v>0</v>
      </c>
      <c r="F1471" s="133">
        <v>0</v>
      </c>
      <c r="G1471" s="133">
        <v>0</v>
      </c>
      <c r="H1471" s="133">
        <v>0</v>
      </c>
      <c r="I1471" s="134">
        <v>0</v>
      </c>
      <c r="J1471" s="135">
        <v>0</v>
      </c>
      <c r="K1471" s="128">
        <v>0</v>
      </c>
    </row>
    <row r="1472" spans="1:11">
      <c r="A1472" s="1">
        <v>0</v>
      </c>
      <c r="B1472" s="132">
        <v>0</v>
      </c>
      <c r="C1472" s="132">
        <v>0</v>
      </c>
      <c r="D1472" s="1">
        <v>0</v>
      </c>
      <c r="E1472" s="133">
        <v>0</v>
      </c>
      <c r="F1472" s="133">
        <v>0</v>
      </c>
      <c r="G1472" s="133">
        <v>0</v>
      </c>
      <c r="H1472" s="133">
        <v>0</v>
      </c>
      <c r="I1472" s="134">
        <v>0</v>
      </c>
      <c r="J1472" s="135">
        <v>0</v>
      </c>
      <c r="K1472" s="128">
        <v>0</v>
      </c>
    </row>
    <row r="1473" spans="1:11">
      <c r="A1473" s="1">
        <v>0</v>
      </c>
      <c r="B1473" s="132">
        <v>0</v>
      </c>
      <c r="C1473" s="132">
        <v>0</v>
      </c>
      <c r="D1473" s="1">
        <v>0</v>
      </c>
      <c r="E1473" s="133">
        <v>0</v>
      </c>
      <c r="F1473" s="133">
        <v>0</v>
      </c>
      <c r="G1473" s="133">
        <v>0</v>
      </c>
      <c r="H1473" s="133">
        <v>0</v>
      </c>
      <c r="I1473" s="134">
        <v>0</v>
      </c>
      <c r="J1473" s="135">
        <v>0</v>
      </c>
      <c r="K1473" s="128">
        <v>0</v>
      </c>
    </row>
    <row r="1474" spans="1:11">
      <c r="A1474" s="1">
        <v>0</v>
      </c>
      <c r="B1474" s="132">
        <v>0</v>
      </c>
      <c r="C1474" s="132">
        <v>0</v>
      </c>
      <c r="D1474" s="1">
        <v>0</v>
      </c>
      <c r="E1474" s="133">
        <v>0</v>
      </c>
      <c r="F1474" s="133">
        <v>0</v>
      </c>
      <c r="G1474" s="133">
        <v>0</v>
      </c>
      <c r="H1474" s="133">
        <v>0</v>
      </c>
      <c r="I1474" s="134">
        <v>0</v>
      </c>
      <c r="J1474" s="135">
        <v>0</v>
      </c>
      <c r="K1474" s="128">
        <v>0</v>
      </c>
    </row>
    <row r="1475" spans="1:11">
      <c r="A1475" s="1">
        <v>0</v>
      </c>
      <c r="B1475" s="132">
        <v>0</v>
      </c>
      <c r="C1475" s="132">
        <v>0</v>
      </c>
      <c r="D1475" s="1">
        <v>0</v>
      </c>
      <c r="E1475" s="133">
        <v>0</v>
      </c>
      <c r="F1475" s="133">
        <v>0</v>
      </c>
      <c r="G1475" s="133">
        <v>0</v>
      </c>
      <c r="H1475" s="133">
        <v>0</v>
      </c>
      <c r="I1475" s="134">
        <v>0</v>
      </c>
      <c r="J1475" s="135">
        <v>0</v>
      </c>
      <c r="K1475" s="128">
        <v>0</v>
      </c>
    </row>
    <row r="1476" spans="1:11">
      <c r="A1476" s="1">
        <v>0</v>
      </c>
      <c r="B1476" s="132">
        <v>0</v>
      </c>
      <c r="C1476" s="132">
        <v>0</v>
      </c>
      <c r="D1476" s="1">
        <v>0</v>
      </c>
      <c r="E1476" s="133">
        <v>0</v>
      </c>
      <c r="F1476" s="133">
        <v>0</v>
      </c>
      <c r="G1476" s="133">
        <v>0</v>
      </c>
      <c r="H1476" s="133">
        <v>0</v>
      </c>
      <c r="I1476" s="134">
        <v>0</v>
      </c>
      <c r="J1476" s="135">
        <v>0</v>
      </c>
      <c r="K1476" s="128">
        <v>0</v>
      </c>
    </row>
    <row r="1477" spans="1:11">
      <c r="A1477" s="1">
        <v>0</v>
      </c>
      <c r="B1477" s="132">
        <v>0</v>
      </c>
      <c r="C1477" s="132">
        <v>0</v>
      </c>
      <c r="D1477" s="1">
        <v>0</v>
      </c>
      <c r="E1477" s="133">
        <v>0</v>
      </c>
      <c r="F1477" s="133">
        <v>0</v>
      </c>
      <c r="G1477" s="133">
        <v>0</v>
      </c>
      <c r="H1477" s="133">
        <v>0</v>
      </c>
      <c r="I1477" s="134">
        <v>0</v>
      </c>
      <c r="J1477" s="135">
        <v>0</v>
      </c>
      <c r="K1477" s="128">
        <v>0</v>
      </c>
    </row>
    <row r="1478" spans="1:11">
      <c r="A1478" s="1">
        <v>0</v>
      </c>
      <c r="B1478" s="132">
        <v>0</v>
      </c>
      <c r="C1478" s="132">
        <v>0</v>
      </c>
      <c r="D1478" s="1">
        <v>0</v>
      </c>
      <c r="E1478" s="133">
        <v>0</v>
      </c>
      <c r="F1478" s="133">
        <v>0</v>
      </c>
      <c r="G1478" s="133">
        <v>0</v>
      </c>
      <c r="H1478" s="133">
        <v>0</v>
      </c>
      <c r="I1478" s="134">
        <v>0</v>
      </c>
      <c r="J1478" s="135">
        <v>0</v>
      </c>
      <c r="K1478" s="128">
        <v>0</v>
      </c>
    </row>
    <row r="1479" spans="1:11">
      <c r="A1479" s="1">
        <v>0</v>
      </c>
      <c r="B1479" s="132">
        <v>0</v>
      </c>
      <c r="C1479" s="132">
        <v>0</v>
      </c>
      <c r="D1479" s="1">
        <v>0</v>
      </c>
      <c r="E1479" s="133">
        <v>0</v>
      </c>
      <c r="F1479" s="133">
        <v>0</v>
      </c>
      <c r="G1479" s="133">
        <v>0</v>
      </c>
      <c r="H1479" s="133">
        <v>0</v>
      </c>
      <c r="I1479" s="134">
        <v>0</v>
      </c>
      <c r="J1479" s="135">
        <v>0</v>
      </c>
      <c r="K1479" s="128">
        <v>0</v>
      </c>
    </row>
    <row r="1480" spans="1:11">
      <c r="A1480" s="1">
        <v>0</v>
      </c>
      <c r="B1480" s="132">
        <v>0</v>
      </c>
      <c r="C1480" s="132">
        <v>0</v>
      </c>
      <c r="D1480" s="1">
        <v>0</v>
      </c>
      <c r="E1480" s="133">
        <v>0</v>
      </c>
      <c r="F1480" s="133">
        <v>0</v>
      </c>
      <c r="G1480" s="133">
        <v>0</v>
      </c>
      <c r="H1480" s="133">
        <v>0</v>
      </c>
      <c r="I1480" s="134">
        <v>0</v>
      </c>
      <c r="J1480" s="135">
        <v>0</v>
      </c>
      <c r="K1480" s="128">
        <v>0</v>
      </c>
    </row>
    <row r="1481" spans="1:11">
      <c r="A1481" s="1">
        <v>0</v>
      </c>
      <c r="B1481" s="132">
        <v>0</v>
      </c>
      <c r="C1481" s="132">
        <v>0</v>
      </c>
      <c r="D1481" s="1">
        <v>0</v>
      </c>
      <c r="E1481" s="133">
        <v>0</v>
      </c>
      <c r="F1481" s="133">
        <v>0</v>
      </c>
      <c r="G1481" s="133">
        <v>0</v>
      </c>
      <c r="H1481" s="133">
        <v>0</v>
      </c>
      <c r="I1481" s="134">
        <v>0</v>
      </c>
      <c r="J1481" s="135">
        <v>0</v>
      </c>
      <c r="K1481" s="128">
        <v>0</v>
      </c>
    </row>
    <row r="1482" spans="1:11">
      <c r="A1482" s="1">
        <v>0</v>
      </c>
      <c r="B1482" s="132">
        <v>0</v>
      </c>
      <c r="C1482" s="132">
        <v>0</v>
      </c>
      <c r="D1482" s="1">
        <v>0</v>
      </c>
      <c r="E1482" s="133">
        <v>0</v>
      </c>
      <c r="F1482" s="133">
        <v>0</v>
      </c>
      <c r="G1482" s="133">
        <v>0</v>
      </c>
      <c r="H1482" s="133">
        <v>0</v>
      </c>
      <c r="I1482" s="134">
        <v>0</v>
      </c>
      <c r="J1482" s="135">
        <v>0</v>
      </c>
      <c r="K1482" s="128">
        <v>0</v>
      </c>
    </row>
    <row r="1483" spans="1:11">
      <c r="A1483" s="1">
        <v>0</v>
      </c>
      <c r="B1483" s="132">
        <v>0</v>
      </c>
      <c r="C1483" s="132">
        <v>0</v>
      </c>
      <c r="D1483" s="1">
        <v>0</v>
      </c>
      <c r="E1483" s="133">
        <v>0</v>
      </c>
      <c r="F1483" s="133">
        <v>0</v>
      </c>
      <c r="G1483" s="133">
        <v>0</v>
      </c>
      <c r="H1483" s="133">
        <v>0</v>
      </c>
      <c r="I1483" s="134">
        <v>0</v>
      </c>
      <c r="J1483" s="135">
        <v>0</v>
      </c>
      <c r="K1483" s="128">
        <v>0</v>
      </c>
    </row>
    <row r="1484" spans="1:11">
      <c r="A1484" s="1">
        <v>0</v>
      </c>
      <c r="B1484" s="132">
        <v>0</v>
      </c>
      <c r="C1484" s="132">
        <v>0</v>
      </c>
      <c r="D1484" s="1">
        <v>0</v>
      </c>
      <c r="E1484" s="133">
        <v>0</v>
      </c>
      <c r="F1484" s="133">
        <v>0</v>
      </c>
      <c r="G1484" s="133">
        <v>0</v>
      </c>
      <c r="H1484" s="133">
        <v>0</v>
      </c>
      <c r="I1484" s="134">
        <v>0</v>
      </c>
      <c r="J1484" s="135">
        <v>0</v>
      </c>
      <c r="K1484" s="128">
        <v>0</v>
      </c>
    </row>
    <row r="1485" spans="1:11">
      <c r="A1485" s="1">
        <v>0</v>
      </c>
      <c r="B1485" s="132">
        <v>0</v>
      </c>
      <c r="C1485" s="132">
        <v>0</v>
      </c>
      <c r="D1485" s="1">
        <v>0</v>
      </c>
      <c r="E1485" s="133">
        <v>0</v>
      </c>
      <c r="F1485" s="133">
        <v>0</v>
      </c>
      <c r="G1485" s="133">
        <v>0</v>
      </c>
      <c r="H1485" s="133">
        <v>0</v>
      </c>
      <c r="I1485" s="134">
        <v>0</v>
      </c>
      <c r="J1485" s="135">
        <v>0</v>
      </c>
      <c r="K1485" s="128">
        <v>0</v>
      </c>
    </row>
    <row r="1486" spans="1:11">
      <c r="A1486" s="1">
        <v>0</v>
      </c>
      <c r="B1486" s="132">
        <v>0</v>
      </c>
      <c r="C1486" s="132">
        <v>0</v>
      </c>
      <c r="D1486" s="1">
        <v>0</v>
      </c>
      <c r="E1486" s="133">
        <v>0</v>
      </c>
      <c r="F1486" s="133">
        <v>0</v>
      </c>
      <c r="G1486" s="133">
        <v>0</v>
      </c>
      <c r="H1486" s="133">
        <v>0</v>
      </c>
      <c r="I1486" s="134">
        <v>0</v>
      </c>
      <c r="J1486" s="135">
        <v>0</v>
      </c>
      <c r="K1486" s="128">
        <v>0</v>
      </c>
    </row>
    <row r="1487" spans="1:11">
      <c r="A1487" s="1">
        <v>0</v>
      </c>
      <c r="B1487" s="132">
        <v>0</v>
      </c>
      <c r="C1487" s="132">
        <v>0</v>
      </c>
      <c r="D1487" s="1">
        <v>0</v>
      </c>
      <c r="E1487" s="133">
        <v>0</v>
      </c>
      <c r="F1487" s="133">
        <v>0</v>
      </c>
      <c r="G1487" s="133">
        <v>0</v>
      </c>
      <c r="H1487" s="133">
        <v>0</v>
      </c>
      <c r="I1487" s="134">
        <v>0</v>
      </c>
      <c r="J1487" s="135">
        <v>0</v>
      </c>
      <c r="K1487" s="128">
        <v>0</v>
      </c>
    </row>
    <row r="1488" spans="1:11">
      <c r="A1488" s="1">
        <v>0</v>
      </c>
      <c r="B1488" s="132">
        <v>0</v>
      </c>
      <c r="C1488" s="132">
        <v>0</v>
      </c>
      <c r="D1488" s="1">
        <v>0</v>
      </c>
      <c r="E1488" s="133">
        <v>0</v>
      </c>
      <c r="F1488" s="133">
        <v>0</v>
      </c>
      <c r="G1488" s="133">
        <v>0</v>
      </c>
      <c r="H1488" s="133">
        <v>0</v>
      </c>
      <c r="I1488" s="134">
        <v>0</v>
      </c>
      <c r="J1488" s="135">
        <v>0</v>
      </c>
      <c r="K1488" s="128">
        <v>0</v>
      </c>
    </row>
    <row r="1489" spans="1:11">
      <c r="A1489" s="1">
        <v>0</v>
      </c>
      <c r="B1489" s="132">
        <v>0</v>
      </c>
      <c r="C1489" s="132">
        <v>0</v>
      </c>
      <c r="D1489" s="1">
        <v>0</v>
      </c>
      <c r="E1489" s="133">
        <v>0</v>
      </c>
      <c r="F1489" s="133">
        <v>0</v>
      </c>
      <c r="G1489" s="133">
        <v>0</v>
      </c>
      <c r="H1489" s="133">
        <v>0</v>
      </c>
      <c r="I1489" s="134">
        <v>0</v>
      </c>
      <c r="J1489" s="135">
        <v>0</v>
      </c>
      <c r="K1489" s="128">
        <v>0</v>
      </c>
    </row>
    <row r="1490" spans="1:11">
      <c r="A1490" s="1">
        <v>0</v>
      </c>
      <c r="B1490" s="132">
        <v>0</v>
      </c>
      <c r="C1490" s="132">
        <v>0</v>
      </c>
      <c r="D1490" s="1">
        <v>0</v>
      </c>
      <c r="E1490" s="133">
        <v>0</v>
      </c>
      <c r="F1490" s="133">
        <v>0</v>
      </c>
      <c r="G1490" s="133">
        <v>0</v>
      </c>
      <c r="H1490" s="133">
        <v>0</v>
      </c>
      <c r="I1490" s="134">
        <v>0</v>
      </c>
      <c r="J1490" s="135">
        <v>0</v>
      </c>
      <c r="K1490" s="128">
        <v>0</v>
      </c>
    </row>
    <row r="1491" spans="1:11">
      <c r="A1491" s="1">
        <v>0</v>
      </c>
      <c r="B1491" s="132">
        <v>0</v>
      </c>
      <c r="C1491" s="132">
        <v>0</v>
      </c>
      <c r="D1491" s="1">
        <v>0</v>
      </c>
      <c r="E1491" s="133">
        <v>0</v>
      </c>
      <c r="F1491" s="133">
        <v>0</v>
      </c>
      <c r="G1491" s="133">
        <v>0</v>
      </c>
      <c r="H1491" s="133">
        <v>0</v>
      </c>
      <c r="I1491" s="134">
        <v>0</v>
      </c>
      <c r="J1491" s="135">
        <v>0</v>
      </c>
      <c r="K1491" s="128">
        <v>0</v>
      </c>
    </row>
    <row r="1492" spans="1:11">
      <c r="A1492" s="1">
        <v>0</v>
      </c>
      <c r="B1492" s="132">
        <v>0</v>
      </c>
      <c r="C1492" s="132">
        <v>0</v>
      </c>
      <c r="D1492" s="1">
        <v>0</v>
      </c>
      <c r="E1492" s="133">
        <v>0</v>
      </c>
      <c r="F1492" s="133">
        <v>0</v>
      </c>
      <c r="G1492" s="133">
        <v>0</v>
      </c>
      <c r="H1492" s="133">
        <v>0</v>
      </c>
      <c r="I1492" s="134">
        <v>0</v>
      </c>
      <c r="J1492" s="135">
        <v>0</v>
      </c>
      <c r="K1492" s="128">
        <v>0</v>
      </c>
    </row>
    <row r="1493" spans="1:11">
      <c r="A1493" s="1">
        <v>0</v>
      </c>
      <c r="B1493" s="132">
        <v>0</v>
      </c>
      <c r="C1493" s="132">
        <v>0</v>
      </c>
      <c r="D1493" s="1">
        <v>0</v>
      </c>
      <c r="E1493" s="133">
        <v>0</v>
      </c>
      <c r="F1493" s="133">
        <v>0</v>
      </c>
      <c r="G1493" s="133">
        <v>0</v>
      </c>
      <c r="H1493" s="133">
        <v>0</v>
      </c>
      <c r="I1493" s="134">
        <v>0</v>
      </c>
      <c r="J1493" s="135">
        <v>0</v>
      </c>
      <c r="K1493" s="128">
        <v>0</v>
      </c>
    </row>
    <row r="1494" spans="1:11">
      <c r="A1494" s="1">
        <v>0</v>
      </c>
      <c r="B1494" s="132">
        <v>0</v>
      </c>
      <c r="C1494" s="132">
        <v>0</v>
      </c>
      <c r="D1494" s="1">
        <v>0</v>
      </c>
      <c r="E1494" s="133">
        <v>0</v>
      </c>
      <c r="F1494" s="133">
        <v>0</v>
      </c>
      <c r="G1494" s="133">
        <v>0</v>
      </c>
      <c r="H1494" s="133">
        <v>0</v>
      </c>
      <c r="I1494" s="134">
        <v>0</v>
      </c>
      <c r="J1494" s="135">
        <v>0</v>
      </c>
      <c r="K1494" s="128">
        <v>0</v>
      </c>
    </row>
    <row r="1495" spans="1:11">
      <c r="A1495" s="1">
        <v>0</v>
      </c>
      <c r="B1495" s="132">
        <v>0</v>
      </c>
      <c r="C1495" s="132">
        <v>0</v>
      </c>
      <c r="D1495" s="1">
        <v>0</v>
      </c>
      <c r="E1495" s="133">
        <v>0</v>
      </c>
      <c r="F1495" s="133">
        <v>0</v>
      </c>
      <c r="G1495" s="133">
        <v>0</v>
      </c>
      <c r="H1495" s="133">
        <v>0</v>
      </c>
      <c r="I1495" s="134">
        <v>0</v>
      </c>
      <c r="J1495" s="135">
        <v>0</v>
      </c>
      <c r="K1495" s="128">
        <v>0</v>
      </c>
    </row>
    <row r="1496" spans="1:11">
      <c r="A1496" s="1">
        <v>0</v>
      </c>
      <c r="B1496" s="132">
        <v>0</v>
      </c>
      <c r="C1496" s="132">
        <v>0</v>
      </c>
      <c r="D1496" s="1">
        <v>0</v>
      </c>
      <c r="E1496" s="133">
        <v>0</v>
      </c>
      <c r="F1496" s="133">
        <v>0</v>
      </c>
      <c r="G1496" s="133">
        <v>0</v>
      </c>
      <c r="H1496" s="133">
        <v>0</v>
      </c>
      <c r="I1496" s="134">
        <v>0</v>
      </c>
      <c r="J1496" s="135">
        <v>0</v>
      </c>
      <c r="K1496" s="128">
        <v>0</v>
      </c>
    </row>
    <row r="1497" spans="1:11">
      <c r="A1497" s="1">
        <v>0</v>
      </c>
      <c r="B1497" s="132">
        <v>0</v>
      </c>
      <c r="C1497" s="132">
        <v>0</v>
      </c>
      <c r="D1497" s="1">
        <v>0</v>
      </c>
      <c r="E1497" s="133">
        <v>0</v>
      </c>
      <c r="F1497" s="133">
        <v>0</v>
      </c>
      <c r="G1497" s="133">
        <v>0</v>
      </c>
      <c r="H1497" s="133">
        <v>0</v>
      </c>
      <c r="I1497" s="134">
        <v>0</v>
      </c>
      <c r="J1497" s="135">
        <v>0</v>
      </c>
      <c r="K1497" s="128">
        <v>0</v>
      </c>
    </row>
    <row r="1498" spans="1:11">
      <c r="A1498" s="1">
        <v>0</v>
      </c>
      <c r="B1498" s="132">
        <v>0</v>
      </c>
      <c r="C1498" s="132">
        <v>0</v>
      </c>
      <c r="D1498" s="1">
        <v>0</v>
      </c>
      <c r="E1498" s="133">
        <v>0</v>
      </c>
      <c r="F1498" s="133">
        <v>0</v>
      </c>
      <c r="G1498" s="133">
        <v>0</v>
      </c>
      <c r="H1498" s="133">
        <v>0</v>
      </c>
      <c r="I1498" s="134">
        <v>0</v>
      </c>
      <c r="J1498" s="135">
        <v>0</v>
      </c>
      <c r="K1498" s="128">
        <v>0</v>
      </c>
    </row>
    <row r="1499" spans="1:11">
      <c r="A1499" s="1">
        <v>0</v>
      </c>
      <c r="B1499" s="132">
        <v>0</v>
      </c>
      <c r="C1499" s="132">
        <v>0</v>
      </c>
      <c r="D1499" s="1">
        <v>0</v>
      </c>
      <c r="E1499" s="133">
        <v>0</v>
      </c>
      <c r="F1499" s="133">
        <v>0</v>
      </c>
      <c r="G1499" s="133">
        <v>0</v>
      </c>
      <c r="H1499" s="133">
        <v>0</v>
      </c>
      <c r="I1499" s="134">
        <v>0</v>
      </c>
      <c r="J1499" s="135">
        <v>0</v>
      </c>
      <c r="K1499" s="128">
        <v>0</v>
      </c>
    </row>
    <row r="1500" spans="1:11">
      <c r="A1500" s="1">
        <v>0</v>
      </c>
      <c r="B1500" s="132">
        <v>0</v>
      </c>
      <c r="C1500" s="132">
        <v>0</v>
      </c>
      <c r="D1500" s="1">
        <v>0</v>
      </c>
      <c r="E1500" s="133">
        <v>0</v>
      </c>
      <c r="F1500" s="133">
        <v>0</v>
      </c>
      <c r="G1500" s="133">
        <v>0</v>
      </c>
      <c r="H1500" s="133">
        <v>0</v>
      </c>
      <c r="I1500" s="134">
        <v>0</v>
      </c>
      <c r="J1500" s="135">
        <v>0</v>
      </c>
      <c r="K1500" s="128">
        <v>0</v>
      </c>
    </row>
    <row r="1501" spans="1:11">
      <c r="A1501" s="1">
        <v>0</v>
      </c>
      <c r="B1501" s="132">
        <v>0</v>
      </c>
      <c r="C1501" s="132">
        <v>0</v>
      </c>
      <c r="D1501" s="1">
        <v>0</v>
      </c>
      <c r="E1501" s="133">
        <v>0</v>
      </c>
      <c r="F1501" s="133">
        <v>0</v>
      </c>
      <c r="G1501" s="133">
        <v>0</v>
      </c>
      <c r="H1501" s="133">
        <v>0</v>
      </c>
      <c r="I1501" s="134">
        <v>0</v>
      </c>
      <c r="J1501" s="135">
        <v>0</v>
      </c>
      <c r="K1501" s="128">
        <v>0</v>
      </c>
    </row>
    <row r="1502" spans="1:11">
      <c r="A1502" s="1">
        <v>0</v>
      </c>
      <c r="B1502" s="132">
        <v>0</v>
      </c>
      <c r="C1502" s="132">
        <v>0</v>
      </c>
      <c r="D1502" s="1">
        <v>0</v>
      </c>
      <c r="E1502" s="133">
        <v>0</v>
      </c>
      <c r="F1502" s="133">
        <v>0</v>
      </c>
      <c r="G1502" s="133">
        <v>0</v>
      </c>
      <c r="H1502" s="133">
        <v>0</v>
      </c>
      <c r="I1502" s="134">
        <v>0</v>
      </c>
      <c r="J1502" s="135">
        <v>0</v>
      </c>
      <c r="K1502" s="128">
        <v>0</v>
      </c>
    </row>
    <row r="1503" spans="1:11">
      <c r="A1503" s="1">
        <v>0</v>
      </c>
      <c r="B1503" s="132">
        <v>0</v>
      </c>
      <c r="C1503" s="132">
        <v>0</v>
      </c>
      <c r="D1503" s="1">
        <v>0</v>
      </c>
      <c r="E1503" s="133">
        <v>0</v>
      </c>
      <c r="F1503" s="133">
        <v>0</v>
      </c>
      <c r="G1503" s="133">
        <v>0</v>
      </c>
      <c r="H1503" s="133">
        <v>0</v>
      </c>
      <c r="I1503" s="134">
        <v>0</v>
      </c>
      <c r="J1503" s="135">
        <v>0</v>
      </c>
      <c r="K1503" s="128">
        <v>0</v>
      </c>
    </row>
    <row r="1504" spans="1:11">
      <c r="A1504" s="1">
        <v>0</v>
      </c>
      <c r="B1504" s="132">
        <v>0</v>
      </c>
      <c r="C1504" s="132">
        <v>0</v>
      </c>
      <c r="D1504" s="1">
        <v>0</v>
      </c>
      <c r="E1504" s="133">
        <v>0</v>
      </c>
      <c r="F1504" s="133">
        <v>0</v>
      </c>
      <c r="G1504" s="133">
        <v>0</v>
      </c>
      <c r="H1504" s="133">
        <v>0</v>
      </c>
      <c r="I1504" s="134">
        <v>0</v>
      </c>
      <c r="J1504" s="135">
        <v>0</v>
      </c>
      <c r="K1504" s="128">
        <v>0</v>
      </c>
    </row>
    <row r="1505" spans="1:11">
      <c r="A1505" s="1">
        <v>0</v>
      </c>
      <c r="B1505" s="132">
        <v>0</v>
      </c>
      <c r="C1505" s="132">
        <v>0</v>
      </c>
      <c r="D1505" s="1">
        <v>0</v>
      </c>
      <c r="E1505" s="133">
        <v>0</v>
      </c>
      <c r="F1505" s="133">
        <v>0</v>
      </c>
      <c r="G1505" s="133">
        <v>0</v>
      </c>
      <c r="H1505" s="133">
        <v>0</v>
      </c>
      <c r="I1505" s="134">
        <v>0</v>
      </c>
      <c r="J1505" s="135">
        <v>0</v>
      </c>
      <c r="K1505" s="128">
        <v>0</v>
      </c>
    </row>
    <row r="1506" spans="1:11">
      <c r="A1506" s="1">
        <v>0</v>
      </c>
      <c r="B1506" s="132">
        <v>0</v>
      </c>
      <c r="C1506" s="132">
        <v>0</v>
      </c>
      <c r="D1506" s="1">
        <v>0</v>
      </c>
      <c r="E1506" s="133">
        <v>0</v>
      </c>
      <c r="F1506" s="133">
        <v>0</v>
      </c>
      <c r="G1506" s="133">
        <v>0</v>
      </c>
      <c r="H1506" s="133">
        <v>0</v>
      </c>
      <c r="I1506" s="134">
        <v>0</v>
      </c>
      <c r="J1506" s="135">
        <v>0</v>
      </c>
      <c r="K1506" s="128">
        <v>0</v>
      </c>
    </row>
    <row r="1507" spans="1:11">
      <c r="A1507" s="1">
        <v>0</v>
      </c>
      <c r="B1507" s="132">
        <v>0</v>
      </c>
      <c r="C1507" s="132">
        <v>0</v>
      </c>
      <c r="D1507" s="1">
        <v>0</v>
      </c>
      <c r="E1507" s="133">
        <v>0</v>
      </c>
      <c r="F1507" s="133">
        <v>0</v>
      </c>
      <c r="G1507" s="133">
        <v>0</v>
      </c>
      <c r="H1507" s="133">
        <v>0</v>
      </c>
      <c r="I1507" s="134">
        <v>0</v>
      </c>
      <c r="J1507" s="135">
        <v>0</v>
      </c>
      <c r="K1507" s="128">
        <v>0</v>
      </c>
    </row>
    <row r="1508" spans="1:11">
      <c r="A1508" s="1">
        <v>0</v>
      </c>
      <c r="B1508" s="132">
        <v>0</v>
      </c>
      <c r="C1508" s="132">
        <v>0</v>
      </c>
      <c r="D1508" s="1">
        <v>0</v>
      </c>
      <c r="E1508" s="133">
        <v>0</v>
      </c>
      <c r="F1508" s="133">
        <v>0</v>
      </c>
      <c r="G1508" s="133">
        <v>0</v>
      </c>
      <c r="H1508" s="133">
        <v>0</v>
      </c>
      <c r="I1508" s="134">
        <v>0</v>
      </c>
      <c r="J1508" s="135">
        <v>0</v>
      </c>
      <c r="K1508" s="128">
        <v>0</v>
      </c>
    </row>
    <row r="1509" spans="1:11">
      <c r="A1509" s="1">
        <v>0</v>
      </c>
      <c r="B1509" s="132">
        <v>0</v>
      </c>
      <c r="C1509" s="132">
        <v>0</v>
      </c>
      <c r="D1509" s="1">
        <v>0</v>
      </c>
      <c r="E1509" s="133">
        <v>0</v>
      </c>
      <c r="F1509" s="133">
        <v>0</v>
      </c>
      <c r="G1509" s="133">
        <v>0</v>
      </c>
      <c r="H1509" s="133">
        <v>0</v>
      </c>
      <c r="I1509" s="134">
        <v>0</v>
      </c>
      <c r="J1509" s="135">
        <v>0</v>
      </c>
      <c r="K1509" s="128">
        <v>0</v>
      </c>
    </row>
    <row r="1510" spans="1:11">
      <c r="A1510" s="1">
        <v>0</v>
      </c>
      <c r="B1510" s="132">
        <v>0</v>
      </c>
      <c r="C1510" s="132">
        <v>0</v>
      </c>
      <c r="D1510" s="1">
        <v>0</v>
      </c>
      <c r="E1510" s="133">
        <v>0</v>
      </c>
      <c r="F1510" s="133">
        <v>0</v>
      </c>
      <c r="G1510" s="133">
        <v>0</v>
      </c>
      <c r="H1510" s="133">
        <v>0</v>
      </c>
      <c r="I1510" s="134">
        <v>0</v>
      </c>
      <c r="J1510" s="135">
        <v>0</v>
      </c>
      <c r="K1510" s="128">
        <v>0</v>
      </c>
    </row>
    <row r="1511" spans="1:11">
      <c r="A1511" s="1">
        <v>0</v>
      </c>
      <c r="B1511" s="132">
        <v>0</v>
      </c>
      <c r="C1511" s="132">
        <v>0</v>
      </c>
      <c r="D1511" s="1">
        <v>0</v>
      </c>
      <c r="E1511" s="133">
        <v>0</v>
      </c>
      <c r="F1511" s="133">
        <v>0</v>
      </c>
      <c r="G1511" s="133">
        <v>0</v>
      </c>
      <c r="H1511" s="133">
        <v>0</v>
      </c>
      <c r="I1511" s="134">
        <v>0</v>
      </c>
      <c r="J1511" s="135">
        <v>0</v>
      </c>
      <c r="K1511" s="128">
        <v>0</v>
      </c>
    </row>
    <row r="1512" spans="1:11">
      <c r="A1512" s="1">
        <v>0</v>
      </c>
      <c r="B1512" s="132">
        <v>0</v>
      </c>
      <c r="C1512" s="132">
        <v>0</v>
      </c>
      <c r="D1512" s="1">
        <v>0</v>
      </c>
      <c r="E1512" s="133">
        <v>0</v>
      </c>
      <c r="F1512" s="133">
        <v>0</v>
      </c>
      <c r="G1512" s="133">
        <v>0</v>
      </c>
      <c r="H1512" s="133">
        <v>0</v>
      </c>
      <c r="I1512" s="134">
        <v>0</v>
      </c>
      <c r="J1512" s="135">
        <v>0</v>
      </c>
      <c r="K1512" s="128">
        <v>0</v>
      </c>
    </row>
    <row r="1513" spans="1:11">
      <c r="A1513" s="1">
        <v>0</v>
      </c>
      <c r="B1513" s="132">
        <v>0</v>
      </c>
      <c r="C1513" s="132">
        <v>0</v>
      </c>
      <c r="D1513" s="1">
        <v>0</v>
      </c>
      <c r="E1513" s="133">
        <v>0</v>
      </c>
      <c r="F1513" s="133">
        <v>0</v>
      </c>
      <c r="G1513" s="133">
        <v>0</v>
      </c>
      <c r="H1513" s="133">
        <v>0</v>
      </c>
      <c r="I1513" s="134">
        <v>0</v>
      </c>
      <c r="J1513" s="135">
        <v>0</v>
      </c>
      <c r="K1513" s="128">
        <v>0</v>
      </c>
    </row>
    <row r="1514" spans="1:11">
      <c r="A1514" s="1">
        <v>0</v>
      </c>
      <c r="B1514" s="132">
        <v>0</v>
      </c>
      <c r="C1514" s="132">
        <v>0</v>
      </c>
      <c r="D1514" s="1">
        <v>0</v>
      </c>
      <c r="E1514" s="133">
        <v>0</v>
      </c>
      <c r="F1514" s="133">
        <v>0</v>
      </c>
      <c r="G1514" s="133">
        <v>0</v>
      </c>
      <c r="H1514" s="133">
        <v>0</v>
      </c>
      <c r="I1514" s="134">
        <v>0</v>
      </c>
      <c r="J1514" s="135">
        <v>0</v>
      </c>
      <c r="K1514" s="128">
        <v>0</v>
      </c>
    </row>
    <row r="1515" spans="1:11">
      <c r="A1515" s="1">
        <v>0</v>
      </c>
      <c r="B1515" s="132">
        <v>0</v>
      </c>
      <c r="C1515" s="132">
        <v>0</v>
      </c>
      <c r="D1515" s="1">
        <v>0</v>
      </c>
      <c r="E1515" s="133">
        <v>0</v>
      </c>
      <c r="F1515" s="133">
        <v>0</v>
      </c>
      <c r="G1515" s="133">
        <v>0</v>
      </c>
      <c r="H1515" s="133">
        <v>0</v>
      </c>
      <c r="I1515" s="134">
        <v>0</v>
      </c>
      <c r="J1515" s="135">
        <v>0</v>
      </c>
      <c r="K1515" s="128">
        <v>0</v>
      </c>
    </row>
    <row r="1516" spans="1:11">
      <c r="A1516" s="1">
        <v>0</v>
      </c>
      <c r="B1516" s="132">
        <v>0</v>
      </c>
      <c r="C1516" s="132">
        <v>0</v>
      </c>
      <c r="D1516" s="1">
        <v>0</v>
      </c>
      <c r="E1516" s="133">
        <v>0</v>
      </c>
      <c r="F1516" s="133">
        <v>0</v>
      </c>
      <c r="G1516" s="133">
        <v>0</v>
      </c>
      <c r="H1516" s="133">
        <v>0</v>
      </c>
      <c r="I1516" s="134">
        <v>0</v>
      </c>
      <c r="J1516" s="135">
        <v>0</v>
      </c>
      <c r="K1516" s="128">
        <v>0</v>
      </c>
    </row>
    <row r="1517" spans="1:11">
      <c r="A1517" s="1">
        <v>0</v>
      </c>
      <c r="B1517" s="132">
        <v>0</v>
      </c>
      <c r="C1517" s="132">
        <v>0</v>
      </c>
      <c r="D1517" s="1">
        <v>0</v>
      </c>
      <c r="E1517" s="133">
        <v>0</v>
      </c>
      <c r="F1517" s="133">
        <v>0</v>
      </c>
      <c r="G1517" s="133">
        <v>0</v>
      </c>
      <c r="H1517" s="133">
        <v>0</v>
      </c>
      <c r="I1517" s="134">
        <v>0</v>
      </c>
      <c r="J1517" s="135">
        <v>0</v>
      </c>
      <c r="K1517" s="128">
        <v>0</v>
      </c>
    </row>
    <row r="1518" spans="1:11">
      <c r="A1518" s="1">
        <v>0</v>
      </c>
      <c r="B1518" s="132">
        <v>0</v>
      </c>
      <c r="C1518" s="132">
        <v>0</v>
      </c>
      <c r="D1518" s="1">
        <v>0</v>
      </c>
      <c r="E1518" s="133">
        <v>0</v>
      </c>
      <c r="F1518" s="133">
        <v>0</v>
      </c>
      <c r="G1518" s="133">
        <v>0</v>
      </c>
      <c r="H1518" s="133">
        <v>0</v>
      </c>
      <c r="I1518" s="134">
        <v>0</v>
      </c>
      <c r="J1518" s="135">
        <v>0</v>
      </c>
      <c r="K1518" s="128">
        <v>0</v>
      </c>
    </row>
    <row r="1519" spans="1:11">
      <c r="A1519" s="1">
        <v>0</v>
      </c>
      <c r="B1519" s="132">
        <v>0</v>
      </c>
      <c r="C1519" s="132">
        <v>0</v>
      </c>
      <c r="D1519" s="1">
        <v>0</v>
      </c>
      <c r="E1519" s="133">
        <v>0</v>
      </c>
      <c r="F1519" s="133">
        <v>0</v>
      </c>
      <c r="G1519" s="133">
        <v>0</v>
      </c>
      <c r="H1519" s="133">
        <v>0</v>
      </c>
      <c r="I1519" s="134">
        <v>0</v>
      </c>
      <c r="J1519" s="135">
        <v>0</v>
      </c>
      <c r="K1519" s="128">
        <v>0</v>
      </c>
    </row>
    <row r="1520" spans="1:11">
      <c r="A1520" s="1">
        <v>0</v>
      </c>
      <c r="B1520" s="132">
        <v>0</v>
      </c>
      <c r="C1520" s="132">
        <v>0</v>
      </c>
      <c r="D1520" s="1">
        <v>0</v>
      </c>
      <c r="E1520" s="133">
        <v>0</v>
      </c>
      <c r="F1520" s="133">
        <v>0</v>
      </c>
      <c r="G1520" s="133">
        <v>0</v>
      </c>
      <c r="H1520" s="133">
        <v>0</v>
      </c>
      <c r="I1520" s="134">
        <v>0</v>
      </c>
      <c r="J1520" s="135">
        <v>0</v>
      </c>
      <c r="K1520" s="128">
        <v>0</v>
      </c>
    </row>
    <row r="1521" spans="1:11">
      <c r="A1521" s="1">
        <v>0</v>
      </c>
      <c r="B1521" s="132">
        <v>0</v>
      </c>
      <c r="C1521" s="132">
        <v>0</v>
      </c>
      <c r="D1521" s="1">
        <v>0</v>
      </c>
      <c r="E1521" s="133">
        <v>0</v>
      </c>
      <c r="F1521" s="133">
        <v>0</v>
      </c>
      <c r="G1521" s="133">
        <v>0</v>
      </c>
      <c r="H1521" s="133">
        <v>0</v>
      </c>
      <c r="I1521" s="134">
        <v>0</v>
      </c>
      <c r="J1521" s="135">
        <v>0</v>
      </c>
      <c r="K1521" s="128">
        <v>0</v>
      </c>
    </row>
    <row r="1522" spans="1:11">
      <c r="A1522" s="1">
        <v>0</v>
      </c>
      <c r="B1522" s="132">
        <v>0</v>
      </c>
      <c r="C1522" s="132">
        <v>0</v>
      </c>
      <c r="D1522" s="1">
        <v>0</v>
      </c>
      <c r="E1522" s="133">
        <v>0</v>
      </c>
      <c r="F1522" s="133">
        <v>0</v>
      </c>
      <c r="G1522" s="133">
        <v>0</v>
      </c>
      <c r="H1522" s="133">
        <v>0</v>
      </c>
      <c r="I1522" s="134">
        <v>0</v>
      </c>
      <c r="J1522" s="135">
        <v>0</v>
      </c>
      <c r="K1522" s="128">
        <v>0</v>
      </c>
    </row>
    <row r="1523" spans="1:11">
      <c r="A1523" s="1">
        <v>0</v>
      </c>
      <c r="B1523" s="132">
        <v>0</v>
      </c>
      <c r="C1523" s="132">
        <v>0</v>
      </c>
      <c r="D1523" s="1">
        <v>0</v>
      </c>
      <c r="E1523" s="133">
        <v>0</v>
      </c>
      <c r="F1523" s="133">
        <v>0</v>
      </c>
      <c r="G1523" s="133">
        <v>0</v>
      </c>
      <c r="H1523" s="133">
        <v>0</v>
      </c>
      <c r="I1523" s="134">
        <v>0</v>
      </c>
      <c r="J1523" s="135">
        <v>0</v>
      </c>
      <c r="K1523" s="128">
        <v>0</v>
      </c>
    </row>
    <row r="1524" spans="1:11">
      <c r="A1524" s="1">
        <v>0</v>
      </c>
      <c r="B1524" s="132">
        <v>0</v>
      </c>
      <c r="C1524" s="132">
        <v>0</v>
      </c>
      <c r="D1524" s="1">
        <v>0</v>
      </c>
      <c r="E1524" s="133">
        <v>0</v>
      </c>
      <c r="F1524" s="133">
        <v>0</v>
      </c>
      <c r="G1524" s="133">
        <v>0</v>
      </c>
      <c r="H1524" s="133">
        <v>0</v>
      </c>
      <c r="I1524" s="134">
        <v>0</v>
      </c>
      <c r="J1524" s="135">
        <v>0</v>
      </c>
      <c r="K1524" s="128">
        <v>0</v>
      </c>
    </row>
    <row r="1525" spans="1:11">
      <c r="A1525" s="1">
        <v>0</v>
      </c>
      <c r="B1525" s="132">
        <v>0</v>
      </c>
      <c r="C1525" s="132">
        <v>0</v>
      </c>
      <c r="D1525" s="1">
        <v>0</v>
      </c>
      <c r="E1525" s="133">
        <v>0</v>
      </c>
      <c r="F1525" s="133">
        <v>0</v>
      </c>
      <c r="G1525" s="133">
        <v>0</v>
      </c>
      <c r="H1525" s="133">
        <v>0</v>
      </c>
      <c r="I1525" s="134">
        <v>0</v>
      </c>
      <c r="J1525" s="135">
        <v>0</v>
      </c>
      <c r="K1525" s="128">
        <v>0</v>
      </c>
    </row>
    <row r="1526" spans="1:11">
      <c r="A1526" s="1">
        <v>0</v>
      </c>
      <c r="B1526" s="132">
        <v>0</v>
      </c>
      <c r="C1526" s="132">
        <v>0</v>
      </c>
      <c r="D1526" s="1">
        <v>0</v>
      </c>
      <c r="E1526" s="133">
        <v>0</v>
      </c>
      <c r="F1526" s="133">
        <v>0</v>
      </c>
      <c r="G1526" s="133">
        <v>0</v>
      </c>
      <c r="H1526" s="133">
        <v>0</v>
      </c>
      <c r="I1526" s="134">
        <v>0</v>
      </c>
      <c r="J1526" s="135">
        <v>0</v>
      </c>
      <c r="K1526" s="128">
        <v>0</v>
      </c>
    </row>
    <row r="1527" spans="1:11">
      <c r="A1527" s="1">
        <v>0</v>
      </c>
      <c r="B1527" s="132">
        <v>0</v>
      </c>
      <c r="C1527" s="132">
        <v>0</v>
      </c>
      <c r="D1527" s="1">
        <v>0</v>
      </c>
      <c r="E1527" s="133">
        <v>0</v>
      </c>
      <c r="F1527" s="133">
        <v>0</v>
      </c>
      <c r="G1527" s="133">
        <v>0</v>
      </c>
      <c r="H1527" s="133">
        <v>0</v>
      </c>
      <c r="I1527" s="134">
        <v>0</v>
      </c>
      <c r="J1527" s="135">
        <v>0</v>
      </c>
      <c r="K1527" s="128">
        <v>0</v>
      </c>
    </row>
    <row r="1528" spans="1:11">
      <c r="A1528" s="1">
        <v>0</v>
      </c>
      <c r="B1528" s="132">
        <v>0</v>
      </c>
      <c r="C1528" s="132">
        <v>0</v>
      </c>
      <c r="D1528" s="1">
        <v>0</v>
      </c>
      <c r="E1528" s="133">
        <v>0</v>
      </c>
      <c r="F1528" s="133">
        <v>0</v>
      </c>
      <c r="G1528" s="133">
        <v>0</v>
      </c>
      <c r="H1528" s="133">
        <v>0</v>
      </c>
      <c r="I1528" s="134">
        <v>0</v>
      </c>
      <c r="J1528" s="135">
        <v>0</v>
      </c>
      <c r="K1528" s="128">
        <v>0</v>
      </c>
    </row>
    <row r="1529" spans="1:11">
      <c r="A1529" s="1">
        <v>0</v>
      </c>
      <c r="B1529" s="132">
        <v>0</v>
      </c>
      <c r="C1529" s="132">
        <v>0</v>
      </c>
      <c r="D1529" s="1">
        <v>0</v>
      </c>
      <c r="E1529" s="133">
        <v>0</v>
      </c>
      <c r="F1529" s="133">
        <v>0</v>
      </c>
      <c r="G1529" s="133">
        <v>0</v>
      </c>
      <c r="H1529" s="133">
        <v>0</v>
      </c>
      <c r="I1529" s="134">
        <v>0</v>
      </c>
      <c r="J1529" s="135">
        <v>0</v>
      </c>
      <c r="K1529" s="128">
        <v>0</v>
      </c>
    </row>
    <row r="1530" spans="1:11">
      <c r="A1530" s="1">
        <v>0</v>
      </c>
      <c r="B1530" s="132">
        <v>0</v>
      </c>
      <c r="C1530" s="132">
        <v>0</v>
      </c>
      <c r="D1530" s="1">
        <v>0</v>
      </c>
      <c r="E1530" s="133">
        <v>0</v>
      </c>
      <c r="F1530" s="133">
        <v>0</v>
      </c>
      <c r="G1530" s="133">
        <v>0</v>
      </c>
      <c r="H1530" s="133">
        <v>0</v>
      </c>
      <c r="I1530" s="134">
        <v>0</v>
      </c>
      <c r="J1530" s="135">
        <v>0</v>
      </c>
      <c r="K1530" s="128">
        <v>0</v>
      </c>
    </row>
    <row r="1531" spans="1:11">
      <c r="A1531" s="1">
        <v>0</v>
      </c>
      <c r="B1531" s="132">
        <v>0</v>
      </c>
      <c r="C1531" s="132">
        <v>0</v>
      </c>
      <c r="D1531" s="1">
        <v>0</v>
      </c>
      <c r="E1531" s="133">
        <v>0</v>
      </c>
      <c r="F1531" s="133">
        <v>0</v>
      </c>
      <c r="G1531" s="133">
        <v>0</v>
      </c>
      <c r="H1531" s="133">
        <v>0</v>
      </c>
      <c r="I1531" s="134">
        <v>0</v>
      </c>
      <c r="J1531" s="135">
        <v>0</v>
      </c>
      <c r="K1531" s="128">
        <v>0</v>
      </c>
    </row>
    <row r="1532" spans="1:11">
      <c r="A1532" s="1">
        <v>0</v>
      </c>
      <c r="B1532" s="132">
        <v>0</v>
      </c>
      <c r="C1532" s="132">
        <v>0</v>
      </c>
      <c r="D1532" s="1">
        <v>0</v>
      </c>
      <c r="E1532" s="133">
        <v>0</v>
      </c>
      <c r="F1532" s="133">
        <v>0</v>
      </c>
      <c r="G1532" s="133">
        <v>0</v>
      </c>
      <c r="H1532" s="133">
        <v>0</v>
      </c>
      <c r="I1532" s="134">
        <v>0</v>
      </c>
      <c r="J1532" s="135">
        <v>0</v>
      </c>
      <c r="K1532" s="128">
        <v>0</v>
      </c>
    </row>
    <row r="1533" spans="1:11">
      <c r="A1533" s="1">
        <v>0</v>
      </c>
      <c r="B1533" s="132">
        <v>0</v>
      </c>
      <c r="C1533" s="132">
        <v>0</v>
      </c>
      <c r="D1533" s="1">
        <v>0</v>
      </c>
      <c r="E1533" s="133">
        <v>0</v>
      </c>
      <c r="F1533" s="133">
        <v>0</v>
      </c>
      <c r="G1533" s="133">
        <v>0</v>
      </c>
      <c r="H1533" s="133">
        <v>0</v>
      </c>
      <c r="I1533" s="134">
        <v>0</v>
      </c>
      <c r="J1533" s="135">
        <v>0</v>
      </c>
      <c r="K1533" s="128">
        <v>0</v>
      </c>
    </row>
    <row r="1534" spans="1:11">
      <c r="A1534" s="1">
        <v>0</v>
      </c>
      <c r="B1534" s="132">
        <v>0</v>
      </c>
      <c r="C1534" s="132">
        <v>0</v>
      </c>
      <c r="D1534" s="1">
        <v>0</v>
      </c>
      <c r="E1534" s="133">
        <v>0</v>
      </c>
      <c r="F1534" s="133">
        <v>0</v>
      </c>
      <c r="G1534" s="133">
        <v>0</v>
      </c>
      <c r="H1534" s="133">
        <v>0</v>
      </c>
      <c r="I1534" s="134">
        <v>0</v>
      </c>
      <c r="J1534" s="135">
        <v>0</v>
      </c>
      <c r="K1534" s="128">
        <v>0</v>
      </c>
    </row>
    <row r="1535" spans="1:11">
      <c r="A1535" s="1">
        <v>0</v>
      </c>
      <c r="B1535" s="132">
        <v>0</v>
      </c>
      <c r="C1535" s="132">
        <v>0</v>
      </c>
      <c r="D1535" s="1">
        <v>0</v>
      </c>
      <c r="E1535" s="133">
        <v>0</v>
      </c>
      <c r="F1535" s="133">
        <v>0</v>
      </c>
      <c r="G1535" s="133">
        <v>0</v>
      </c>
      <c r="H1535" s="133">
        <v>0</v>
      </c>
      <c r="I1535" s="134">
        <v>0</v>
      </c>
      <c r="J1535" s="135">
        <v>0</v>
      </c>
      <c r="K1535" s="128">
        <v>0</v>
      </c>
    </row>
    <row r="1536" spans="1:11">
      <c r="A1536" s="1">
        <v>0</v>
      </c>
      <c r="B1536" s="132">
        <v>0</v>
      </c>
      <c r="C1536" s="132">
        <v>0</v>
      </c>
      <c r="D1536" s="1">
        <v>0</v>
      </c>
      <c r="E1536" s="133">
        <v>0</v>
      </c>
      <c r="F1536" s="133">
        <v>0</v>
      </c>
      <c r="G1536" s="133">
        <v>0</v>
      </c>
      <c r="H1536" s="133">
        <v>0</v>
      </c>
      <c r="I1536" s="134">
        <v>0</v>
      </c>
      <c r="J1536" s="135">
        <v>0</v>
      </c>
      <c r="K1536" s="128">
        <v>0</v>
      </c>
    </row>
    <row r="1537" spans="1:11">
      <c r="A1537" s="1">
        <v>0</v>
      </c>
      <c r="B1537" s="132">
        <v>0</v>
      </c>
      <c r="C1537" s="132">
        <v>0</v>
      </c>
      <c r="D1537" s="1">
        <v>0</v>
      </c>
      <c r="E1537" s="133">
        <v>0</v>
      </c>
      <c r="F1537" s="133">
        <v>0</v>
      </c>
      <c r="G1537" s="133">
        <v>0</v>
      </c>
      <c r="H1537" s="133">
        <v>0</v>
      </c>
      <c r="I1537" s="134">
        <v>0</v>
      </c>
      <c r="J1537" s="135">
        <v>0</v>
      </c>
      <c r="K1537" s="128">
        <v>0</v>
      </c>
    </row>
    <row r="1538" spans="1:11">
      <c r="A1538" s="1">
        <v>0</v>
      </c>
      <c r="B1538" s="132">
        <v>0</v>
      </c>
      <c r="C1538" s="132">
        <v>0</v>
      </c>
      <c r="D1538" s="1">
        <v>0</v>
      </c>
      <c r="E1538" s="133">
        <v>0</v>
      </c>
      <c r="F1538" s="133">
        <v>0</v>
      </c>
      <c r="G1538" s="133">
        <v>0</v>
      </c>
      <c r="H1538" s="133">
        <v>0</v>
      </c>
      <c r="I1538" s="134">
        <v>0</v>
      </c>
      <c r="J1538" s="135">
        <v>0</v>
      </c>
      <c r="K1538" s="128">
        <v>0</v>
      </c>
    </row>
    <row r="1539" spans="1:11">
      <c r="A1539" s="1">
        <v>0</v>
      </c>
      <c r="B1539" s="132">
        <v>0</v>
      </c>
      <c r="C1539" s="132">
        <v>0</v>
      </c>
      <c r="D1539" s="1">
        <v>0</v>
      </c>
      <c r="E1539" s="133">
        <v>0</v>
      </c>
      <c r="F1539" s="133">
        <v>0</v>
      </c>
      <c r="G1539" s="133">
        <v>0</v>
      </c>
      <c r="H1539" s="133">
        <v>0</v>
      </c>
      <c r="I1539" s="134">
        <v>0</v>
      </c>
      <c r="J1539" s="135">
        <v>0</v>
      </c>
      <c r="K1539" s="128">
        <v>0</v>
      </c>
    </row>
    <row r="1540" spans="1:11">
      <c r="A1540" s="1">
        <v>0</v>
      </c>
      <c r="B1540" s="132">
        <v>0</v>
      </c>
      <c r="C1540" s="132">
        <v>0</v>
      </c>
      <c r="D1540" s="1">
        <v>0</v>
      </c>
      <c r="E1540" s="133">
        <v>0</v>
      </c>
      <c r="F1540" s="133">
        <v>0</v>
      </c>
      <c r="G1540" s="133">
        <v>0</v>
      </c>
      <c r="H1540" s="133">
        <v>0</v>
      </c>
      <c r="I1540" s="134">
        <v>0</v>
      </c>
      <c r="J1540" s="135">
        <v>0</v>
      </c>
      <c r="K1540" s="128">
        <v>0</v>
      </c>
    </row>
    <row r="1541" spans="1:11">
      <c r="A1541" s="1">
        <v>0</v>
      </c>
      <c r="B1541" s="132">
        <v>0</v>
      </c>
      <c r="C1541" s="132">
        <v>0</v>
      </c>
      <c r="D1541" s="1">
        <v>0</v>
      </c>
      <c r="E1541" s="133">
        <v>0</v>
      </c>
      <c r="F1541" s="133">
        <v>0</v>
      </c>
      <c r="G1541" s="133">
        <v>0</v>
      </c>
      <c r="H1541" s="133">
        <v>0</v>
      </c>
      <c r="I1541" s="134">
        <v>0</v>
      </c>
      <c r="J1541" s="135">
        <v>0</v>
      </c>
      <c r="K1541" s="128">
        <v>0</v>
      </c>
    </row>
    <row r="1542" spans="1:11">
      <c r="A1542" s="1">
        <v>0</v>
      </c>
      <c r="B1542" s="132">
        <v>0</v>
      </c>
      <c r="C1542" s="132">
        <v>0</v>
      </c>
      <c r="D1542" s="1">
        <v>0</v>
      </c>
      <c r="E1542" s="133">
        <v>0</v>
      </c>
      <c r="F1542" s="133">
        <v>0</v>
      </c>
      <c r="G1542" s="133">
        <v>0</v>
      </c>
      <c r="H1542" s="133">
        <v>0</v>
      </c>
      <c r="I1542" s="134">
        <v>0</v>
      </c>
      <c r="J1542" s="135">
        <v>0</v>
      </c>
      <c r="K1542" s="128">
        <v>0</v>
      </c>
    </row>
    <row r="1543" spans="1:11">
      <c r="A1543" s="1">
        <v>0</v>
      </c>
      <c r="B1543" s="132">
        <v>0</v>
      </c>
      <c r="C1543" s="132">
        <v>0</v>
      </c>
      <c r="D1543" s="1">
        <v>0</v>
      </c>
      <c r="E1543" s="133">
        <v>0</v>
      </c>
      <c r="F1543" s="133">
        <v>0</v>
      </c>
      <c r="G1543" s="133">
        <v>0</v>
      </c>
      <c r="H1543" s="133">
        <v>0</v>
      </c>
      <c r="I1543" s="134">
        <v>0</v>
      </c>
      <c r="J1543" s="135">
        <v>0</v>
      </c>
      <c r="K1543" s="128">
        <v>0</v>
      </c>
    </row>
    <row r="1544" spans="1:11">
      <c r="A1544" s="1">
        <v>0</v>
      </c>
      <c r="B1544" s="132">
        <v>0</v>
      </c>
      <c r="C1544" s="132">
        <v>0</v>
      </c>
      <c r="D1544" s="1">
        <v>0</v>
      </c>
      <c r="E1544" s="133">
        <v>0</v>
      </c>
      <c r="F1544" s="133">
        <v>0</v>
      </c>
      <c r="G1544" s="133">
        <v>0</v>
      </c>
      <c r="H1544" s="133">
        <v>0</v>
      </c>
      <c r="I1544" s="134">
        <v>0</v>
      </c>
      <c r="J1544" s="135">
        <v>0</v>
      </c>
      <c r="K1544" s="128">
        <v>0</v>
      </c>
    </row>
    <row r="1545" spans="1:11">
      <c r="A1545" s="1">
        <v>0</v>
      </c>
      <c r="B1545" s="132">
        <v>0</v>
      </c>
      <c r="C1545" s="132">
        <v>0</v>
      </c>
      <c r="D1545" s="1">
        <v>0</v>
      </c>
      <c r="E1545" s="133">
        <v>0</v>
      </c>
      <c r="F1545" s="133">
        <v>0</v>
      </c>
      <c r="G1545" s="133">
        <v>0</v>
      </c>
      <c r="H1545" s="133">
        <v>0</v>
      </c>
      <c r="I1545" s="134">
        <v>0</v>
      </c>
      <c r="J1545" s="135">
        <v>0</v>
      </c>
      <c r="K1545" s="128">
        <v>0</v>
      </c>
    </row>
    <row r="1546" spans="1:11">
      <c r="A1546" s="1">
        <v>0</v>
      </c>
      <c r="B1546" s="132">
        <v>0</v>
      </c>
      <c r="C1546" s="132">
        <v>0</v>
      </c>
      <c r="D1546" s="1">
        <v>0</v>
      </c>
      <c r="E1546" s="133">
        <v>0</v>
      </c>
      <c r="F1546" s="133">
        <v>0</v>
      </c>
      <c r="G1546" s="133">
        <v>0</v>
      </c>
      <c r="H1546" s="133">
        <v>0</v>
      </c>
      <c r="I1546" s="134">
        <v>0</v>
      </c>
      <c r="J1546" s="135">
        <v>0</v>
      </c>
      <c r="K1546" s="128">
        <v>0</v>
      </c>
    </row>
    <row r="1547" spans="1:11">
      <c r="A1547" s="1">
        <v>0</v>
      </c>
      <c r="B1547" s="132">
        <v>0</v>
      </c>
      <c r="C1547" s="132">
        <v>0</v>
      </c>
      <c r="D1547" s="1">
        <v>0</v>
      </c>
      <c r="E1547" s="133">
        <v>0</v>
      </c>
      <c r="F1547" s="133">
        <v>0</v>
      </c>
      <c r="G1547" s="133">
        <v>0</v>
      </c>
      <c r="H1547" s="133">
        <v>0</v>
      </c>
      <c r="I1547" s="134">
        <v>0</v>
      </c>
      <c r="J1547" s="135">
        <v>0</v>
      </c>
      <c r="K1547" s="128">
        <v>0</v>
      </c>
    </row>
    <row r="1548" spans="1:11">
      <c r="A1548" s="1">
        <v>0</v>
      </c>
      <c r="B1548" s="132">
        <v>0</v>
      </c>
      <c r="C1548" s="132">
        <v>0</v>
      </c>
      <c r="D1548" s="1">
        <v>0</v>
      </c>
      <c r="E1548" s="133">
        <v>0</v>
      </c>
      <c r="F1548" s="133">
        <v>0</v>
      </c>
      <c r="G1548" s="133">
        <v>0</v>
      </c>
      <c r="H1548" s="133">
        <v>0</v>
      </c>
      <c r="I1548" s="134">
        <v>0</v>
      </c>
      <c r="J1548" s="135">
        <v>0</v>
      </c>
      <c r="K1548" s="128">
        <v>0</v>
      </c>
    </row>
    <row r="1549" spans="1:11">
      <c r="A1549" s="1">
        <v>0</v>
      </c>
      <c r="B1549" s="132">
        <v>0</v>
      </c>
      <c r="C1549" s="132">
        <v>0</v>
      </c>
      <c r="D1549" s="1">
        <v>0</v>
      </c>
      <c r="E1549" s="133">
        <v>0</v>
      </c>
      <c r="F1549" s="133">
        <v>0</v>
      </c>
      <c r="G1549" s="133">
        <v>0</v>
      </c>
      <c r="H1549" s="133">
        <v>0</v>
      </c>
      <c r="I1549" s="134">
        <v>0</v>
      </c>
      <c r="J1549" s="135">
        <v>0</v>
      </c>
      <c r="K1549" s="128">
        <v>0</v>
      </c>
    </row>
    <row r="1550" spans="1:11">
      <c r="A1550" s="1">
        <v>0</v>
      </c>
      <c r="B1550" s="132">
        <v>0</v>
      </c>
      <c r="C1550" s="132">
        <v>0</v>
      </c>
      <c r="D1550" s="1">
        <v>0</v>
      </c>
      <c r="E1550" s="133">
        <v>0</v>
      </c>
      <c r="F1550" s="133">
        <v>0</v>
      </c>
      <c r="G1550" s="133">
        <v>0</v>
      </c>
      <c r="H1550" s="133">
        <v>0</v>
      </c>
      <c r="I1550" s="134">
        <v>0</v>
      </c>
      <c r="J1550" s="135">
        <v>0</v>
      </c>
      <c r="K1550" s="128">
        <v>0</v>
      </c>
    </row>
    <row r="1551" spans="1:11">
      <c r="A1551" s="1">
        <v>0</v>
      </c>
      <c r="B1551" s="132">
        <v>0</v>
      </c>
      <c r="C1551" s="132">
        <v>0</v>
      </c>
      <c r="D1551" s="1">
        <v>0</v>
      </c>
      <c r="E1551" s="133">
        <v>0</v>
      </c>
      <c r="F1551" s="133">
        <v>0</v>
      </c>
      <c r="G1551" s="133">
        <v>0</v>
      </c>
      <c r="H1551" s="133">
        <v>0</v>
      </c>
      <c r="I1551" s="134">
        <v>0</v>
      </c>
      <c r="J1551" s="135">
        <v>0</v>
      </c>
      <c r="K1551" s="128">
        <v>0</v>
      </c>
    </row>
    <row r="1552" spans="1:11">
      <c r="A1552" s="1">
        <v>0</v>
      </c>
      <c r="B1552" s="132">
        <v>0</v>
      </c>
      <c r="C1552" s="132">
        <v>0</v>
      </c>
      <c r="D1552" s="1">
        <v>0</v>
      </c>
      <c r="E1552" s="133">
        <v>0</v>
      </c>
      <c r="F1552" s="133">
        <v>0</v>
      </c>
      <c r="G1552" s="133">
        <v>0</v>
      </c>
      <c r="H1552" s="133">
        <v>0</v>
      </c>
      <c r="I1552" s="134">
        <v>0</v>
      </c>
      <c r="J1552" s="135">
        <v>0</v>
      </c>
      <c r="K1552" s="128">
        <v>0</v>
      </c>
    </row>
    <row r="1553" spans="1:11">
      <c r="A1553" s="1">
        <v>0</v>
      </c>
      <c r="B1553" s="132">
        <v>0</v>
      </c>
      <c r="C1553" s="132">
        <v>0</v>
      </c>
      <c r="D1553" s="1">
        <v>0</v>
      </c>
      <c r="E1553" s="133">
        <v>0</v>
      </c>
      <c r="F1553" s="133">
        <v>0</v>
      </c>
      <c r="G1553" s="133">
        <v>0</v>
      </c>
      <c r="H1553" s="133">
        <v>0</v>
      </c>
      <c r="I1553" s="134">
        <v>0</v>
      </c>
      <c r="J1553" s="135">
        <v>0</v>
      </c>
      <c r="K1553" s="128">
        <v>0</v>
      </c>
    </row>
    <row r="1554" spans="1:11">
      <c r="A1554" s="1">
        <v>0</v>
      </c>
      <c r="B1554" s="132">
        <v>0</v>
      </c>
      <c r="C1554" s="132">
        <v>0</v>
      </c>
      <c r="D1554" s="1">
        <v>0</v>
      </c>
      <c r="E1554" s="133">
        <v>0</v>
      </c>
      <c r="F1554" s="133">
        <v>0</v>
      </c>
      <c r="G1554" s="133">
        <v>0</v>
      </c>
      <c r="H1554" s="133">
        <v>0</v>
      </c>
      <c r="I1554" s="134">
        <v>0</v>
      </c>
      <c r="J1554" s="135">
        <v>0</v>
      </c>
      <c r="K1554" s="128">
        <v>0</v>
      </c>
    </row>
    <row r="1555" spans="1:11">
      <c r="A1555" s="1">
        <v>0</v>
      </c>
      <c r="B1555" s="132">
        <v>0</v>
      </c>
      <c r="C1555" s="132">
        <v>0</v>
      </c>
      <c r="D1555" s="1">
        <v>0</v>
      </c>
      <c r="E1555" s="133">
        <v>0</v>
      </c>
      <c r="F1555" s="133">
        <v>0</v>
      </c>
      <c r="G1555" s="133">
        <v>0</v>
      </c>
      <c r="H1555" s="133">
        <v>0</v>
      </c>
      <c r="I1555" s="134">
        <v>0</v>
      </c>
      <c r="J1555" s="135">
        <v>0</v>
      </c>
      <c r="K1555" s="128">
        <v>0</v>
      </c>
    </row>
    <row r="1556" spans="1:11">
      <c r="A1556" s="1">
        <v>0</v>
      </c>
      <c r="B1556" s="132">
        <v>0</v>
      </c>
      <c r="C1556" s="132">
        <v>0</v>
      </c>
      <c r="D1556" s="1">
        <v>0</v>
      </c>
      <c r="E1556" s="133">
        <v>0</v>
      </c>
      <c r="F1556" s="133">
        <v>0</v>
      </c>
      <c r="G1556" s="133">
        <v>0</v>
      </c>
      <c r="H1556" s="133">
        <v>0</v>
      </c>
      <c r="I1556" s="134">
        <v>0</v>
      </c>
      <c r="J1556" s="135">
        <v>0</v>
      </c>
      <c r="K1556" s="128">
        <v>0</v>
      </c>
    </row>
    <row r="1557" spans="1:11">
      <c r="A1557" s="1">
        <v>0</v>
      </c>
      <c r="B1557" s="132">
        <v>0</v>
      </c>
      <c r="C1557" s="132">
        <v>0</v>
      </c>
      <c r="D1557" s="1">
        <v>0</v>
      </c>
      <c r="E1557" s="133">
        <v>0</v>
      </c>
      <c r="F1557" s="133">
        <v>0</v>
      </c>
      <c r="G1557" s="133">
        <v>0</v>
      </c>
      <c r="H1557" s="133">
        <v>0</v>
      </c>
      <c r="I1557" s="134">
        <v>0</v>
      </c>
      <c r="J1557" s="135">
        <v>0</v>
      </c>
      <c r="K1557" s="128">
        <v>0</v>
      </c>
    </row>
    <row r="1558" spans="1:11">
      <c r="A1558" s="1">
        <v>0</v>
      </c>
      <c r="B1558" s="132">
        <v>0</v>
      </c>
      <c r="C1558" s="132">
        <v>0</v>
      </c>
      <c r="D1558" s="1">
        <v>0</v>
      </c>
      <c r="E1558" s="133">
        <v>0</v>
      </c>
      <c r="F1558" s="133">
        <v>0</v>
      </c>
      <c r="G1558" s="133">
        <v>0</v>
      </c>
      <c r="H1558" s="133">
        <v>0</v>
      </c>
      <c r="I1558" s="134">
        <v>0</v>
      </c>
      <c r="J1558" s="135">
        <v>0</v>
      </c>
      <c r="K1558" s="128">
        <v>0</v>
      </c>
    </row>
    <row r="1559" spans="1:11">
      <c r="A1559" s="1">
        <v>0</v>
      </c>
      <c r="B1559" s="132">
        <v>0</v>
      </c>
      <c r="C1559" s="132">
        <v>0</v>
      </c>
      <c r="D1559" s="1">
        <v>0</v>
      </c>
      <c r="E1559" s="133">
        <v>0</v>
      </c>
      <c r="F1559" s="133">
        <v>0</v>
      </c>
      <c r="G1559" s="133">
        <v>0</v>
      </c>
      <c r="H1559" s="133">
        <v>0</v>
      </c>
      <c r="I1559" s="134">
        <v>0</v>
      </c>
      <c r="J1559" s="135">
        <v>0</v>
      </c>
      <c r="K1559" s="128">
        <v>0</v>
      </c>
    </row>
    <row r="1560" spans="1:11">
      <c r="A1560" s="1">
        <v>0</v>
      </c>
      <c r="B1560" s="132">
        <v>0</v>
      </c>
      <c r="C1560" s="132">
        <v>0</v>
      </c>
      <c r="D1560" s="1">
        <v>0</v>
      </c>
      <c r="E1560" s="133">
        <v>0</v>
      </c>
      <c r="F1560" s="133">
        <v>0</v>
      </c>
      <c r="G1560" s="133">
        <v>0</v>
      </c>
      <c r="H1560" s="133">
        <v>0</v>
      </c>
      <c r="I1560" s="134">
        <v>0</v>
      </c>
      <c r="J1560" s="135">
        <v>0</v>
      </c>
      <c r="K1560" s="128">
        <v>0</v>
      </c>
    </row>
    <row r="1561" spans="1:11">
      <c r="A1561" s="1">
        <v>0</v>
      </c>
      <c r="B1561" s="132">
        <v>0</v>
      </c>
      <c r="C1561" s="132">
        <v>0</v>
      </c>
      <c r="D1561" s="1">
        <v>0</v>
      </c>
      <c r="E1561" s="133">
        <v>0</v>
      </c>
      <c r="F1561" s="133">
        <v>0</v>
      </c>
      <c r="G1561" s="133">
        <v>0</v>
      </c>
      <c r="H1561" s="133">
        <v>0</v>
      </c>
      <c r="I1561" s="134">
        <v>0</v>
      </c>
      <c r="J1561" s="135">
        <v>0</v>
      </c>
      <c r="K1561" s="128">
        <v>0</v>
      </c>
    </row>
    <row r="1562" spans="1:11">
      <c r="A1562" s="1">
        <v>0</v>
      </c>
      <c r="B1562" s="132">
        <v>0</v>
      </c>
      <c r="C1562" s="132">
        <v>0</v>
      </c>
      <c r="D1562" s="1">
        <v>0</v>
      </c>
      <c r="E1562" s="133">
        <v>0</v>
      </c>
      <c r="F1562" s="133">
        <v>0</v>
      </c>
      <c r="G1562" s="133">
        <v>0</v>
      </c>
      <c r="H1562" s="133">
        <v>0</v>
      </c>
      <c r="I1562" s="134">
        <v>0</v>
      </c>
      <c r="J1562" s="135">
        <v>0</v>
      </c>
      <c r="K1562" s="128">
        <v>0</v>
      </c>
    </row>
    <row r="1563" spans="1:11">
      <c r="A1563" s="1">
        <v>0</v>
      </c>
      <c r="B1563" s="132">
        <v>0</v>
      </c>
      <c r="C1563" s="132">
        <v>0</v>
      </c>
      <c r="D1563" s="1">
        <v>0</v>
      </c>
      <c r="E1563" s="133">
        <v>0</v>
      </c>
      <c r="F1563" s="133">
        <v>0</v>
      </c>
      <c r="G1563" s="133">
        <v>0</v>
      </c>
      <c r="H1563" s="133">
        <v>0</v>
      </c>
      <c r="I1563" s="134">
        <v>0</v>
      </c>
      <c r="J1563" s="135">
        <v>0</v>
      </c>
      <c r="K1563" s="128">
        <v>0</v>
      </c>
    </row>
    <row r="1564" spans="1:11">
      <c r="A1564" s="1">
        <v>0</v>
      </c>
      <c r="B1564" s="132">
        <v>0</v>
      </c>
      <c r="C1564" s="132">
        <v>0</v>
      </c>
      <c r="D1564" s="1">
        <v>0</v>
      </c>
      <c r="E1564" s="133">
        <v>0</v>
      </c>
      <c r="F1564" s="133">
        <v>0</v>
      </c>
      <c r="G1564" s="133">
        <v>0</v>
      </c>
      <c r="H1564" s="133">
        <v>0</v>
      </c>
      <c r="I1564" s="134">
        <v>0</v>
      </c>
      <c r="J1564" s="135">
        <v>0</v>
      </c>
      <c r="K1564" s="128">
        <v>0</v>
      </c>
    </row>
    <row r="1565" spans="1:11">
      <c r="A1565" s="1">
        <v>0</v>
      </c>
      <c r="B1565" s="132">
        <v>0</v>
      </c>
      <c r="C1565" s="132">
        <v>0</v>
      </c>
      <c r="D1565" s="1">
        <v>0</v>
      </c>
      <c r="E1565" s="133">
        <v>0</v>
      </c>
      <c r="F1565" s="133">
        <v>0</v>
      </c>
      <c r="G1565" s="133">
        <v>0</v>
      </c>
      <c r="H1565" s="133">
        <v>0</v>
      </c>
      <c r="I1565" s="134">
        <v>0</v>
      </c>
      <c r="J1565" s="135">
        <v>0</v>
      </c>
      <c r="K1565" s="128">
        <v>0</v>
      </c>
    </row>
    <row r="1566" spans="1:11">
      <c r="A1566" s="1">
        <v>0</v>
      </c>
      <c r="B1566" s="132">
        <v>0</v>
      </c>
      <c r="C1566" s="132">
        <v>0</v>
      </c>
      <c r="D1566" s="1">
        <v>0</v>
      </c>
      <c r="E1566" s="133">
        <v>0</v>
      </c>
      <c r="F1566" s="133">
        <v>0</v>
      </c>
      <c r="G1566" s="133">
        <v>0</v>
      </c>
      <c r="H1566" s="133">
        <v>0</v>
      </c>
      <c r="I1566" s="134">
        <v>0</v>
      </c>
      <c r="J1566" s="135">
        <v>0</v>
      </c>
      <c r="K1566" s="128">
        <v>0</v>
      </c>
    </row>
    <row r="1567" spans="1:11">
      <c r="A1567" s="1">
        <v>0</v>
      </c>
      <c r="B1567" s="132">
        <v>0</v>
      </c>
      <c r="C1567" s="132">
        <v>0</v>
      </c>
      <c r="D1567" s="1">
        <v>0</v>
      </c>
      <c r="E1567" s="133">
        <v>0</v>
      </c>
      <c r="F1567" s="133">
        <v>0</v>
      </c>
      <c r="G1567" s="133">
        <v>0</v>
      </c>
      <c r="H1567" s="133">
        <v>0</v>
      </c>
      <c r="I1567" s="134">
        <v>0</v>
      </c>
      <c r="J1567" s="135">
        <v>0</v>
      </c>
      <c r="K1567" s="128">
        <v>0</v>
      </c>
    </row>
    <row r="1568" spans="1:11">
      <c r="A1568" s="1">
        <v>0</v>
      </c>
      <c r="B1568" s="132">
        <v>0</v>
      </c>
      <c r="C1568" s="132">
        <v>0</v>
      </c>
      <c r="D1568" s="1">
        <v>0</v>
      </c>
      <c r="E1568" s="133">
        <v>0</v>
      </c>
      <c r="F1568" s="133">
        <v>0</v>
      </c>
      <c r="G1568" s="133">
        <v>0</v>
      </c>
      <c r="H1568" s="133">
        <v>0</v>
      </c>
      <c r="I1568" s="134">
        <v>0</v>
      </c>
      <c r="J1568" s="135">
        <v>0</v>
      </c>
      <c r="K1568" s="128">
        <v>0</v>
      </c>
    </row>
    <row r="1569" spans="1:11">
      <c r="A1569" s="1">
        <v>0</v>
      </c>
      <c r="B1569" s="132">
        <v>0</v>
      </c>
      <c r="C1569" s="132">
        <v>0</v>
      </c>
      <c r="D1569" s="1">
        <v>0</v>
      </c>
      <c r="E1569" s="133">
        <v>0</v>
      </c>
      <c r="F1569" s="133">
        <v>0</v>
      </c>
      <c r="G1569" s="133">
        <v>0</v>
      </c>
      <c r="H1569" s="133">
        <v>0</v>
      </c>
      <c r="I1569" s="134">
        <v>0</v>
      </c>
      <c r="J1569" s="135">
        <v>0</v>
      </c>
      <c r="K1569" s="128">
        <v>0</v>
      </c>
    </row>
    <row r="1570" spans="1:11">
      <c r="A1570" s="1">
        <v>0</v>
      </c>
      <c r="B1570" s="132">
        <v>0</v>
      </c>
      <c r="C1570" s="132">
        <v>0</v>
      </c>
      <c r="D1570" s="1">
        <v>0</v>
      </c>
      <c r="E1570" s="133">
        <v>0</v>
      </c>
      <c r="F1570" s="133">
        <v>0</v>
      </c>
      <c r="G1570" s="133">
        <v>0</v>
      </c>
      <c r="H1570" s="133">
        <v>0</v>
      </c>
      <c r="I1570" s="134">
        <v>0</v>
      </c>
      <c r="J1570" s="135">
        <v>0</v>
      </c>
      <c r="K1570" s="128">
        <v>0</v>
      </c>
    </row>
    <row r="1571" spans="1:11">
      <c r="A1571" s="1">
        <v>0</v>
      </c>
      <c r="B1571" s="132">
        <v>0</v>
      </c>
      <c r="C1571" s="132">
        <v>0</v>
      </c>
      <c r="D1571" s="1">
        <v>0</v>
      </c>
      <c r="E1571" s="133">
        <v>0</v>
      </c>
      <c r="F1571" s="133">
        <v>0</v>
      </c>
      <c r="G1571" s="133">
        <v>0</v>
      </c>
      <c r="H1571" s="133">
        <v>0</v>
      </c>
      <c r="I1571" s="134">
        <v>0</v>
      </c>
      <c r="J1571" s="135">
        <v>0</v>
      </c>
      <c r="K1571" s="128">
        <v>0</v>
      </c>
    </row>
    <row r="1572" spans="1:11">
      <c r="A1572" s="1">
        <v>0</v>
      </c>
      <c r="B1572" s="132">
        <v>0</v>
      </c>
      <c r="C1572" s="132">
        <v>0</v>
      </c>
      <c r="D1572" s="1">
        <v>0</v>
      </c>
      <c r="E1572" s="133">
        <v>0</v>
      </c>
      <c r="F1572" s="133">
        <v>0</v>
      </c>
      <c r="G1572" s="133">
        <v>0</v>
      </c>
      <c r="H1572" s="133">
        <v>0</v>
      </c>
      <c r="I1572" s="134">
        <v>0</v>
      </c>
      <c r="J1572" s="135">
        <v>0</v>
      </c>
      <c r="K1572" s="128">
        <v>0</v>
      </c>
    </row>
    <row r="1573" spans="1:11">
      <c r="A1573" s="1">
        <v>0</v>
      </c>
      <c r="B1573" s="132">
        <v>0</v>
      </c>
      <c r="C1573" s="132">
        <v>0</v>
      </c>
      <c r="D1573" s="1">
        <v>0</v>
      </c>
      <c r="E1573" s="133">
        <v>0</v>
      </c>
      <c r="F1573" s="133">
        <v>0</v>
      </c>
      <c r="G1573" s="133">
        <v>0</v>
      </c>
      <c r="H1573" s="133">
        <v>0</v>
      </c>
      <c r="I1573" s="134">
        <v>0</v>
      </c>
      <c r="J1573" s="135">
        <v>0</v>
      </c>
      <c r="K1573" s="128">
        <v>0</v>
      </c>
    </row>
    <row r="1574" spans="1:11">
      <c r="A1574" s="1">
        <v>0</v>
      </c>
      <c r="B1574" s="132">
        <v>0</v>
      </c>
      <c r="C1574" s="132">
        <v>0</v>
      </c>
      <c r="D1574" s="1">
        <v>0</v>
      </c>
      <c r="E1574" s="133">
        <v>0</v>
      </c>
      <c r="F1574" s="133">
        <v>0</v>
      </c>
      <c r="G1574" s="133">
        <v>0</v>
      </c>
      <c r="H1574" s="133">
        <v>0</v>
      </c>
      <c r="I1574" s="134">
        <v>0</v>
      </c>
      <c r="J1574" s="135">
        <v>0</v>
      </c>
      <c r="K1574" s="128">
        <v>0</v>
      </c>
    </row>
    <row r="1575" spans="1:11">
      <c r="A1575" s="1">
        <v>0</v>
      </c>
      <c r="B1575" s="132">
        <v>0</v>
      </c>
      <c r="C1575" s="132">
        <v>0</v>
      </c>
      <c r="D1575" s="1">
        <v>0</v>
      </c>
      <c r="E1575" s="133">
        <v>0</v>
      </c>
      <c r="F1575" s="133">
        <v>0</v>
      </c>
      <c r="G1575" s="133">
        <v>0</v>
      </c>
      <c r="H1575" s="133">
        <v>0</v>
      </c>
      <c r="I1575" s="134">
        <v>0</v>
      </c>
      <c r="J1575" s="135">
        <v>0</v>
      </c>
      <c r="K1575" s="128">
        <v>0</v>
      </c>
    </row>
    <row r="1576" spans="1:11">
      <c r="A1576" s="1">
        <v>0</v>
      </c>
      <c r="B1576" s="132">
        <v>0</v>
      </c>
      <c r="C1576" s="132">
        <v>0</v>
      </c>
      <c r="D1576" s="1">
        <v>0</v>
      </c>
      <c r="E1576" s="133">
        <v>0</v>
      </c>
      <c r="F1576" s="133">
        <v>0</v>
      </c>
      <c r="G1576" s="133">
        <v>0</v>
      </c>
      <c r="H1576" s="133">
        <v>0</v>
      </c>
      <c r="I1576" s="134">
        <v>0</v>
      </c>
      <c r="J1576" s="135">
        <v>0</v>
      </c>
      <c r="K1576" s="128">
        <v>0</v>
      </c>
    </row>
    <row r="1577" spans="1:11">
      <c r="A1577" s="1">
        <v>0</v>
      </c>
      <c r="B1577" s="132">
        <v>0</v>
      </c>
      <c r="C1577" s="132">
        <v>0</v>
      </c>
      <c r="D1577" s="1">
        <v>0</v>
      </c>
      <c r="E1577" s="133">
        <v>0</v>
      </c>
      <c r="F1577" s="133">
        <v>0</v>
      </c>
      <c r="G1577" s="133">
        <v>0</v>
      </c>
      <c r="H1577" s="133">
        <v>0</v>
      </c>
      <c r="I1577" s="134">
        <v>0</v>
      </c>
      <c r="J1577" s="135">
        <v>0</v>
      </c>
      <c r="K1577" s="128">
        <v>0</v>
      </c>
    </row>
    <row r="1578" spans="1:11">
      <c r="A1578" s="1">
        <v>0</v>
      </c>
      <c r="B1578" s="132">
        <v>0</v>
      </c>
      <c r="C1578" s="132">
        <v>0</v>
      </c>
      <c r="D1578" s="1">
        <v>0</v>
      </c>
      <c r="E1578" s="133">
        <v>0</v>
      </c>
      <c r="F1578" s="133">
        <v>0</v>
      </c>
      <c r="G1578" s="133">
        <v>0</v>
      </c>
      <c r="H1578" s="133">
        <v>0</v>
      </c>
      <c r="I1578" s="134">
        <v>0</v>
      </c>
      <c r="J1578" s="135">
        <v>0</v>
      </c>
      <c r="K1578" s="128">
        <v>0</v>
      </c>
    </row>
    <row r="1579" spans="1:11">
      <c r="A1579" s="1">
        <v>0</v>
      </c>
      <c r="B1579" s="132">
        <v>0</v>
      </c>
      <c r="C1579" s="132">
        <v>0</v>
      </c>
      <c r="D1579" s="1">
        <v>0</v>
      </c>
      <c r="E1579" s="133">
        <v>0</v>
      </c>
      <c r="F1579" s="133">
        <v>0</v>
      </c>
      <c r="G1579" s="133">
        <v>0</v>
      </c>
      <c r="H1579" s="133">
        <v>0</v>
      </c>
      <c r="I1579" s="134">
        <v>0</v>
      </c>
      <c r="J1579" s="135">
        <v>0</v>
      </c>
      <c r="K1579" s="128">
        <v>0</v>
      </c>
    </row>
    <row r="1580" spans="1:11">
      <c r="A1580" s="1">
        <v>0</v>
      </c>
      <c r="B1580" s="132">
        <v>0</v>
      </c>
      <c r="C1580" s="132">
        <v>0</v>
      </c>
      <c r="D1580" s="1">
        <v>0</v>
      </c>
      <c r="E1580" s="133">
        <v>0</v>
      </c>
      <c r="F1580" s="133">
        <v>0</v>
      </c>
      <c r="G1580" s="133">
        <v>0</v>
      </c>
      <c r="H1580" s="133">
        <v>0</v>
      </c>
      <c r="I1580" s="134">
        <v>0</v>
      </c>
      <c r="J1580" s="135">
        <v>0</v>
      </c>
      <c r="K1580" s="128">
        <v>0</v>
      </c>
    </row>
    <row r="1581" spans="1:11">
      <c r="A1581" s="1">
        <v>0</v>
      </c>
      <c r="B1581" s="132">
        <v>0</v>
      </c>
      <c r="C1581" s="132">
        <v>0</v>
      </c>
      <c r="D1581" s="1">
        <v>0</v>
      </c>
      <c r="E1581" s="133">
        <v>0</v>
      </c>
      <c r="F1581" s="133">
        <v>0</v>
      </c>
      <c r="G1581" s="133">
        <v>0</v>
      </c>
      <c r="H1581" s="133">
        <v>0</v>
      </c>
      <c r="I1581" s="134">
        <v>0</v>
      </c>
      <c r="J1581" s="135">
        <v>0</v>
      </c>
      <c r="K1581" s="128">
        <v>0</v>
      </c>
    </row>
  </sheetData>
  <mergeCells count="1">
    <mergeCell ref="A1:AH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Master</vt:lpstr>
      <vt:lpstr>Kriteriaatk2024</vt:lpstr>
      <vt:lpstr>Masteratk2024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2026-09-10T17:35:25Z</dcterms:created>
  <dcterms:modified xsi:type="dcterms:W3CDTF">2026-09-12T01:36:53Z</dcterms:modified>
</cp:coreProperties>
</file>